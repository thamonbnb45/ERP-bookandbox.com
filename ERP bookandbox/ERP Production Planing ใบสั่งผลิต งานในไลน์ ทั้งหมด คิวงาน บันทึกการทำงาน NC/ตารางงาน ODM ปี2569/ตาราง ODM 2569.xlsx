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ม.ค." sheetId="1" r:id="rId5"/>
    <sheet state="visible" name="ก.พ." sheetId="2" r:id="rId6"/>
    <sheet state="visible" name="มี.ค." sheetId="3" r:id="rId7"/>
    <sheet state="visible" name="เม.ย." sheetId="4" r:id="rId8"/>
    <sheet state="visible" name="พ.ค." sheetId="5" r:id="rId9"/>
    <sheet state="visible" name="มิ.ย." sheetId="6" r:id="rId10"/>
    <sheet state="visible" name="ก.ค." sheetId="7" r:id="rId11"/>
    <sheet state="visible" name="ส.ค." sheetId="8" r:id="rId12"/>
    <sheet state="visible" name="ก.ย." sheetId="9" r:id="rId13"/>
    <sheet state="visible" name="ต.ค." sheetId="10" r:id="rId14"/>
    <sheet state="visible" name="พ.ย." sheetId="11" r:id="rId15"/>
    <sheet state="visible" name="ธ.ค." sheetId="12" r:id="rId16"/>
  </sheets>
  <definedNames/>
  <calcPr/>
</workbook>
</file>

<file path=xl/sharedStrings.xml><?xml version="1.0" encoding="utf-8"?>
<sst xmlns="http://schemas.openxmlformats.org/spreadsheetml/2006/main" count="7315" uniqueCount="1426">
  <si>
    <t xml:space="preserve"> </t>
  </si>
  <si>
    <t>Fluke</t>
  </si>
  <si>
    <t>สรุปการทำงานทั้งหมด</t>
  </si>
  <si>
    <t>สรุปการทำงานประจำวัน</t>
  </si>
  <si>
    <t>กระดาษตั้งเครื่อง / วัน (ที่ต้องเสียแน่ๆ)</t>
  </si>
  <si>
    <t>สถานะของงาน</t>
  </si>
  <si>
    <t>ประเภทวัสดุที่ใช้งาน</t>
  </si>
  <si>
    <t>เลย์งาน POD</t>
  </si>
  <si>
    <t>ตามคิว</t>
  </si>
  <si>
    <t>รายการ</t>
  </si>
  <si>
    <t>เครื่อง Digital Dicut</t>
  </si>
  <si>
    <t>C12000</t>
  </si>
  <si>
    <t>✅ เสร็จแล้ว</t>
  </si>
  <si>
    <t>อาร์ตมัน 105g (โกดัง)</t>
  </si>
  <si>
    <t>ปอนด์ 70g (โกดัง)</t>
  </si>
  <si>
    <t>อาร์ตการ์ด 1/S 210g (โกดัง)</t>
  </si>
  <si>
    <t>อาร์ตการ์ด 2/S 300g (ODM)</t>
  </si>
  <si>
    <t>พิมพ์งาน POD</t>
  </si>
  <si>
    <t>Same Day</t>
  </si>
  <si>
    <t>Dicut Jwei</t>
  </si>
  <si>
    <t>Calibrate (อาร์ตมัน-อาร์ตการ์ด)</t>
  </si>
  <si>
    <t>ใบ</t>
  </si>
  <si>
    <t>🔄 กำลังดำเนินการ</t>
  </si>
  <si>
    <t>อาร์ตมัน 130g (โกดัง)</t>
  </si>
  <si>
    <t>ปอนด์ 80g (โกดัง)</t>
  </si>
  <si>
    <t>อาร์ตการ์ด 1/S 230g (โกดัง)</t>
  </si>
  <si>
    <t>อาร์ตการ์ด 2/S 350g (ODM)</t>
  </si>
  <si>
    <t>VIP</t>
  </si>
  <si>
    <t>Dicut Graptech</t>
  </si>
  <si>
    <t>Prove Color (อาร์ตมัน-อาร์ตการ์ด)</t>
  </si>
  <si>
    <t>⏳ รอดำเนินการ</t>
  </si>
  <si>
    <t>อาร์ตมัน 160g (โกดัง)</t>
  </si>
  <si>
    <t>ปอนด์ 100g (โกดัง)</t>
  </si>
  <si>
    <t>อาร์ตการ์ด 1/S 260g (โกดัง)</t>
  </si>
  <si>
    <t>Stk PP ขาวเงา (ODM)</t>
  </si>
  <si>
    <t>งานพิมพ์เสร็จแล้ว</t>
  </si>
  <si>
    <t>ซ่อม</t>
  </si>
  <si>
    <t>เครื่อง Digital Offset</t>
  </si>
  <si>
    <t>C4070</t>
  </si>
  <si>
    <t>⏳ รอดำเนินการ Same day / VIP</t>
  </si>
  <si>
    <t>อาร์ตการ์ด 2/S 190g (โกดัง)</t>
  </si>
  <si>
    <t>ปอนด์ 120g (โกดัง)</t>
  </si>
  <si>
    <t>อาร์ตการ์ด 1/S 300g (โกดัง)</t>
  </si>
  <si>
    <t>Stk PP ขาวด้าน (ODM)</t>
  </si>
  <si>
    <t>ซ่อมไม่มีใบสั่ง</t>
  </si>
  <si>
    <t>Calibrate (อาร์ตมัน)</t>
  </si>
  <si>
    <t>⚠️ ติดปัญหา</t>
  </si>
  <si>
    <t>อาร์ตการ์ด 2/S 210g (โกดัง)</t>
  </si>
  <si>
    <t>การ์ดขาว 150g (โกดัง)</t>
  </si>
  <si>
    <t>อาร์ตการ์ด 1/S 350g (โกดัง)</t>
  </si>
  <si>
    <t>Stk PP ใส (ODM)</t>
  </si>
  <si>
    <t>งานรอดำเนินการทั้งหมด (งานค้างพิมพ์ )</t>
  </si>
  <si>
    <t>ตัวอย่างงาน</t>
  </si>
  <si>
    <t>Prove Color (Sticker)</t>
  </si>
  <si>
    <t>อาร์ตการ์ด 2/S 230g (โกดัง)</t>
  </si>
  <si>
    <t>การ์ดขาว 210g (โกดัง)</t>
  </si>
  <si>
    <t>อาร์ตด้าน 105g (โกดัง)</t>
  </si>
  <si>
    <t>Stk กระดาษขาวเงา (ODM)</t>
  </si>
  <si>
    <t>รวมงานพิมพ์ทั้งหมด</t>
  </si>
  <si>
    <t>รวมงานไดคัททั้งหมด</t>
  </si>
  <si>
    <t>อาร์ตการ์ด 2/S 260g (โกดัง)</t>
  </si>
  <si>
    <t>การ์ดขาว 240g (โกดัง)</t>
  </si>
  <si>
    <t>อาร์ตด้าน 130g (โกดัง)</t>
  </si>
  <si>
    <t>Stk กระดาษขาวด้าน (ODM)</t>
  </si>
  <si>
    <t>วัน/เดือน/ปี</t>
  </si>
  <si>
    <t>ใบสั่งผลิต (JOG)</t>
  </si>
  <si>
    <t>ขนาด / ชื่องาน</t>
  </si>
  <si>
    <t>วัสดุที่ใช้พิมพ์</t>
  </si>
  <si>
    <t>ประเภทงาน</t>
  </si>
  <si>
    <t>จำนวน</t>
  </si>
  <si>
    <t>จำนวนใบพิมพ์</t>
  </si>
  <si>
    <t>กำหนดเสร็จ</t>
  </si>
  <si>
    <t>เวลารับใบสั่ง</t>
  </si>
  <si>
    <t>ผู้รับผิดชอบเลย์</t>
  </si>
  <si>
    <t>ระยะเวลาดำเนินงาน</t>
  </si>
  <si>
    <t>ผู้รับผิดชอบพิมพ์</t>
  </si>
  <si>
    <t>เครื่องพิมพ์</t>
  </si>
  <si>
    <t>ดูสีงาน</t>
  </si>
  <si>
    <t>QC</t>
  </si>
  <si>
    <t>จำนวนที่พิมพ์ได้</t>
  </si>
  <si>
    <t>อุปสรรคที่ทำให้เกิดความล่าช้า</t>
  </si>
  <si>
    <t>การ์ดขาว 300g (โกดัง)</t>
  </si>
  <si>
    <t>อาร์ตด้าน 160g (โกดัง)</t>
  </si>
  <si>
    <t>( ชิ้น / เล่ม )</t>
  </si>
  <si>
    <t>(ไม่รวมเผื่อเสีย)</t>
  </si>
  <si>
    <t>เริ่ม</t>
  </si>
  <si>
    <t>เวลาเริ่มพิมพ์</t>
  </si>
  <si>
    <t>เสร็จ</t>
  </si>
  <si>
    <t>เวลาพิมพ์เสร็จ</t>
  </si>
  <si>
    <t>First run</t>
  </si>
  <si>
    <t>(รวมเผื่อเสีย)</t>
  </si>
  <si>
    <t>กรีนรีด 75g (โกดัง)</t>
  </si>
  <si>
    <t>6901-0001</t>
  </si>
  <si>
    <t>31.5x40cm ไส้กล่อง Something Savor</t>
  </si>
  <si>
    <t>6901-0003</t>
  </si>
  <si>
    <t>A3 ใบปลิว คุณเสาวณีย์ คงวุฒิปัญญา</t>
  </si>
  <si>
    <t>นำส่งเรียบร้อย</t>
  </si>
  <si>
    <t>6901-0004</t>
  </si>
  <si>
    <t>A5 ใบปลิว พรรคเพื่อไทย</t>
  </si>
  <si>
    <t>6901-0007</t>
  </si>
  <si>
    <t>5x29cm สายคาด GRILLGUNDY Reprint</t>
  </si>
  <si>
    <t>Sunney</t>
  </si>
  <si>
    <t>6901-0013</t>
  </si>
  <si>
    <t>A5 ใบปลิว คุณเสาวณีย์ คงวุฒิปัญญา</t>
  </si>
  <si>
    <t>6901-0018</t>
  </si>
  <si>
    <t>A3 ใบปลิว ใบปลิว คุณจรยุทธ จตุรพรประสิทธิ์</t>
  </si>
  <si>
    <t>6901-0038</t>
  </si>
  <si>
    <t>คูปอง 14.5x7cm Gift voucher - 2 แบบ</t>
  </si>
  <si>
    <t>6901-0037</t>
  </si>
  <si>
    <t>ใบปลิว A5 วิรัล พรรคเศรษฐกิจ</t>
  </si>
  <si>
    <t>6812-0575</t>
  </si>
  <si>
    <t>stk 5x8cm ขวดแยมช็อคโกแลต</t>
  </si>
  <si>
    <t>6812-0576</t>
  </si>
  <si>
    <t>stk 5x8cm ขวดแยมสตอเบอรี่</t>
  </si>
  <si>
    <t>6812-0577</t>
  </si>
  <si>
    <t>stk 5x8cm ขวดแยมนมหิมะ</t>
  </si>
  <si>
    <t>6812-0578</t>
  </si>
  <si>
    <t>stk 5x8cm ขวดแยมบลูเบอรี่</t>
  </si>
  <si>
    <t>6812-0580</t>
  </si>
  <si>
    <t>stk 3x16.8cm More Please STRAWBERRY</t>
  </si>
  <si>
    <t>6812-0581</t>
  </si>
  <si>
    <t>stk 3x16.8cm More Please SNOW CREAM</t>
  </si>
  <si>
    <t>6812-0579</t>
  </si>
  <si>
    <t>stk 3x16.8cm More Please CHOCO</t>
  </si>
  <si>
    <t>6812-0582</t>
  </si>
  <si>
    <t>stk 3x16.8cm More Please BLUEBERRY</t>
  </si>
  <si>
    <t>6812-0400</t>
  </si>
  <si>
    <t>กล่อง 10.7x16.4cm SCENTIER PACKAGING</t>
  </si>
  <si>
    <t>6812-0114</t>
  </si>
  <si>
    <t>กล่อง 9.5x16cm rose pattern</t>
  </si>
  <si>
    <t>6901-0055</t>
  </si>
  <si>
    <t>ใบปลิว A5 นพ.วรวงค์&amp;แอมแปร์</t>
  </si>
  <si>
    <t>6901-0057</t>
  </si>
  <si>
    <t>6901-0058</t>
  </si>
  <si>
    <t>โปสการ์ด A5 PIXXIE</t>
  </si>
  <si>
    <t>6901-0067</t>
  </si>
  <si>
    <t>stk 3x9cm softfood-Powerful Anti oxident - reprint</t>
  </si>
  <si>
    <t>6901-0068</t>
  </si>
  <si>
    <t>stk 6x10.5cm HEALTHY WRAP - reprint</t>
  </si>
  <si>
    <t>6901-0069</t>
  </si>
  <si>
    <t>stk 9x9cm Tomato and Chicken - reprint</t>
  </si>
  <si>
    <t>6901-0070</t>
  </si>
  <si>
    <t>stk 9x9cm Japanese Minestrone - reprint</t>
  </si>
  <si>
    <t>6901-0071</t>
  </si>
  <si>
    <t>stk 9x9cm ข้าวตุ๋นทงจิรุ - reprint</t>
  </si>
  <si>
    <t>6901-0062</t>
  </si>
  <si>
    <t>ใบปลิว 11.3x18.1cm AeroNe</t>
  </si>
  <si>
    <t>6901-0080</t>
  </si>
  <si>
    <t xml:space="preserve">ใบปลิว 29x49cm Harvest </t>
  </si>
  <si>
    <t>6901-0088</t>
  </si>
  <si>
    <t>คูปอง 2.5x6inch สี่มุมเมืองออนไลน์</t>
  </si>
  <si>
    <t>-</t>
  </si>
  <si>
    <t>6901-0092</t>
  </si>
  <si>
    <t>โปสการ์ด 4x6inch Eggwhite</t>
  </si>
  <si>
    <t>6901-0095</t>
  </si>
  <si>
    <t>stk 3.5x7.84cm XO - reprint</t>
  </si>
  <si>
    <t>6901-0078</t>
  </si>
  <si>
    <t>นามบัตร 8.8x5.5cm DLX12</t>
  </si>
  <si>
    <t>6901-0028</t>
  </si>
  <si>
    <t>ปฎิทินตั้งโต๊ะ 6x8inch MANNY</t>
  </si>
  <si>
    <t>มาร์คหน้า-หลังไม่ตรงกัน</t>
  </si>
  <si>
    <t>6901-0117</t>
  </si>
  <si>
    <t>stk 4x3cm QR Code</t>
  </si>
  <si>
    <t>6901-0121</t>
  </si>
  <si>
    <t>ใบปลิว 14.8x19cm Queen Mary</t>
  </si>
  <si>
    <t>6901-0122</t>
  </si>
  <si>
    <t>ใบปลิว 14.8x19cm Queen Mary PG</t>
  </si>
  <si>
    <t>6901-0123</t>
  </si>
  <si>
    <t>แผ่นพับ A4 GET LINKS</t>
  </si>
  <si>
    <t>6901-0128</t>
  </si>
  <si>
    <t>stk 1.5x1.5cm เรดิซ - reprint</t>
  </si>
  <si>
    <t>6901-0129</t>
  </si>
  <si>
    <t>stk 1.5x1.5cm ข้าวโพด - reprint</t>
  </si>
  <si>
    <t>6901-0130</t>
  </si>
  <si>
    <t>stk 1.5x1.5cm มันม่วง - reprint</t>
  </si>
  <si>
    <t>6901-0131</t>
  </si>
  <si>
    <t>stk 3x5.5cm ไม่ใส่ผงชูรส - reprint</t>
  </si>
  <si>
    <t>6901-0119</t>
  </si>
  <si>
    <t>ใบปลิว A4 สุภาพโอสถ</t>
  </si>
  <si>
    <t>6901-0137</t>
  </si>
  <si>
    <t>ใบปลิว A4 CLUB&amp;SPA</t>
  </si>
  <si>
    <t>6901-0142</t>
  </si>
  <si>
    <t>ใบปลิว A4 Snack Box</t>
  </si>
  <si>
    <t>6901-0147</t>
  </si>
  <si>
    <t>ใบปลิว A5 BEARHOUSE</t>
  </si>
  <si>
    <t>6901-0162</t>
  </si>
  <si>
    <t>ใบปลิว A5 STORE</t>
  </si>
  <si>
    <t>หยุดเครื่องเติมกระดาษระหว่างพิมพ์</t>
  </si>
  <si>
    <t>6901-0145</t>
  </si>
  <si>
    <t>ใบปลิว A5 IPIA</t>
  </si>
  <si>
    <t>6901-0151</t>
  </si>
  <si>
    <t>สายคาด 7x42cm บ้านคุณรรร</t>
  </si>
  <si>
    <t>6901-0152</t>
  </si>
  <si>
    <t>stk 5x5cm บ้านคุณรรร</t>
  </si>
  <si>
    <t>6901-0172</t>
  </si>
  <si>
    <t>ใบปลิว A4 AMANO 3 แบบ</t>
  </si>
  <si>
    <t>6901-0166</t>
  </si>
  <si>
    <t>ใบปลิว A4 STIS</t>
  </si>
  <si>
    <t>6901-0178</t>
  </si>
  <si>
    <t>สายคาด 5x42cm นำโชค หนองเหียง</t>
  </si>
  <si>
    <t>6901-0169</t>
  </si>
  <si>
    <t>stk 16x6cm B9</t>
  </si>
  <si>
    <t>6812-0488</t>
  </si>
  <si>
    <t>7.4x10.5cm หนังสือ RECO</t>
  </si>
  <si>
    <t>A5 ใบปลิว เฮียเล็ก</t>
  </si>
  <si>
    <t>6901-0209</t>
  </si>
  <si>
    <t>4"x6" Poscard Eggwhite</t>
  </si>
  <si>
    <t>6901-0204</t>
  </si>
  <si>
    <t>6x6cm Stk Ruauy Rot</t>
  </si>
  <si>
    <t>6901-0217</t>
  </si>
  <si>
    <t>4x4cm Stk Four Coffee</t>
  </si>
  <si>
    <t>6901-0216</t>
  </si>
  <si>
    <t>4x40cm สายคาดรสดีเด็ด</t>
  </si>
  <si>
    <t>6901-0197</t>
  </si>
  <si>
    <t>28x10.1cm กล่อง VISUAL</t>
  </si>
  <si>
    <t>6901-0213</t>
  </si>
  <si>
    <t>A5 ใบปลิว Luciano</t>
  </si>
  <si>
    <t>6901-0214</t>
  </si>
  <si>
    <t>2.5"x6" Cash Coupon</t>
  </si>
  <si>
    <t>6901-0250</t>
  </si>
  <si>
    <t>5x5cm Stk Softfood ทางร้านพร้อมดูแล</t>
  </si>
  <si>
    <t>6901-0251</t>
  </si>
  <si>
    <t>9x5.5cm นามบัตร คุณสิริรักษ์ แซ่อึ้ง</t>
  </si>
  <si>
    <t>6901-0258</t>
  </si>
  <si>
    <t>stk 4x4cm Softfood logo - reprint</t>
  </si>
  <si>
    <t>6901-0264</t>
  </si>
  <si>
    <t>ใบปลิว A5 Shopee</t>
  </si>
  <si>
    <t>6901-0281</t>
  </si>
  <si>
    <t>stk 5x19cm เพียว</t>
  </si>
  <si>
    <t>6901-0280</t>
  </si>
  <si>
    <t>stk 4.1x16cm เพียว</t>
  </si>
  <si>
    <t>6901-0271</t>
  </si>
  <si>
    <t>stk 5x5cm THE HOUSE</t>
  </si>
  <si>
    <t>6901-0268</t>
  </si>
  <si>
    <t>สายคาด 4x36cm ทรงนิมิต</t>
  </si>
  <si>
    <t>6901-0274</t>
  </si>
  <si>
    <t>stk 1.7x5cm Aerotide250</t>
  </si>
  <si>
    <t>6901-0256</t>
  </si>
  <si>
    <t>ใบปลิว A5 คินน์ นัตโตะ</t>
  </si>
  <si>
    <t>6901-0289</t>
  </si>
  <si>
    <t>คูปอง 6x15cm The Lay</t>
  </si>
  <si>
    <t>6901-0293</t>
  </si>
  <si>
    <t>A4 ใบปลิว Acrelec</t>
  </si>
  <si>
    <t>6901-0304</t>
  </si>
  <si>
    <t>A4 ใบปลิว UK University</t>
  </si>
  <si>
    <t>6901-0303</t>
  </si>
  <si>
    <t>A4 ใบปลิว Thrive</t>
  </si>
  <si>
    <t>6901-0313</t>
  </si>
  <si>
    <t>6901-0329</t>
  </si>
  <si>
    <t>6.4x8.3cm Sticker TEM</t>
  </si>
  <si>
    <t>6901-0301</t>
  </si>
  <si>
    <t>A5 ใบปลิว SRENA</t>
  </si>
  <si>
    <t>6901-0283</t>
  </si>
  <si>
    <t>63x29.7cm แผ่นพับ PN</t>
  </si>
  <si>
    <t>6901-0319</t>
  </si>
  <si>
    <t>9x5.5cm นามบัตร EP PLUS</t>
  </si>
  <si>
    <t>6901-0330</t>
  </si>
  <si>
    <t>ปฎิทินตั้งโต๊ะ 6x8inch Prep</t>
  </si>
  <si>
    <t>6901-0159</t>
  </si>
  <si>
    <t>เมนูอาหาร A4 Menu Coal</t>
  </si>
  <si>
    <t>6812-0457</t>
  </si>
  <si>
    <t xml:space="preserve">ปฎิทินตั้งโต๊ะ 10x10cm </t>
  </si>
  <si>
    <t>6901-0353</t>
  </si>
  <si>
    <t>นามบัตร 9x5.5cm Wintheday</t>
  </si>
  <si>
    <t>6901-0352</t>
  </si>
  <si>
    <t>แผ่นพับ A4 Nature Sweet</t>
  </si>
  <si>
    <t>6901-0354</t>
  </si>
  <si>
    <t>9x5.5cm นามบัตร ออลเดย์</t>
  </si>
  <si>
    <t>6901-0317</t>
  </si>
  <si>
    <t>ขึ้นตัวอย่างหนังสือ A4 BSB</t>
  </si>
  <si>
    <t>6901-0363</t>
  </si>
  <si>
    <t>ฉลาก 8x30cm ผ้าไมโครไฟเบอร์</t>
  </si>
  <si>
    <t>6901-0361</t>
  </si>
  <si>
    <t>นามบัตร 5.5x9cm sisima</t>
  </si>
  <si>
    <t>6901-0346</t>
  </si>
  <si>
    <t>นามบัตร 5.5x9cm IC96</t>
  </si>
  <si>
    <t>6901-0368</t>
  </si>
  <si>
    <t>ใบปลิว A5 Very Sensitive - reprint</t>
  </si>
  <si>
    <t>6901-0355</t>
  </si>
  <si>
    <t>ใบปลิว A5 Traveloka</t>
  </si>
  <si>
    <t>6901-0380</t>
  </si>
  <si>
    <t>ใบปลิว A5 SOFY</t>
  </si>
  <si>
    <t>6901-0379</t>
  </si>
  <si>
    <t>stk 4.55x2.26cm Barcode</t>
  </si>
  <si>
    <t>6901-0375</t>
  </si>
  <si>
    <t>6901-0374</t>
  </si>
  <si>
    <t>stk 4.1x1.6cm เพียว</t>
  </si>
  <si>
    <t>6901-0395</t>
  </si>
  <si>
    <t>A4 ใบปลิว SJY School</t>
  </si>
  <si>
    <t>6901-0397</t>
  </si>
  <si>
    <t>ใบปลิว A5 Venus-Valve</t>
  </si>
  <si>
    <t>6901-0370</t>
  </si>
  <si>
    <t>กระดาษรองจาน 9x9cm MRICH</t>
  </si>
  <si>
    <t>6901-0391</t>
  </si>
  <si>
    <t>ใบปลิว A4 Mic Lab</t>
  </si>
  <si>
    <t>6901-0378</t>
  </si>
  <si>
    <t>A5 ใบปลิว SAMMY GYM</t>
  </si>
  <si>
    <t>6901-0387</t>
  </si>
  <si>
    <t>3"x7" คูปอง HEALTHVILLE</t>
  </si>
  <si>
    <t>6901-0407</t>
  </si>
  <si>
    <t>สายคาด 7x50cm Beauty Hair</t>
  </si>
  <si>
    <t>6901-0419</t>
  </si>
  <si>
    <t>ใบปลิว A5 CNK</t>
  </si>
  <si>
    <t>6901-0424</t>
  </si>
  <si>
    <t>A5 ใบปลิวประกันสังคม</t>
  </si>
  <si>
    <t>6901-0427</t>
  </si>
  <si>
    <t>A5 ใบปลิว Vegan</t>
  </si>
  <si>
    <t>6901-0288</t>
  </si>
  <si>
    <t>A5 ใบปลิว HANDYMAN</t>
  </si>
  <si>
    <t>6901-0439</t>
  </si>
  <si>
    <t>A4 ใบปลิว Sriraja</t>
  </si>
  <si>
    <t>6901-0434</t>
  </si>
  <si>
    <t>Card A5 SLDC - reprint</t>
  </si>
  <si>
    <t>6812-0454</t>
  </si>
  <si>
    <t>แผ่นพับ 11x15cm Performance</t>
  </si>
  <si>
    <t>6901-0444</t>
  </si>
  <si>
    <t>A4 ใบปลิวเฮียเล็ก 16 แบบ</t>
  </si>
  <si>
    <t>6901-0448</t>
  </si>
  <si>
    <t>9x5.5cm นามบัตร KATEI SHABU</t>
  </si>
  <si>
    <t>6901-0449</t>
  </si>
  <si>
    <t>A5 หนังสือ LASUNYA</t>
  </si>
  <si>
    <t>6901-0466</t>
  </si>
  <si>
    <t>ป้าย 9.4x13.3cm Staff 3 รายการ</t>
  </si>
  <si>
    <t>6901-0430</t>
  </si>
  <si>
    <t>นามบัตร 5.5x9cm Den Hartogh</t>
  </si>
  <si>
    <t>6901-0470</t>
  </si>
  <si>
    <t>ใบปลิว A5 BONUS บน Tiktok</t>
  </si>
  <si>
    <t>6901-0480</t>
  </si>
  <si>
    <t>stk 4.5x1.5cm คิวไอ แคร์</t>
  </si>
  <si>
    <t>6901-0481</t>
  </si>
  <si>
    <t>หนังสือ A4 GREAT</t>
  </si>
  <si>
    <t>6901-0488</t>
  </si>
  <si>
    <t>ใบปลิว 19.8x21cm SureStay</t>
  </si>
  <si>
    <t>6901-0476</t>
  </si>
  <si>
    <t>ใบปลิว A4 บัตรเลือกตั้งผู้แทน</t>
  </si>
  <si>
    <t>6901-0509</t>
  </si>
  <si>
    <t>A4 ใบปลิว Digital Lock</t>
  </si>
  <si>
    <t>6901-0500</t>
  </si>
  <si>
    <t>stk 9x9cm QC</t>
  </si>
  <si>
    <t>6901-0453</t>
  </si>
  <si>
    <t>ใบปลิว A5 Merry Vibes</t>
  </si>
  <si>
    <t>6901-0511</t>
  </si>
  <si>
    <t>9x5.5cm นามบัตร ORBITA</t>
  </si>
  <si>
    <t>6901-0513</t>
  </si>
  <si>
    <t>9x5.5cm นามบัตร Greatlock</t>
  </si>
  <si>
    <t>6901-0492</t>
  </si>
  <si>
    <t>สายคาด 5x42cm TecZon</t>
  </si>
  <si>
    <t>6901-0525</t>
  </si>
  <si>
    <t>stk 3x3cm บาร์โค้ดชีวิต 12 นักษัตร</t>
  </si>
  <si>
    <t>6901-0501</t>
  </si>
  <si>
    <t>กล่อง 18.4x21.65cm La Mull</t>
  </si>
  <si>
    <t>6901-0518</t>
  </si>
  <si>
    <t>ใบปลิว 11x21cm คณะสังคมศาสตร์</t>
  </si>
  <si>
    <t>6901-0521</t>
  </si>
  <si>
    <t>แผ่นพับ 44.4x21cm EZYBUILT</t>
  </si>
  <si>
    <t>6901-524</t>
  </si>
  <si>
    <t>ใบปลิว A5 Valentine's Day</t>
  </si>
  <si>
    <t>6901-0512</t>
  </si>
  <si>
    <t>แผ่นพับ 59.2x21cm SUMAA</t>
  </si>
  <si>
    <t>6901-0527</t>
  </si>
  <si>
    <t>แผ่นพับ 32.1x84cm DIAMON COLOR</t>
  </si>
  <si>
    <t>ตัวอย่าง Mock up</t>
  </si>
  <si>
    <t>6901-0534</t>
  </si>
  <si>
    <t>ใบปลิว A5 Oats</t>
  </si>
  <si>
    <t>6901-0528</t>
  </si>
  <si>
    <t>ใบปลิว A5 ขั้นตอนการใช้งาน</t>
  </si>
  <si>
    <t>6901-0548</t>
  </si>
  <si>
    <t>ใบปลิว A5 เท้ง เชน พรรคประชาชน</t>
  </si>
  <si>
    <t>6901-0552</t>
  </si>
  <si>
    <t>ใบปลิว A5 Tru money</t>
  </si>
  <si>
    <t>6901-0543</t>
  </si>
  <si>
    <t>ใบปลิว A5 EYETA BEAUTY</t>
  </si>
  <si>
    <t>6901-0579</t>
  </si>
  <si>
    <t>แผ่นพับ A4 PROGRAM SMTE</t>
  </si>
  <si>
    <t>6901-0581</t>
  </si>
  <si>
    <t>ใบปลิว A5 โกไก่</t>
  </si>
  <si>
    <t>6901-0583</t>
  </si>
  <si>
    <t>ใบปลิว A5 Mahidol Science - reprint</t>
  </si>
  <si>
    <t>6901-0587</t>
  </si>
  <si>
    <t>แผ่นพับ A4 BABALEE</t>
  </si>
  <si>
    <t>6901-0569</t>
  </si>
  <si>
    <t>กระดาษจดหมาย A4 ฮอนด้า แม่กลอง</t>
  </si>
  <si>
    <t>6901-0572</t>
  </si>
  <si>
    <t>ใบปลิว A5 โรงเรียนเลิศพัฒนา</t>
  </si>
  <si>
    <t>6901-0573</t>
  </si>
  <si>
    <t>ใบปลิว A5 แม่ประจักษ์</t>
  </si>
  <si>
    <t>6901-0598</t>
  </si>
  <si>
    <t>A4 แผ่นพับ Women</t>
  </si>
  <si>
    <t>6901-0599</t>
  </si>
  <si>
    <t>A5 ใบปลิว STORE เวทีมวยราชดำเนิน</t>
  </si>
  <si>
    <t>6901-0566</t>
  </si>
  <si>
    <t>9x5.5cm นามบัตร Mother Charger</t>
  </si>
  <si>
    <t>6901-0606</t>
  </si>
  <si>
    <t>A4 ใบปลิว โรงเรียนเบญจมราชาลัย</t>
  </si>
  <si>
    <t>6901-0617</t>
  </si>
  <si>
    <t>A5 ใบปลิว Primevera</t>
  </si>
  <si>
    <t>6901-0456</t>
  </si>
  <si>
    <t>A4 ใบปลิว Lucky Pro</t>
  </si>
  <si>
    <t>6901-0640</t>
  </si>
  <si>
    <t>stk 7x27cm มะยงชิด สวนนพวรรณ</t>
  </si>
  <si>
    <t>6901-0628</t>
  </si>
  <si>
    <t>A4 ใบปลิว Mimu</t>
  </si>
  <si>
    <t>6901-0644</t>
  </si>
  <si>
    <t>A5 ใบปลิว Trunk&amp;Soul</t>
  </si>
  <si>
    <t>6901-0645</t>
  </si>
  <si>
    <t>A4 ใบปลิว Gentle Giant</t>
  </si>
  <si>
    <t>6901-0592</t>
  </si>
  <si>
    <t>stk 0.8x2.7cm Lot</t>
  </si>
  <si>
    <t>6901-0648</t>
  </si>
  <si>
    <t>stk 3.3x6cm Click cool</t>
  </si>
  <si>
    <t>6901-0670</t>
  </si>
  <si>
    <t>ใบปลิว A4 DENTAL TOUCH</t>
  </si>
  <si>
    <t>6901-0667</t>
  </si>
  <si>
    <t>ใบปลิว A4 บัตรเลือกตั้ง</t>
  </si>
  <si>
    <t>6901-0676</t>
  </si>
  <si>
    <t>ป้ายแท็ก 10x8.35cm โตแล้วไปไหน</t>
  </si>
  <si>
    <t>งานซ่อม</t>
  </si>
  <si>
    <t>6902-0007</t>
  </si>
  <si>
    <t>ใบปลิว A4 Oxygenity</t>
  </si>
  <si>
    <t>6902-0015</t>
  </si>
  <si>
    <t>นามบัตร 9x5.5cm EP PLUS ปภัชญา ศรีโกศล</t>
  </si>
  <si>
    <t>6901-0630</t>
  </si>
  <si>
    <t>9x5.5cm นามบัตร WNP NAOATSORN</t>
  </si>
  <si>
    <t>6902-0026</t>
  </si>
  <si>
    <t>A4 ใบปลิว ICMS</t>
  </si>
  <si>
    <t>6902-0030</t>
  </si>
  <si>
    <t>นามบัตร 9x5.5cm tpp</t>
  </si>
  <si>
    <t>6902-0028</t>
  </si>
  <si>
    <t>แผ่นพับ A4 PERCEPTRA</t>
  </si>
  <si>
    <t>6902-0029</t>
  </si>
  <si>
    <t>ใบปลิว A4 Inspectro</t>
  </si>
  <si>
    <t>6902-0036</t>
  </si>
  <si>
    <t>แผ่นพับ A4 City One</t>
  </si>
  <si>
    <t>6901-0429</t>
  </si>
  <si>
    <t>stk 6.8x20cm เพ็ท</t>
  </si>
  <si>
    <t>6902-0041</t>
  </si>
  <si>
    <t>แผ่นพับ 29.7x63cm WELLA</t>
  </si>
  <si>
    <t>อุณหภูมิเครื่องสูงขึ้นแล้วสีเพี้ยน</t>
  </si>
  <si>
    <t>6902-0054</t>
  </si>
  <si>
    <t>ใบปลิว A4 ONE MORE LINK</t>
  </si>
  <si>
    <t>6902-0075</t>
  </si>
  <si>
    <t>ใบปลิว 21x28cm QIAGEN</t>
  </si>
  <si>
    <t>6902-0076</t>
  </si>
  <si>
    <t>ใบปลิว A4 กพร</t>
  </si>
  <si>
    <t>6902-0061</t>
  </si>
  <si>
    <t>ใบปลิว A4 ชิโนรส</t>
  </si>
  <si>
    <t>6902-0081</t>
  </si>
  <si>
    <t>ใบปลิว A4 Docomo Business</t>
  </si>
  <si>
    <t>6902-0080</t>
  </si>
  <si>
    <t>แผ่นพับ 29.7x63cm INKEETH</t>
  </si>
  <si>
    <t>6902-0084</t>
  </si>
  <si>
    <t>สายคาด 12x56cm กลิ่นควัน</t>
  </si>
  <si>
    <t>6902-0052</t>
  </si>
  <si>
    <t>ใบปลิว A4 โรคอัลไซเมอร์</t>
  </si>
  <si>
    <t>6902-0096</t>
  </si>
  <si>
    <t>ใบปลิว A4 INKEETH</t>
  </si>
  <si>
    <t>6902-0034</t>
  </si>
  <si>
    <t>แผ่นพับ 64.8x21.6cm UMW SIAM</t>
  </si>
  <si>
    <t>เครื่องพิมพ์มีปัญหา</t>
  </si>
  <si>
    <t>6901-0611</t>
  </si>
  <si>
    <t>stk 14.8x21cm TNJ</t>
  </si>
  <si>
    <t>6901-0610</t>
  </si>
  <si>
    <t>6902-0056</t>
  </si>
  <si>
    <t>แผ่นพับ 44.5x31cm กรมอนามัย</t>
  </si>
  <si>
    <t>6902-0114</t>
  </si>
  <si>
    <t>ใบปลิว 3.5x6.5cm Dolly Bloom</t>
  </si>
  <si>
    <t>6902-0091</t>
  </si>
  <si>
    <t>stk 4.8x5.2cm KRUA BANGNA 3 แบบ</t>
  </si>
  <si>
    <t>6902-0151</t>
  </si>
  <si>
    <t>ใบปลิว A4 ONNEX</t>
  </si>
  <si>
    <t>6902-0093</t>
  </si>
  <si>
    <t>กระดาษรองจาน A3 ANCHOR</t>
  </si>
  <si>
    <t>6902-0174</t>
  </si>
  <si>
    <t>A5 ใบปลิว AI Gateway</t>
  </si>
  <si>
    <t>6902-0176</t>
  </si>
  <si>
    <t>6902-0172</t>
  </si>
  <si>
    <t>ใบปลิว A4 Bermira Express - reprint</t>
  </si>
  <si>
    <t>6902-0169</t>
  </si>
  <si>
    <t>สายคาด 5x40cm AHG</t>
  </si>
  <si>
    <t>6902-0179</t>
  </si>
  <si>
    <t>ใบปลิว A5 igus - reprint</t>
  </si>
  <si>
    <t>6902-0183</t>
  </si>
  <si>
    <t>ใบปลิว A5 ADVANCED</t>
  </si>
  <si>
    <t>6902-0186</t>
  </si>
  <si>
    <t>ใบปลิว A5 AQUA-TOTA LEVEL 1-2</t>
  </si>
  <si>
    <t>JPG6902-0079</t>
  </si>
  <si>
    <t>ใบปลิว A4 RENOSY</t>
  </si>
  <si>
    <t>6902-0088</t>
  </si>
  <si>
    <t>stk 4.8x9cm น้ำมะพร้าว</t>
  </si>
  <si>
    <t>6902-0089</t>
  </si>
  <si>
    <t>stk 4.8x9cm KRUA BANGNA 7 แบบ</t>
  </si>
  <si>
    <t>6902-0090</t>
  </si>
  <si>
    <t>stk 4.8x9cm KRUA BANGNA 6 แบบ</t>
  </si>
  <si>
    <t>6902-0173</t>
  </si>
  <si>
    <t>หนังสือ A4 Sales Manual RHB</t>
  </si>
  <si>
    <t>6902-0193</t>
  </si>
  <si>
    <t>ใบปลิว A5 Arun</t>
  </si>
  <si>
    <t>6902-0194</t>
  </si>
  <si>
    <t>ใบปลิว A5 EV เพื่อนพี่วิน</t>
  </si>
  <si>
    <t>6902-0195</t>
  </si>
  <si>
    <t>ใบปลิว A5 Vitamin D3</t>
  </si>
  <si>
    <t>6902-0199</t>
  </si>
  <si>
    <t>stk 9x9cm Pumpkin Soup - reprint</t>
  </si>
  <si>
    <t>6902-0198</t>
  </si>
  <si>
    <t>stk 9x9cm Mushroom Suop - reprint</t>
  </si>
  <si>
    <t>6902-0197</t>
  </si>
  <si>
    <t>stk 9x9cm ซุปข้าวโพด - reprint</t>
  </si>
  <si>
    <t>6902-0171</t>
  </si>
  <si>
    <t>ใบปลิว 8x15cm RYUDEN</t>
  </si>
  <si>
    <t>6901-0660</t>
  </si>
  <si>
    <t>นามบัตร 8.6x7.2cm TRSC 18 ชื่อ</t>
  </si>
  <si>
    <t>6902-0219</t>
  </si>
  <si>
    <t>แผ่นพับ A3 Innovation frie</t>
  </si>
  <si>
    <t>6902-0223</t>
  </si>
  <si>
    <t>stk A5 You Aluminum - reprint</t>
  </si>
  <si>
    <t>6902-0222</t>
  </si>
  <si>
    <t>stk A5 มงคล - reprint</t>
  </si>
  <si>
    <t>6902-0236</t>
  </si>
  <si>
    <t>ใบปลิว A5 The Heart</t>
  </si>
  <si>
    <t>6902-0241</t>
  </si>
  <si>
    <t>ใบปลิว A5 ประกันสังคม - reprint</t>
  </si>
  <si>
    <t>6902-0244</t>
  </si>
  <si>
    <t>ใบปลิว A5 CHADA</t>
  </si>
  <si>
    <t>6902-0253</t>
  </si>
  <si>
    <t>7x42cm สายคาด เบบี้คะน้า</t>
  </si>
  <si>
    <t>6902-0254</t>
  </si>
  <si>
    <t>7x42cm สายคาด ต้นอ่อนทานตะวัน</t>
  </si>
  <si>
    <t>6902-0260</t>
  </si>
  <si>
    <t>stk 3.8x8cm VIUSID</t>
  </si>
  <si>
    <t>6902-0279</t>
  </si>
  <si>
    <t>แผ่นพับ A3 Major</t>
  </si>
  <si>
    <t>6902-0297</t>
  </si>
  <si>
    <t>คูปอง 5x5cm Mega 4 แบบ</t>
  </si>
  <si>
    <t>6902-0298</t>
  </si>
  <si>
    <t>คูปองเล่ม 3x7inch Mega</t>
  </si>
  <si>
    <t>6902-0300</t>
  </si>
  <si>
    <t>ใบปลิว A5 GSE</t>
  </si>
  <si>
    <t>6902-0288</t>
  </si>
  <si>
    <t>คูปอง 2.5x6inch Learningeast</t>
  </si>
  <si>
    <t>6902-0291</t>
  </si>
  <si>
    <t>นามบัตร 8.5x5cm Sugarhops</t>
  </si>
  <si>
    <t>6902-0295</t>
  </si>
  <si>
    <t>ใบปลิว A5 Summer Camp</t>
  </si>
  <si>
    <t>6902-0294</t>
  </si>
  <si>
    <t>คูปอง 7.5x16cm THE WHOO</t>
  </si>
  <si>
    <t>6902-0275</t>
  </si>
  <si>
    <t>stk 4x8cm Jasmine</t>
  </si>
  <si>
    <t>6902-0276</t>
  </si>
  <si>
    <t>stk 4x8cm Mixed</t>
  </si>
  <si>
    <t>6902-0277</t>
  </si>
  <si>
    <t>stk 4x8cm Peach</t>
  </si>
  <si>
    <t>6902-0301</t>
  </si>
  <si>
    <t>นามบัตร 9x5.5cm MAGARI DE</t>
  </si>
  <si>
    <t>6902-0308</t>
  </si>
  <si>
    <t>stk 5x19cm น้ำจิ้มสุกี้เพียว</t>
  </si>
  <si>
    <t>6902-0287</t>
  </si>
  <si>
    <t>ใบปลิว A4 กุ้งก้ามกราม</t>
  </si>
  <si>
    <t>JPG6902-0232</t>
  </si>
  <si>
    <t>ใบปลิว 10x13.2cm MEGASTAFF</t>
  </si>
  <si>
    <t>6902-0250</t>
  </si>
  <si>
    <t>ใบปลิว A5 วัยสะรุ่น</t>
  </si>
  <si>
    <t>6902-0306</t>
  </si>
  <si>
    <t>ใบปลิว A4 KOMATSU 6 แบบ</t>
  </si>
  <si>
    <t>6902-0307</t>
  </si>
  <si>
    <t>แผ่นพับ A3 KOMATSU</t>
  </si>
  <si>
    <t>6902-0330</t>
  </si>
  <si>
    <t>6902-0329</t>
  </si>
  <si>
    <t>ใบปลิว A5 Ciphona</t>
  </si>
  <si>
    <t>6902-0312</t>
  </si>
  <si>
    <t>แผ่นพับ A4 Moontini</t>
  </si>
  <si>
    <t>6902-0347</t>
  </si>
  <si>
    <t xml:space="preserve">ใบปลิว A5 แคร์คัฟเวอร์ </t>
  </si>
  <si>
    <t>6902-0348</t>
  </si>
  <si>
    <t>ใบปลิว A5 Kappy Chinse</t>
  </si>
  <si>
    <t>6902-0356</t>
  </si>
  <si>
    <t>ใบปลิว A4 Uni Access</t>
  </si>
  <si>
    <t>6902-0344</t>
  </si>
  <si>
    <t>ใบปลิว A5 CINSPIRE</t>
  </si>
  <si>
    <t>6902-0358</t>
  </si>
  <si>
    <t>ใบปลิว A5 บ้านพร้อม</t>
  </si>
  <si>
    <t>6902-0232</t>
  </si>
  <si>
    <t>กล่อง 16.5x17.25cm EyePlus Multi Solution 60 ml</t>
  </si>
  <si>
    <t>6902-0231</t>
  </si>
  <si>
    <t>กล่อง 20.5x22.75cm EyePlus Multi Solution 150 ml</t>
  </si>
  <si>
    <t>6902-0180</t>
  </si>
  <si>
    <t>ใบปลิว A5 Clinic - reprint</t>
  </si>
  <si>
    <t>6902-0362</t>
  </si>
  <si>
    <t>stk 6x10.5cm HEALTHY WRAP</t>
  </si>
  <si>
    <t>กระดาษติดภายในเครื่องพิมพ์</t>
  </si>
  <si>
    <t>6902-0367</t>
  </si>
  <si>
    <t>stk 4.5x4.5cm QR CODE BUCHI</t>
  </si>
  <si>
    <t>6902-0380</t>
  </si>
  <si>
    <t>ใบปลิว A5 ผักสด</t>
  </si>
  <si>
    <t>6902-0386</t>
  </si>
  <si>
    <t>ใบปลิว A5 Unicram</t>
  </si>
  <si>
    <t>6902-0385</t>
  </si>
  <si>
    <t>ใบปลิว A5 MamyPoko</t>
  </si>
  <si>
    <t>6902-0391</t>
  </si>
  <si>
    <t>stk 13x43cm HooRay</t>
  </si>
  <si>
    <t>6902-0393</t>
  </si>
  <si>
    <t>ใบปลิว A4 XTOOL F Series</t>
  </si>
  <si>
    <t>6902-0394</t>
  </si>
  <si>
    <t>ใบปลิว A5 Tiktok Shop</t>
  </si>
  <si>
    <t>6902-0201</t>
  </si>
  <si>
    <t>stk 6x10cm เพ็ท เวลเนส เฟิร์ม</t>
  </si>
  <si>
    <t>6902-0406</t>
  </si>
  <si>
    <t>แผ่นพับ A4 พร้อมสรร ENG</t>
  </si>
  <si>
    <t>6902-0432</t>
  </si>
  <si>
    <t>ใบปลิว A5 อุ่นใจขึ้นด้วย AI</t>
  </si>
  <si>
    <t>6902-0421</t>
  </si>
  <si>
    <t>ใบปลิว A5  CLUO ร่มเกล้า-สุวรรณภูมิ</t>
  </si>
  <si>
    <t>6902-0433</t>
  </si>
  <si>
    <t>stk 3.4x8cm VIUSID agro</t>
  </si>
  <si>
    <t>6902-0227</t>
  </si>
  <si>
    <t>ใบปลิว A5 จิราลักษณ์</t>
  </si>
  <si>
    <t>6902-0444</t>
  </si>
  <si>
    <t>ใบปลิว 6.5x13cm ดองเด้</t>
  </si>
  <si>
    <t>6902-0434</t>
  </si>
  <si>
    <t>stk 4.1x16cm น้ำจิ้มสุกี้เพียว</t>
  </si>
  <si>
    <t>6902-0412</t>
  </si>
  <si>
    <t>นามบัตร 9x5.5cm TWO&amp;CO.</t>
  </si>
  <si>
    <t>6902-0447</t>
  </si>
  <si>
    <t>นามบัตร 9x5.5cm AIA</t>
  </si>
  <si>
    <t>6902-0426</t>
  </si>
  <si>
    <t>คูปอง 8x3inch คืนสู่เหย้าชาว ว.ส.</t>
  </si>
  <si>
    <t>6902-0453</t>
  </si>
  <si>
    <t>ใบปลิว A4 EVO</t>
  </si>
  <si>
    <t>6902-0462</t>
  </si>
  <si>
    <t>นามบัตร 9x5.5cm Flexira</t>
  </si>
  <si>
    <t xml:space="preserve"> 6902-0480</t>
  </si>
  <si>
    <t>คูปอง 12.5x7cm NOVOTEL SET1 - 2 แบบ</t>
  </si>
  <si>
    <t xml:space="preserve"> 6902-0481</t>
  </si>
  <si>
    <t>คูปอง 12.5x7cm NOVOTEL SET2 - 2 แบบ</t>
  </si>
  <si>
    <t xml:space="preserve"> 6902-0482</t>
  </si>
  <si>
    <t>คูปอง 12.5x7cm NOVOTEL SET3 - 2 แบบ</t>
  </si>
  <si>
    <t>6902-0089-1</t>
  </si>
  <si>
    <t>6902-0090-1</t>
  </si>
  <si>
    <t>6902-0502</t>
  </si>
  <si>
    <t>ใบปลิว A4 go beyond - 2 แบบ</t>
  </si>
  <si>
    <t>6902-0499</t>
  </si>
  <si>
    <t>ใบปลิว A5 แอลไอที</t>
  </si>
  <si>
    <t>6902-0487</t>
  </si>
  <si>
    <t>ใบปลิว A5 finfood</t>
  </si>
  <si>
    <t>6901-0536</t>
  </si>
  <si>
    <t>กล่อง 22.5x18.6cm CHOMME GLOW Tamarind</t>
  </si>
  <si>
    <t>6901-0535</t>
  </si>
  <si>
    <t>กล่อง 22.5x18.6cm CHOMME GLOW Milky</t>
  </si>
  <si>
    <t>6901-0537</t>
  </si>
  <si>
    <t>กล่อง 22.5x18.6cm CHOMME GLOW Vit C</t>
  </si>
  <si>
    <t>6902-0500</t>
  </si>
  <si>
    <t>ใบปลิว A4 AVANI+</t>
  </si>
  <si>
    <t>6902-0485</t>
  </si>
  <si>
    <t>แผ่นพับ A4 วีโฮม โวล่าเซลล์</t>
  </si>
  <si>
    <t>6902-0124</t>
  </si>
  <si>
    <t>สายคาด 3x33cm A2D ALL (THAILAND)</t>
  </si>
  <si>
    <t>6902-0523</t>
  </si>
  <si>
    <t>ใบปลิว A5 Curtain Cool</t>
  </si>
  <si>
    <t>6902-0520</t>
  </si>
  <si>
    <t>แผ่นพับ A4 Frontline</t>
  </si>
  <si>
    <t>6902-0526</t>
  </si>
  <si>
    <t>แผ่นพับ A3 เอ็มอาร์ ซัพพาย</t>
  </si>
  <si>
    <t>6902-0534</t>
  </si>
  <si>
    <t>แผ่นพับ A3 ONE STOP SERVICE</t>
  </si>
  <si>
    <t>6902-0545</t>
  </si>
  <si>
    <t>ใบปลิว A5 เฮงยอดผัก</t>
  </si>
  <si>
    <t>6902-0497</t>
  </si>
  <si>
    <t>ใบปลิว A5 mmi ปราจีน</t>
  </si>
  <si>
    <t>6902-0540</t>
  </si>
  <si>
    <t>ใบปลิว A5 พิซซ่า</t>
  </si>
  <si>
    <t>6902-0548</t>
  </si>
  <si>
    <t xml:space="preserve">stk 4x4cm หอม </t>
  </si>
  <si>
    <t>6902-0559</t>
  </si>
  <si>
    <t>stk 3x3cm คุณวาทินี - reprint</t>
  </si>
  <si>
    <t>6902-0556</t>
  </si>
  <si>
    <t>ใบปลิว A5 Phoenix</t>
  </si>
  <si>
    <t>6902-0550</t>
  </si>
  <si>
    <t>ใบปลิว A4 adhua</t>
  </si>
  <si>
    <t>6902-0566</t>
  </si>
  <si>
    <t>ใบปลิว A4 SEANERY</t>
  </si>
  <si>
    <t>6902-0584</t>
  </si>
  <si>
    <t>ใบปลิว 10.16x15.24cm Blink EYE</t>
  </si>
  <si>
    <t>6902-0570</t>
  </si>
  <si>
    <t>ใบปลิว A5 ChimZeO</t>
  </si>
  <si>
    <t>6902-0490</t>
  </si>
  <si>
    <t>ตัวอย่างแผ่นพับ A3 LOCALTASTE</t>
  </si>
  <si>
    <t>6902-0552</t>
  </si>
  <si>
    <t>แผ่นพับ A4 Sinano</t>
  </si>
  <si>
    <t>6902-0563</t>
  </si>
  <si>
    <t>ใบปลิว A5 Universe</t>
  </si>
  <si>
    <t>6902-0580</t>
  </si>
  <si>
    <t>แผ่นพับ A4 JAPAN Intership</t>
  </si>
  <si>
    <t>6902-0589</t>
  </si>
  <si>
    <t>แผ่นพับ A4 สุขภาพสูงวัย</t>
  </si>
  <si>
    <t>6902-0574</t>
  </si>
  <si>
    <t>ใบปลิว A5 Moonpaw</t>
  </si>
  <si>
    <t>6902-0593</t>
  </si>
  <si>
    <t>stk 3.5x3.5cm ไท่ฟู่ รังนก - reprint</t>
  </si>
  <si>
    <t>6902-0601</t>
  </si>
  <si>
    <t>ใบปลิว A5 P4D</t>
  </si>
  <si>
    <t>6902-0599</t>
  </si>
  <si>
    <t>นามบัตร 5.5x8.8cm DLX</t>
  </si>
  <si>
    <t>6902-0600</t>
  </si>
  <si>
    <t>6903-0009</t>
  </si>
  <si>
    <t>กล่อง 28.4x24.7cm Brightening plus - reprint</t>
  </si>
  <si>
    <t>6903-0012</t>
  </si>
  <si>
    <t>ใบปลิว A5 ไทยเที่ยวไทย77</t>
  </si>
  <si>
    <t>6903-0018</t>
  </si>
  <si>
    <t>แผ่นพับ A3 FS</t>
  </si>
  <si>
    <t>6903-0026</t>
  </si>
  <si>
    <t>ใบปลิว A4 GRAB THAI - reprint</t>
  </si>
  <si>
    <t>6903-0028</t>
  </si>
  <si>
    <t>ใบปลิว 6.35x15.24cm DISCOUNT COUPON</t>
  </si>
  <si>
    <t>6903-0035</t>
  </si>
  <si>
    <t>แผ่นพับ A4 AuPair</t>
  </si>
  <si>
    <t>6903-0016</t>
  </si>
  <si>
    <t>คูปอง 16.5x6.5cm SecreatParty</t>
  </si>
  <si>
    <t>6903-0037</t>
  </si>
  <si>
    <t>นามบัตร 9x5.5cm MI55 2 แบบ</t>
  </si>
  <si>
    <t>6903-0020</t>
  </si>
  <si>
    <t>แผ่นพับ A3 Lucky Flame</t>
  </si>
  <si>
    <t>6902-0376-1</t>
  </si>
  <si>
    <t>หนังสือ A4 EVE Titan</t>
  </si>
  <si>
    <t>6903-0017</t>
  </si>
  <si>
    <t>stk 4x3cm สแกนที่นี่</t>
  </si>
  <si>
    <t>6812-0011</t>
  </si>
  <si>
    <t>ใบปลิว A5 Nude Capsule</t>
  </si>
  <si>
    <t>6903-0048</t>
  </si>
  <si>
    <t>6903-0053</t>
  </si>
  <si>
    <t>ใบปลิว A5 Meta Rdu-Book Fair Invitation</t>
  </si>
  <si>
    <t>6903-0051</t>
  </si>
  <si>
    <t>คูปอง 2.5x6inch Cash Coupon</t>
  </si>
  <si>
    <t>6903-0055</t>
  </si>
  <si>
    <t>ใบปลิว A4 StudyIn</t>
  </si>
  <si>
    <t>6903-0054</t>
  </si>
  <si>
    <t>คูปอง 7.5x19cm Meta Edu</t>
  </si>
  <si>
    <t>6903-0052</t>
  </si>
  <si>
    <t>นามบัตร 5.5x8.5cm Meta</t>
  </si>
  <si>
    <t>6903-0056</t>
  </si>
  <si>
    <t>แผ่นพับ A4 Plan A</t>
  </si>
  <si>
    <t>6903-0019</t>
  </si>
  <si>
    <t>ใบปลิว A5 WellGuest Wellness Set 1</t>
  </si>
  <si>
    <t>6902-0604</t>
  </si>
  <si>
    <t>หนังสือ A4 FUJISEIKI Food</t>
  </si>
  <si>
    <t>6903-0070</t>
  </si>
  <si>
    <t>ใบปลิว A5 CRUSIO</t>
  </si>
  <si>
    <t>6903-0063</t>
  </si>
  <si>
    <t>สายคาด 8x63cm CALL IT DAY</t>
  </si>
  <si>
    <t>6903-0071</t>
  </si>
  <si>
    <t>ใบปลิว A5 Discount</t>
  </si>
  <si>
    <t>6903-0072</t>
  </si>
  <si>
    <t>ใบปลิว A5 DANDY COSMO</t>
  </si>
  <si>
    <t>JPG6903-0068</t>
  </si>
  <si>
    <t>คูปอง 2.5x6inch SIHOO 5 แบบ</t>
  </si>
  <si>
    <t>6903-0106</t>
  </si>
  <si>
    <t>ใบปลิว A4 ไทยเที่ยวไทย</t>
  </si>
  <si>
    <t>6903-0107</t>
  </si>
  <si>
    <t>แผ่นพับ A4 PLUS CONNECT</t>
  </si>
  <si>
    <t>6903-0078</t>
  </si>
  <si>
    <t>ใบปลิว A5 อะโกรฟูม - reprint</t>
  </si>
  <si>
    <t>6903-0093</t>
  </si>
  <si>
    <t>ใบปลิว 9.8x18cm รังนก - reprint</t>
  </si>
  <si>
    <t>6903-0079</t>
  </si>
  <si>
    <t>คูปอง 8.5x21cm ANANTARA - reprint</t>
  </si>
  <si>
    <t>6903-0122</t>
  </si>
  <si>
    <t>ใบปลิว A5 CASC</t>
  </si>
  <si>
    <t>6903-0091</t>
  </si>
  <si>
    <t>stk 5x5cm อุ่น 5 นาที พร้อมเสิร์ฟ</t>
  </si>
  <si>
    <t>6903-0032</t>
  </si>
  <si>
    <t>stk 9.5x14cm KHAOSAIJAI</t>
  </si>
  <si>
    <t>6903-0108</t>
  </si>
  <si>
    <t>6903-0134</t>
  </si>
  <si>
    <t>สายคาด 10.5x38cm STAR PRODUCT</t>
  </si>
  <si>
    <t>6903-0124</t>
  </si>
  <si>
    <t xml:space="preserve">ใบปลิว A5 Nestle ไอศกรีม </t>
  </si>
  <si>
    <t>6903-0123</t>
  </si>
  <si>
    <t>ใบปลิว A5 เอเต้ไอศกรีม</t>
  </si>
  <si>
    <t>6903-0117</t>
  </si>
  <si>
    <t>คูปอง 7.6x17.7cm No. 9 Live Fitness - reprint</t>
  </si>
  <si>
    <t>6903-0099</t>
  </si>
  <si>
    <t>แผ่นพับ A4 Coffee Booth</t>
  </si>
  <si>
    <t>6903-0064</t>
  </si>
  <si>
    <t>ใบปลิว A5 วางไว้ Solar</t>
  </si>
  <si>
    <t>6903-0142</t>
  </si>
  <si>
    <t>ใบปลิว A5 DEVER</t>
  </si>
  <si>
    <t>6903-0119</t>
  </si>
  <si>
    <t>นามบัตร 9x5.5cm Ingramchen 3 แบบ</t>
  </si>
  <si>
    <t>6903-0118</t>
  </si>
  <si>
    <t>นามบัตร 9x5.5cm Ingramchen 2 แบบ</t>
  </si>
  <si>
    <t>6903-0131</t>
  </si>
  <si>
    <t>นามบัตร 9x5.5cm Hanan-USA 2 แบบ</t>
  </si>
  <si>
    <t>6903-0147</t>
  </si>
  <si>
    <t>สายคาด 12x65cm SKINOXY</t>
  </si>
  <si>
    <t>6903-0146</t>
  </si>
  <si>
    <t>ใบปลิว A4 STAR PRODUCT</t>
  </si>
  <si>
    <t>6903-0155</t>
  </si>
  <si>
    <t>ใบปลิว A4 STARTEGIC</t>
  </si>
  <si>
    <t>6903-0157</t>
  </si>
  <si>
    <t>stk 4.4x11.8cm HARSHA สีน้ำตาล - reprint</t>
  </si>
  <si>
    <t>6903-0156</t>
  </si>
  <si>
    <t>stk 4.4x11.8cm HARSHA สีเขียว - reprint</t>
  </si>
  <si>
    <t>6903-0154</t>
  </si>
  <si>
    <t>stk 7.8x16.3cm m สีน้ำตาล - reprint</t>
  </si>
  <si>
    <t>6903-0153</t>
  </si>
  <si>
    <t>stk 7.8x16.3cm ml สีเขียว - reprint</t>
  </si>
  <si>
    <t>6903-0160</t>
  </si>
  <si>
    <t>stk 3.4x8cm VIUSID agro - reprint</t>
  </si>
  <si>
    <t>6903-0163</t>
  </si>
  <si>
    <t>ใบปลิว 9.5x21cm OEM</t>
  </si>
  <si>
    <t>6903-0167</t>
  </si>
  <si>
    <t>ใบปลิว A4 Mobile Expo</t>
  </si>
  <si>
    <t>6903-0171</t>
  </si>
  <si>
    <t>ใบปลิว A5 maholllo</t>
  </si>
  <si>
    <t>6903-0172</t>
  </si>
  <si>
    <t>แผ่นพับ A4 โครงการ ป้องกันโรคภัย ใส่ใจผู้สูงอายุ</t>
  </si>
  <si>
    <t>6903-0169</t>
  </si>
  <si>
    <t>แผ่นพับ A4 Teach me Biz Eng</t>
  </si>
  <si>
    <t>6903-0170</t>
  </si>
  <si>
    <t>แผ่นพับ A4 Teach me Biz Jpan</t>
  </si>
  <si>
    <t>6903-0199</t>
  </si>
  <si>
    <t>แผ่นพับ A3 ION ENERGY</t>
  </si>
  <si>
    <t>6903-0195</t>
  </si>
  <si>
    <t>ใบปลิว A4 Hilton</t>
  </si>
  <si>
    <t>6903-0208</t>
  </si>
  <si>
    <t>ใบปลิว CHADA A5_REPRINT</t>
  </si>
  <si>
    <t>6903-0207</t>
  </si>
  <si>
    <t>stk 4.55x2.26cm Barcode - REPRINT</t>
  </si>
  <si>
    <t>6903-0204</t>
  </si>
  <si>
    <t>stk 7.3x12cm Viusid (หลัง)</t>
  </si>
  <si>
    <t>6903-0205</t>
  </si>
  <si>
    <t>stk 7.3x12cm Viusid (หน้า)</t>
  </si>
  <si>
    <t>6903-0221</t>
  </si>
  <si>
    <t>ใบปลิว A5 Teeclub</t>
  </si>
  <si>
    <t>6903-0230</t>
  </si>
  <si>
    <t>ใบปลิว A4 Gpos</t>
  </si>
  <si>
    <t>6903-0228</t>
  </si>
  <si>
    <t>คูปอง 7x15cm ส่วนลด 20 บาท</t>
  </si>
  <si>
    <t>6903-0234</t>
  </si>
  <si>
    <t>ใบปลิว A5 COCODUTY</t>
  </si>
  <si>
    <t>6903-0231</t>
  </si>
  <si>
    <t>แผ่นพับ A4 Huather</t>
  </si>
  <si>
    <t>6903-0240</t>
  </si>
  <si>
    <t>คูปอง 2.5x6inch UTOPIA</t>
  </si>
  <si>
    <t>6903-0243</t>
  </si>
  <si>
    <t>stk 7.2x6.4cm Keep</t>
  </si>
  <si>
    <t>6903-0031</t>
  </si>
  <si>
    <t>stk 4x4cm น้ำพริกน้ำย้อยกุ้งกรอบ</t>
  </si>
  <si>
    <t>6903-0248</t>
  </si>
  <si>
    <t>ใบปลิว A5 GOLDEN ELITE - 2 แบบ</t>
  </si>
  <si>
    <t>6903-0249</t>
  </si>
  <si>
    <t>นามบัตร 9x5.5cm THINK No.5</t>
  </si>
  <si>
    <t>6903-0253</t>
  </si>
  <si>
    <t>ใบปลิว A4 TARA</t>
  </si>
  <si>
    <t>6903-0254</t>
  </si>
  <si>
    <t>ใบปลิว A5 TARA</t>
  </si>
  <si>
    <t>6903-0258</t>
  </si>
  <si>
    <t>คูปอง 3x8inch Matcha</t>
  </si>
  <si>
    <t>6903-0263</t>
  </si>
  <si>
    <t>นามบัตร 9x5.5cm Clean Space ขนิษฐา</t>
  </si>
  <si>
    <t>6903-0264</t>
  </si>
  <si>
    <t>นามบัตร 9x5.5cm Clean Space ธันย์ชนก</t>
  </si>
  <si>
    <t>6903-0256</t>
  </si>
  <si>
    <t>หนังสือ A5 แฟมทอม</t>
  </si>
  <si>
    <t>6903-0265</t>
  </si>
  <si>
    <t>stk 4.8x9cm KRUA BANGNA น้ำเก๊กฮวย</t>
  </si>
  <si>
    <t>6903-0282</t>
  </si>
  <si>
    <t>นามบัตร 9x5.5cm Flexira พิมพ์ณดา</t>
  </si>
  <si>
    <t>6903-0261</t>
  </si>
  <si>
    <t>นามบัตร 9x5.5cm นอนสบาย</t>
  </si>
  <si>
    <t>6903-0269</t>
  </si>
  <si>
    <t>สายคาด 5x30cm Muchroom Salad Roll</t>
  </si>
  <si>
    <t>6903-0273</t>
  </si>
  <si>
    <t>สายคาด 7x42cm ลาบคั่วกลิ้ง เห็ดแคร</t>
  </si>
  <si>
    <t>6903-0271</t>
  </si>
  <si>
    <t>สายคาด 7x42cm Mushroomvilla</t>
  </si>
  <si>
    <t>6903-0276</t>
  </si>
  <si>
    <t>หนังสือ A4 Surge&amp;Lighting</t>
  </si>
  <si>
    <t>6903-0277</t>
  </si>
  <si>
    <t>หนังสือ A4 FIPRES</t>
  </si>
  <si>
    <t>6903-0278</t>
  </si>
  <si>
    <t>หนังสือ A4 TRANSEC</t>
  </si>
  <si>
    <t>6903-0298</t>
  </si>
  <si>
    <t>ใบปลิว A5 โรงเรียนแม่พระประจักษ์</t>
  </si>
  <si>
    <t>6903-0294</t>
  </si>
  <si>
    <t>stk 4x4cm rudi</t>
  </si>
  <si>
    <t>6903-0267</t>
  </si>
  <si>
    <t>ใบปลิว A4 instalimb</t>
  </si>
  <si>
    <t>6903-0268</t>
  </si>
  <si>
    <t>แผ่นพับ A3 Dura+one unfild - 2 แบบ</t>
  </si>
  <si>
    <t>6903-0270</t>
  </si>
  <si>
    <t>แผ่นพับ A3 PRINTER+PO BLEND SUS - 2 แบบ</t>
  </si>
  <si>
    <t>6903-0001</t>
  </si>
  <si>
    <t>stk 5.5x5.5cm Lap Fah</t>
  </si>
  <si>
    <t>6903-0002</t>
  </si>
  <si>
    <t>stk 2x19cm Lap Fah</t>
  </si>
  <si>
    <t>6903-0283</t>
  </si>
  <si>
    <t>สายคาด 6.5x31.5cm กรมฝ่ายอำนวยการ</t>
  </si>
  <si>
    <t>6903-0307</t>
  </si>
  <si>
    <t>แผ่นพับ A4 PSUxIDEs</t>
  </si>
  <si>
    <t>6902-0598</t>
  </si>
  <si>
    <t>แผ่นพับ A3 Renory</t>
  </si>
  <si>
    <t>6903-0306</t>
  </si>
  <si>
    <t>ใบปลิว A4 SERLYN - 4 แบบ</t>
  </si>
  <si>
    <t>6903-0326</t>
  </si>
  <si>
    <t>ใบปลิว A5 GAMOUR</t>
  </si>
  <si>
    <t>6903-0325</t>
  </si>
  <si>
    <t>ใบปลิว A5 WEDDING</t>
  </si>
  <si>
    <t>6903-0328</t>
  </si>
  <si>
    <t>คูปอง 6.2x15.2cm kingun jung - 2แบบ</t>
  </si>
  <si>
    <t>6903-0318</t>
  </si>
  <si>
    <t xml:space="preserve">แผ่นพับ A4 UMW SIAM แบบที่ 4 </t>
  </si>
  <si>
    <t>6903-0320</t>
  </si>
  <si>
    <t>แผ่นพับ A4 UMW SIAM แบบที่ 6</t>
  </si>
  <si>
    <t>6903-0319</t>
  </si>
  <si>
    <t>แผ่นพับ A4 UMW SIAM แบบที่ 5</t>
  </si>
  <si>
    <t>6903-0317</t>
  </si>
  <si>
    <t>แผ่นพับ A4 UMW SIAM - 3แบบ</t>
  </si>
  <si>
    <t>6903-0336</t>
  </si>
  <si>
    <t>ป้ายชื่อ 9.4x6.4cm bni จอร์ส</t>
  </si>
  <si>
    <t>6903-0324</t>
  </si>
  <si>
    <t>stk 40x17.2cm กรีนรูท 5 ลิตร</t>
  </si>
  <si>
    <t>6903-0334</t>
  </si>
  <si>
    <t>แผ่นพับ A5 EGGSHIELD - reprint</t>
  </si>
  <si>
    <t>6903-0335</t>
  </si>
  <si>
    <t>แผ่นพับ A4 EGGSHIELD - reprint</t>
  </si>
  <si>
    <t>6903-0339</t>
  </si>
  <si>
    <t>stk 3.5x3.5cm หมูหยองเส้น 3 รส</t>
  </si>
  <si>
    <t>6903-0351</t>
  </si>
  <si>
    <t>stk 15x4.5cm Valupak - reprint</t>
  </si>
  <si>
    <t>6903-0331</t>
  </si>
  <si>
    <t>คูปอง 9x5.5cm DONKI MALL</t>
  </si>
  <si>
    <t>อาร์ตด้าน 100g (โกดัง)</t>
  </si>
  <si>
    <t>6903-0372</t>
  </si>
  <si>
    <t>ใบปลิว A4 SOL - 2 แบบ</t>
  </si>
  <si>
    <t>6903-0354</t>
  </si>
  <si>
    <t>ใบปลิว A5 ทดลองขับกับ เอ็ม</t>
  </si>
  <si>
    <t>6903-0361</t>
  </si>
  <si>
    <t>stk 5x10cm Pro Source - reprint</t>
  </si>
  <si>
    <t>6903-0355</t>
  </si>
  <si>
    <t>ใบปลิว A4 Hippo</t>
  </si>
  <si>
    <t>6903-0381</t>
  </si>
  <si>
    <t>ใบปลิว A5 เทคโนโลยีพระจอมเกล้าพระนครเหนือ</t>
  </si>
  <si>
    <t>6903-0353</t>
  </si>
  <si>
    <t>ใบปลิว A5 AI-Deate</t>
  </si>
  <si>
    <t>6903-0378</t>
  </si>
  <si>
    <t>กระดาษรองจาน A3 MAW</t>
  </si>
  <si>
    <t>6903-0400</t>
  </si>
  <si>
    <t>คูปอง 6.5x13cm The mall</t>
  </si>
  <si>
    <t>6903-0390</t>
  </si>
  <si>
    <t>ใบปลิว A5 แสงวิจิตร</t>
  </si>
  <si>
    <t>6903-0406</t>
  </si>
  <si>
    <t>stk 6x8cm WINZ - 2 แบบ</t>
  </si>
  <si>
    <t>6903-0508</t>
  </si>
  <si>
    <t>นามบัตร 5.5x9cm PAC - 4 แบบ</t>
  </si>
  <si>
    <t>6903-0398</t>
  </si>
  <si>
    <t>คูปอง 3x7inch โกล เว่ คลินิก</t>
  </si>
  <si>
    <t>6903-0467</t>
  </si>
  <si>
    <t>ใบปลิว 29x26.5cm Rainbodeck</t>
  </si>
  <si>
    <t>6903-0520</t>
  </si>
  <si>
    <t>สมุด A5 Lecanemab</t>
  </si>
  <si>
    <t>35/30</t>
  </si>
  <si>
    <t>6903-0519</t>
  </si>
  <si>
    <t>stk 4x14cm GINGER FARM เหลือง</t>
  </si>
  <si>
    <t>6903-0514</t>
  </si>
  <si>
    <t>stk 4x14cm GINGER FARM น้ำเงิน</t>
  </si>
  <si>
    <t>6903-0512</t>
  </si>
  <si>
    <t>stk 4x14cm GINGER FARM เขียว</t>
  </si>
  <si>
    <t>6903-0513</t>
  </si>
  <si>
    <t>stk 4x14cm GINGER FARM ส้ม</t>
  </si>
  <si>
    <t>6903-0516</t>
  </si>
  <si>
    <t>stk 7.5x10.3cm Anti-Acne - reprint</t>
  </si>
  <si>
    <t>6903-0412</t>
  </si>
  <si>
    <t>stk 15x15cm รถพุ่มพวง</t>
  </si>
  <si>
    <t>6903-0421</t>
  </si>
  <si>
    <t xml:space="preserve">stk 10.5x14.8cm Economap </t>
  </si>
  <si>
    <t>6903-0403</t>
  </si>
  <si>
    <t>stk 6x4cm ไม่ใส่วัตถุกันเสีย</t>
  </si>
  <si>
    <t>6903-0533</t>
  </si>
  <si>
    <t>นามบัตร 5.5x9cm แกมม่า</t>
  </si>
  <si>
    <t>6903-0463</t>
  </si>
  <si>
    <t>ใบปลิว A4 Periodic</t>
  </si>
  <si>
    <t>6903-0554</t>
  </si>
  <si>
    <t>ใบปลิว A5 CHADA - reprint</t>
  </si>
  <si>
    <t>6903-0534</t>
  </si>
  <si>
    <t>stk 3x3cm ธัญญะภัทร</t>
  </si>
  <si>
    <t>6903-0535</t>
  </si>
  <si>
    <t>stk 15.5x3cm น้ำมันสามประสาน</t>
  </si>
  <si>
    <t>6903-0561</t>
  </si>
  <si>
    <t>ป้ายแท็ก 8x12cm Staff</t>
  </si>
  <si>
    <t>6903-0562</t>
  </si>
  <si>
    <t>นามบัตร 9x5.5cm Jrinthip</t>
  </si>
  <si>
    <t>6903-0557</t>
  </si>
  <si>
    <t>สมุดฉีก A5 YANMAR แดง</t>
  </si>
  <si>
    <t>6903-0558</t>
  </si>
  <si>
    <t>สมุดฉีก A5 YANMAR ขาว</t>
  </si>
  <si>
    <t>6903-0566</t>
  </si>
  <si>
    <t>stk 4x4cm หอม - reprint</t>
  </si>
  <si>
    <t>6903-0576</t>
  </si>
  <si>
    <t>การ์ด 4.5x7cm Gamecard - 2 แบบ</t>
  </si>
  <si>
    <t>JPG6903-0376</t>
  </si>
  <si>
    <t>ใบอนุโมทนาบุญ - 2 แบบ</t>
  </si>
  <si>
    <t>10/100</t>
  </si>
  <si>
    <t>5/25</t>
  </si>
  <si>
    <t>10/30</t>
  </si>
  <si>
    <t>JPG6712-0197</t>
  </si>
  <si>
    <t>stk 1.1x3.3cm FEITAS</t>
  </si>
  <si>
    <t>6903-0571</t>
  </si>
  <si>
    <t>ใบปลิว A4 ChimZeo</t>
  </si>
  <si>
    <t>6903-0572</t>
  </si>
  <si>
    <t>ใบปลิว A5 ChimZeo</t>
  </si>
  <si>
    <t>6903-0567</t>
  </si>
  <si>
    <t>หนังสือ A5 GDS</t>
  </si>
  <si>
    <t>6903-0569</t>
  </si>
  <si>
    <t>หนังสือ A5 GAS_Company</t>
  </si>
  <si>
    <t>6903-0583</t>
  </si>
  <si>
    <t>แผ่นพับ A3 ทาเคะจัง</t>
  </si>
  <si>
    <t>6903-0564</t>
  </si>
  <si>
    <t>หนังสือ A5 SENSIT</t>
  </si>
  <si>
    <t>6903-0582</t>
  </si>
  <si>
    <t>หนังสือ A5 BNI Legend</t>
  </si>
  <si>
    <t>6903-0565</t>
  </si>
  <si>
    <t>6903-0594</t>
  </si>
  <si>
    <t>คูปอง 3x7inch AD ADVISORY - 2 แบบ</t>
  </si>
  <si>
    <t>6903-0595</t>
  </si>
  <si>
    <t>ใบปลิว A5 BearingCAT</t>
  </si>
  <si>
    <t>6903-0597</t>
  </si>
  <si>
    <t>ใบปลิว A5 BearingDOG</t>
  </si>
  <si>
    <t>6903-0600</t>
  </si>
  <si>
    <t>ใบปลิว A5 เมนูอาหาร</t>
  </si>
  <si>
    <t>6903-0542</t>
  </si>
  <si>
    <t>แผ่นพับ A4 เพชรยนต์</t>
  </si>
  <si>
    <t>6903-0621</t>
  </si>
  <si>
    <t>stk 5x8cm คำรณ สุขถาวร</t>
  </si>
  <si>
    <t>6903-0620</t>
  </si>
  <si>
    <t>ใบปลิว A5 จีวากา</t>
  </si>
  <si>
    <t>6903-0635</t>
  </si>
  <si>
    <t>ใบปลิว A5 THIRDEASES</t>
  </si>
  <si>
    <t>6903-0631</t>
  </si>
  <si>
    <t>ใบปลิว A5 HQ</t>
  </si>
  <si>
    <t>6902-0572</t>
  </si>
  <si>
    <t>กล่อง 13.5x23.5cm EZYZUD TOYS SMALL</t>
  </si>
  <si>
    <t>6902-0573</t>
  </si>
  <si>
    <t>กล่อง 18.5x31.5cm EZYZUD TOYS LARGE</t>
  </si>
  <si>
    <t>6903-0642</t>
  </si>
  <si>
    <t>คูปอง 6.5x15.5 cm Gift voucher</t>
  </si>
  <si>
    <t>6903-0656</t>
  </si>
  <si>
    <t>stk A3 รัตนบุปผา</t>
  </si>
  <si>
    <t>6903-0649</t>
  </si>
  <si>
    <t>หนังสือ 11x22cm Dockweller</t>
  </si>
  <si>
    <t>6903-0676</t>
  </si>
  <si>
    <t>ใบปลิว A5 SAWASDEE</t>
  </si>
  <si>
    <t>6903-0675</t>
  </si>
  <si>
    <t>ใบปลิว A4 SAWASDEE</t>
  </si>
  <si>
    <t>6903-0680</t>
  </si>
  <si>
    <t>stk 3.5x3.5cm อัลมอนด์</t>
  </si>
  <si>
    <t>6903-0672</t>
  </si>
  <si>
    <t>ใบปลิว 11.3x18.1cm AeroNe - reprint</t>
  </si>
  <si>
    <t>6904-0004</t>
  </si>
  <si>
    <t>แผ่นพับ A4 CRFTESTCA</t>
  </si>
  <si>
    <t>6903-0685</t>
  </si>
  <si>
    <t>stk 4.5x5cm สคบ set 1</t>
  </si>
  <si>
    <t>6903-0686</t>
  </si>
  <si>
    <t>stk 4.5x5cm สคบ set 2</t>
  </si>
  <si>
    <t>stk 4.5x5cm สคบ set 3</t>
  </si>
  <si>
    <t>6904-0007</t>
  </si>
  <si>
    <t>แผ่นพับ A4 Doc tor Trid</t>
  </si>
  <si>
    <t>6904-0023</t>
  </si>
  <si>
    <t>ป้ายชื่อ 9.4x6.4cm bni เอเยส</t>
  </si>
  <si>
    <t>JPG6904-0011</t>
  </si>
  <si>
    <t>stk 3.5x1cm Makro</t>
  </si>
  <si>
    <t>6904-0027</t>
  </si>
  <si>
    <t>หนังสือ A4 STILL_EDIT</t>
  </si>
  <si>
    <t>6904-0022</t>
  </si>
  <si>
    <t>แผ่นพับ 27.17x42cm SURFHOUSE</t>
  </si>
  <si>
    <t>6904-0024</t>
  </si>
  <si>
    <t>stk 3x1.5cm PROMOTION30</t>
  </si>
  <si>
    <t>6904-0032</t>
  </si>
  <si>
    <t>ใบปลิว A4 FOCO</t>
  </si>
  <si>
    <t>6904-0057</t>
  </si>
  <si>
    <t>ป้าย 9.5x13.5cm Staff</t>
  </si>
  <si>
    <t>6904-0072</t>
  </si>
  <si>
    <t>หนังสือ A4 Lion EV</t>
  </si>
  <si>
    <t>6903-0667</t>
  </si>
  <si>
    <t>หนังสือ A5 ในความทรงจำ</t>
  </si>
  <si>
    <t>160/80</t>
  </si>
  <si>
    <t>6904-0030</t>
  </si>
  <si>
    <t>stk 0.8x2.7cm No2</t>
  </si>
  <si>
    <t>6904-0051</t>
  </si>
  <si>
    <t>6904-0031</t>
  </si>
  <si>
    <t>stk 0.8x2.7cm No1</t>
  </si>
  <si>
    <t>6904-0052</t>
  </si>
  <si>
    <t>stk 5x5cm Softfood ทางร้านพร้อมดูแล - reprint</t>
  </si>
  <si>
    <t>6904-0049</t>
  </si>
  <si>
    <t>stk 3x9cm Softfood Wake up fesh - reprint</t>
  </si>
  <si>
    <t>6904-0048</t>
  </si>
  <si>
    <t>6904-0050</t>
  </si>
  <si>
    <t>stk 3x9cm Softfood Root rush - reprint</t>
  </si>
  <si>
    <t>6904-0102</t>
  </si>
  <si>
    <t>แผ่นพับ A4 CAFE MINI ZOO</t>
  </si>
  <si>
    <t>6904-0101</t>
  </si>
  <si>
    <t>คูปอง 2.5x6inch Royal Enfield</t>
  </si>
  <si>
    <t>6904-0115</t>
  </si>
  <si>
    <t>stk 3.5x10.5cm menu sweetness</t>
  </si>
  <si>
    <t>6904-0114</t>
  </si>
  <si>
    <t>stk 4x4cm MACHAHOLIC</t>
  </si>
  <si>
    <t>6904-0113</t>
  </si>
  <si>
    <t>ป้าย tag 16x16cm CFA</t>
  </si>
  <si>
    <t>6904-0100</t>
  </si>
  <si>
    <t>แผ่นพับ A4 GPAG</t>
  </si>
  <si>
    <t>6904-0110</t>
  </si>
  <si>
    <t>ใบปลิว A4 หมอโจ</t>
  </si>
  <si>
    <t>6904-0120</t>
  </si>
  <si>
    <t>6903-0683</t>
  </si>
  <si>
    <t>120/106</t>
  </si>
  <si>
    <t>6904-0140</t>
  </si>
  <si>
    <t>ใบปลิว A4 บ้านงามเจริญ</t>
  </si>
  <si>
    <t>6904-0129</t>
  </si>
  <si>
    <t>stk 10x12cm MoreOlease Pumpkin หน้า-หลัง</t>
  </si>
  <si>
    <t>6904-0028</t>
  </si>
  <si>
    <t>stk 10x12cm MoreOlease Apple หน้า-หลัง</t>
  </si>
  <si>
    <t>6904-0145</t>
  </si>
  <si>
    <t>นามบัตร  5.5x9cm WWS</t>
  </si>
  <si>
    <t>6904-0137</t>
  </si>
  <si>
    <t>หนังสือ 21x29.4cm แอท ที คอนเนค</t>
  </si>
  <si>
    <t>6904-0147</t>
  </si>
  <si>
    <t>ใบปลิว A5 Ai Gateway - reprint</t>
  </si>
  <si>
    <t>6904-0143</t>
  </si>
  <si>
    <t>สายคาด 5x42cm Yummy - reprint</t>
  </si>
  <si>
    <t>6904-0148</t>
  </si>
  <si>
    <t>นามบัตร 5.5x9cm Door sapce</t>
  </si>
  <si>
    <t>6904-0150</t>
  </si>
  <si>
    <t>หนังสือ A4 Dooe space</t>
  </si>
  <si>
    <t>6904-0029-1</t>
  </si>
  <si>
    <t>ใบปลิว A5 FOGO</t>
  </si>
  <si>
    <t>6904-0032-1</t>
  </si>
  <si>
    <t>ใบปลิว A4 FOGO</t>
  </si>
  <si>
    <t>6904-0130</t>
  </si>
  <si>
    <t>นามบัตร 5.5x9cm เคเทคโค๊ตติ้ง</t>
  </si>
  <si>
    <t>ใบอนุโมทนาบุญ</t>
  </si>
  <si>
    <t>6904-0161</t>
  </si>
  <si>
    <t>หนังสือ A4 DTA</t>
  </si>
  <si>
    <t>6904-0185</t>
  </si>
  <si>
    <t>ใบปลิว A5 MAO THAI</t>
  </si>
  <si>
    <t>Jeab</t>
  </si>
  <si>
    <t>6904-0197</t>
  </si>
  <si>
    <t>แผ่นพับ WOOD DEN</t>
  </si>
  <si>
    <t>6904-0209</t>
  </si>
  <si>
    <t>ใบปลิว Anya Spa</t>
  </si>
  <si>
    <t>6904-0058</t>
  </si>
  <si>
    <t>สายคาด ณัฐเศรษฐ์</t>
  </si>
  <si>
    <t>6904-0230</t>
  </si>
  <si>
    <t>แผ่นพับ A4 Newcastle</t>
  </si>
  <si>
    <t>6904-0117</t>
  </si>
  <si>
    <t>แผ่นพับแคตตาล็อคแผ่นสี 84.3x22.4cm Thunder Color</t>
  </si>
  <si>
    <t>6904-0204</t>
  </si>
  <si>
    <t>stk 4x12cm CandGatto</t>
  </si>
  <si>
    <t>6904-0202</t>
  </si>
  <si>
    <t>stk 4x12cm BERND</t>
  </si>
  <si>
    <t>6904-0229</t>
  </si>
  <si>
    <t>นามบัตร 9x5.5cm Mother Charger - 4 แบบ</t>
  </si>
  <si>
    <t>6904-0228</t>
  </si>
  <si>
    <t>คูปอง 2.5x6inch ส่วนลดห้องพัก</t>
  </si>
  <si>
    <t>6904-0249</t>
  </si>
  <si>
    <t>ใบปลิว A4 ZBOM</t>
  </si>
  <si>
    <t>6904-0245</t>
  </si>
  <si>
    <t>6904-0246</t>
  </si>
  <si>
    <t>นามบัตร 5.5x9cm เอมิโกะ</t>
  </si>
  <si>
    <t>6904-0250</t>
  </si>
  <si>
    <t>สติ้กเกอร์ A3 Srifa</t>
  </si>
  <si>
    <t>6904-0251</t>
  </si>
  <si>
    <t>stk  3x3cm TAMAPO</t>
  </si>
  <si>
    <t>6904-0263</t>
  </si>
  <si>
    <t>นามบัตร 9x5.5cm  อรรถพล - ยูเอวีไอที</t>
  </si>
  <si>
    <t>6904-0252</t>
  </si>
  <si>
    <t>คูปอง 6.3x15cm Siesta Loccitane</t>
  </si>
  <si>
    <t>6904-0257</t>
  </si>
  <si>
    <t>ใบปลิว A4 Bloompet - 3 แบบ</t>
  </si>
  <si>
    <t>6904-0233</t>
  </si>
  <si>
    <t>ใบปลิว A5 โอบีโฮม</t>
  </si>
  <si>
    <t>6904-0261</t>
  </si>
  <si>
    <t>ใบปลิว A5 Laundry Pop</t>
  </si>
  <si>
    <t>6904-0268</t>
  </si>
  <si>
    <t>คูปอง 2.5x6inch บัตรตั๋วมวยผู้หญิงรวม</t>
  </si>
  <si>
    <t>6904-0269</t>
  </si>
  <si>
    <t>คูปอง 2.5x6inch บัตรตั๋วมวยผู้ชายรวม</t>
  </si>
  <si>
    <t>6904-0277</t>
  </si>
  <si>
    <t>ใบปลิว A5 Yan Yao</t>
  </si>
  <si>
    <t>6904-0255</t>
  </si>
  <si>
    <t>การ์ด DEVA DIY 9x5.5cm</t>
  </si>
  <si>
    <t>JOG6904-0290</t>
  </si>
  <si>
    <t>fairdee academy ใบปลิว A5</t>
  </si>
  <si>
    <t>Nat</t>
  </si>
  <si>
    <t>JOG6904-0259</t>
  </si>
  <si>
    <t>ใบปลิว A5 สี่มุมเมือง ออนไลน์</t>
  </si>
  <si>
    <t>JOG6904-0313</t>
  </si>
  <si>
    <t>ใบปลิว A5 Fleevigo</t>
  </si>
  <si>
    <t>6904-0316</t>
  </si>
  <si>
    <t>ใบปลิว A5 IPPF</t>
  </si>
  <si>
    <t>JOG6904-0318</t>
  </si>
  <si>
    <t>นามบัตร 5.5x9 CM GW AVANCE SET 2</t>
  </si>
  <si>
    <t>JOG6904-0317</t>
  </si>
  <si>
    <t>นามบัตร 5.5x9 CM GW AVANCE SET 1</t>
  </si>
  <si>
    <t>JOG6904-0319</t>
  </si>
  <si>
    <t>แผนฟับ A3 GW AVANCE SET 1</t>
  </si>
  <si>
    <t>JOG6904-0321</t>
  </si>
  <si>
    <t>แผนฟับ A3 GW AVANCE</t>
  </si>
  <si>
    <t>JOG6904-0324</t>
  </si>
  <si>
    <t>แผ่นพับ A3 VISUAL</t>
  </si>
  <si>
    <t>6904-0322</t>
  </si>
  <si>
    <t>สายคาด 8x42.3cm minos</t>
  </si>
  <si>
    <t>6904-0325</t>
  </si>
  <si>
    <t>stk 4x4cm 20% off</t>
  </si>
  <si>
    <t>6904-0326</t>
  </si>
  <si>
    <t>stk 4x4cm SRGULA</t>
  </si>
  <si>
    <t>6904-0337</t>
  </si>
  <si>
    <t>ใบปลิว A5 APARA</t>
  </si>
  <si>
    <t>6904-0330</t>
  </si>
  <si>
    <t>ใบปลิว A5 ที่ดินบ้านสวนเมืองผลไม้</t>
  </si>
  <si>
    <t>6904-0342</t>
  </si>
  <si>
    <t>หนังสือ 8x10นิ้ว KODA</t>
  </si>
  <si>
    <t>6904-0281</t>
  </si>
  <si>
    <t>หนังสือ A5 คุณมะพร้าว</t>
  </si>
  <si>
    <t>125/625</t>
  </si>
  <si>
    <t>135/650</t>
  </si>
  <si>
    <t>6904-0374</t>
  </si>
  <si>
    <t>สายคาด 5x42 cm นำโชค หนองเหียง - reprint</t>
  </si>
  <si>
    <t>6904-0340</t>
  </si>
  <si>
    <t>ใบปลิว A5 chualaheaalthstreet</t>
  </si>
  <si>
    <t>6904-0380</t>
  </si>
  <si>
    <t>ใบปลิว A4 krungthai</t>
  </si>
  <si>
    <t>6904-0357</t>
  </si>
  <si>
    <t>โปสการ์ด A5 คุณมะพร้าว - 36 แบบ</t>
  </si>
  <si>
    <t>6904-0391</t>
  </si>
  <si>
    <t>นามบัตร 5.5x9 cm 24 wash</t>
  </si>
  <si>
    <t>6904-0254</t>
  </si>
  <si>
    <t>หนังสือ A5 โปรเจค esp32 lot</t>
  </si>
  <si>
    <t>6904-0399</t>
  </si>
  <si>
    <t>แผ่นพับ A4 ดอกไม้</t>
  </si>
  <si>
    <t>6904-0361</t>
  </si>
  <si>
    <t>การ์์ดกระดาษ 7.1x10cm LALAMOVE</t>
  </si>
  <si>
    <t>6904-0407</t>
  </si>
  <si>
    <t>ใบปลิว A4 dyno tech</t>
  </si>
  <si>
    <t>6904-0414</t>
  </si>
  <si>
    <t>ใบปลิว A4 onnex</t>
  </si>
  <si>
    <t>6904-0411</t>
  </si>
  <si>
    <t>ใบปลิว A4 หอประชุมกองทัพอากาศ</t>
  </si>
  <si>
    <t>6904-0398</t>
  </si>
  <si>
    <t>นามบัตร 5.5x9 cm mother nattana</t>
  </si>
  <si>
    <t>6904-0416</t>
  </si>
  <si>
    <t>คูปอง 6 x 15 cm. JET</t>
  </si>
  <si>
    <t>6904-0409</t>
  </si>
  <si>
    <t>ใบปลิว A5 bearing shampoo</t>
  </si>
  <si>
    <t>6904-0424</t>
  </si>
  <si>
    <t>ใบปลิิว A4 ไทยสยามนคร</t>
  </si>
  <si>
    <t>6904-0423</t>
  </si>
  <si>
    <t>ใบปลิว a4 ไทยสยามนคร</t>
  </si>
  <si>
    <t>6904-0435</t>
  </si>
  <si>
    <t>ใบปลิว 9.5x21 cm fytt_V vibe</t>
  </si>
  <si>
    <t>6904-0456</t>
  </si>
  <si>
    <t>สายคาด BEEF BRISKET</t>
  </si>
  <si>
    <t>6904-0309</t>
  </si>
  <si>
    <t>แผ่นพับ microsystem</t>
  </si>
  <si>
    <t>6904-0325-1</t>
  </si>
  <si>
    <t>ซ่อม สติกเกอร์ 20% OFF</t>
  </si>
  <si>
    <t>6904-0326-1</t>
  </si>
  <si>
    <t>ซ่่อม สติกเกอร์ SRGULA</t>
  </si>
  <si>
    <t>6904-0450</t>
  </si>
  <si>
    <t>โปสการ์์ด Eggwhite</t>
  </si>
  <si>
    <t>6904-0470</t>
  </si>
  <si>
    <t>ใบปลิว SMART STRING</t>
  </si>
  <si>
    <t>6904-0463</t>
  </si>
  <si>
    <t>ใบปลิว A5 Raphaelo PIZZA</t>
  </si>
  <si>
    <t>6904-0431</t>
  </si>
  <si>
    <t>ใบปลิว A4 crusio</t>
  </si>
  <si>
    <t>6904-0419</t>
  </si>
  <si>
    <t>6904-0477</t>
  </si>
  <si>
    <t>6904-0462</t>
  </si>
  <si>
    <t>สติ้ิกเกอร์ กินกันจังชาบู</t>
  </si>
  <si>
    <t>6904-0502</t>
  </si>
  <si>
    <t>ใบปลิว A5 SUKAYA</t>
  </si>
  <si>
    <t>6904-0491</t>
  </si>
  <si>
    <t>6904-0504</t>
  </si>
  <si>
    <t>แผ่นพับ A4 TRASH O CHESTRA</t>
  </si>
  <si>
    <t>6904-0476</t>
  </si>
  <si>
    <t>คูปอง 6x15 cm ห้างทองใจดี</t>
  </si>
  <si>
    <t>6904-0446</t>
  </si>
  <si>
    <t>ใบปลิว A4 CMT PEGASUS</t>
  </si>
  <si>
    <t>6904-0445</t>
  </si>
  <si>
    <r>
      <rPr>
        <rFont val="Mali"/>
      </rPr>
      <t xml:space="preserve">ใบปลิว A4 ตัดหญ้า CMT </t>
    </r>
    <r>
      <rPr>
        <rFont val="Mali"/>
        <color rgb="FF1155CC"/>
        <u/>
      </rPr>
      <t>VTH</t>
    </r>
  </si>
  <si>
    <t>6904-0392</t>
  </si>
  <si>
    <t>นามบัตร 9x5.5 cm PLR</t>
  </si>
  <si>
    <t>6904-0387</t>
  </si>
  <si>
    <t>สายคาด 23x53.8 cm ฟาร์มป้า</t>
  </si>
  <si>
    <t>6904-0385</t>
  </si>
  <si>
    <t>ป้ายแท็ก 9.6 x 12.8 cm farmpa</t>
  </si>
  <si>
    <t>6904-0386</t>
  </si>
  <si>
    <t>แผ่นพับ 14.8 x 60 cm ฟาร์มป๋า</t>
  </si>
  <si>
    <t>6904-0397</t>
  </si>
  <si>
    <t>นามบัตร 9x5.5 cm mother kriansak</t>
  </si>
  <si>
    <t>6904-0460</t>
  </si>
  <si>
    <t>กล่อง exelle gems</t>
  </si>
  <si>
    <t>6905-0001</t>
  </si>
  <si>
    <t>ใบปลิว SOY POP</t>
  </si>
  <si>
    <t>6904-0492</t>
  </si>
  <si>
    <t>ใบปลิิว Playsound thai</t>
  </si>
  <si>
    <t>6904-0505</t>
  </si>
  <si>
    <t>ใบปลิว A4 TSHS</t>
  </si>
  <si>
    <t>2/5/2026 16.29.15</t>
  </si>
  <si>
    <t>2/5/2026 16.33.10</t>
  </si>
  <si>
    <t>6905-0014</t>
  </si>
  <si>
    <t>ใบปลิว A4 Studyin</t>
  </si>
  <si>
    <t>6905-0004</t>
  </si>
  <si>
    <t>แผ่นผับ A4 24.29.7 cm พรอสเพค NEW</t>
  </si>
  <si>
    <t>6904-0506</t>
  </si>
  <si>
    <t>ใบปลิว A5 aerospace mro</t>
  </si>
  <si>
    <t>6905-0017</t>
  </si>
  <si>
    <t>แผ่่นผับ A4 food grade</t>
  </si>
  <si>
    <t>6904-0493</t>
  </si>
  <si>
    <t>หนังสือ A4 ice cream</t>
  </si>
  <si>
    <t>30-720</t>
  </si>
  <si>
    <t>52-840</t>
  </si>
  <si>
    <t>6905-0021</t>
  </si>
  <si>
    <t>สติ๊กเกอร์ A3 softfood</t>
  </si>
  <si>
    <t>6904-0500</t>
  </si>
  <si>
    <t>ใบปลิว A4 hopestar</t>
  </si>
  <si>
    <t>6905-0036</t>
  </si>
  <si>
    <t>นามบัตร 5.5 x 9 cm PNW</t>
  </si>
  <si>
    <t>6905-0037</t>
  </si>
  <si>
    <t>สายคาด 5 x 36 cm Quiche</t>
  </si>
  <si>
    <t>6904-0484</t>
  </si>
  <si>
    <t>สติ๊กเกอร์ 5x7 cm lemon oil</t>
  </si>
  <si>
    <t>6905-0018</t>
  </si>
  <si>
    <t>ใบปลิว A4 โหงวเฮ้ง</t>
  </si>
  <si>
    <t>6905-0043</t>
  </si>
  <si>
    <r>
      <rPr>
        <rFont val="Mali"/>
      </rPr>
      <t xml:space="preserve">สติ๊กเกอร์ </t>
    </r>
    <r>
      <rPr>
        <rFont val="Mali"/>
        <color rgb="FF1155CC"/>
        <u/>
      </rPr>
      <t>1.7x21.cm</t>
    </r>
    <r>
      <rPr>
        <rFont val="Mali"/>
      </rPr>
      <t xml:space="preserve"> bbf</t>
    </r>
  </si>
  <si>
    <t>2000-7800</t>
  </si>
  <si>
    <t>7-25</t>
  </si>
  <si>
    <t>11-29</t>
  </si>
  <si>
    <t>6905-0042</t>
  </si>
  <si>
    <t>สติ๊กเกอร์ 0.9 x 1.8 cm bbf</t>
  </si>
  <si>
    <t>6905-0046</t>
  </si>
  <si>
    <t>สายคาด 6*42 cm รสดี</t>
  </si>
  <si>
    <t>6905-0047</t>
  </si>
  <si>
    <t>สายคาด 6*55 cm อร่อยเสก</t>
  </si>
  <si>
    <t>6905-0073</t>
  </si>
  <si>
    <t>ใบปลิว A4 krungsri</t>
  </si>
  <si>
    <t>6905-0144</t>
  </si>
  <si>
    <t>ใบปลิว a5 fender plus</t>
  </si>
  <si>
    <t>6905-0094</t>
  </si>
  <si>
    <t>นามบััตร 5.5x9  intro แบบ 2</t>
  </si>
  <si>
    <t>6905-0093</t>
  </si>
  <si>
    <t>นามบัตร 5.5 x 9 cm intro แบบ 1</t>
  </si>
  <si>
    <t>6905-0129</t>
  </si>
  <si>
    <t>แผ่นผัับ DOBOT</t>
  </si>
  <si>
    <t>6905-0125</t>
  </si>
  <si>
    <t>สายคาด chee chuan</t>
  </si>
  <si>
    <t>6905-0126</t>
  </si>
  <si>
    <t>สติ๊กเกอร์ CHee CHUAN</t>
  </si>
  <si>
    <t>6905-0136</t>
  </si>
  <si>
    <t>สายคาด longgines</t>
  </si>
  <si>
    <t>6904-0490</t>
  </si>
  <si>
    <t>หนัังสือ pulsar</t>
  </si>
  <si>
    <t>6904-0433</t>
  </si>
  <si>
    <t>หนังสืือ monter แบบมีราคา</t>
  </si>
  <si>
    <t>6904-0434</t>
  </si>
  <si>
    <t>หนังสืือ monter แบบไม่มีราคา</t>
  </si>
  <si>
    <t>6905-0088</t>
  </si>
  <si>
    <t>สติ๊กเกอร์ นํ้ามะพร้าว</t>
  </si>
  <si>
    <t>6905-0087</t>
  </si>
  <si>
    <t>สติ๊กเกอร์ XO รีปริ้น</t>
  </si>
  <si>
    <t>6905-0123</t>
  </si>
  <si>
    <t>สติ๊กเกอร์ สแกนที่นี่</t>
  </si>
  <si>
    <t>6905-0085</t>
  </si>
  <si>
    <t>สติ๊กเกอร์ you aluminum</t>
  </si>
  <si>
    <t>สติ๊กเกอร์ bbf baby box</t>
  </si>
  <si>
    <t>สติ๊กเกอร์ bbf sticker</t>
  </si>
  <si>
    <t>6905-0080</t>
  </si>
  <si>
    <t>นามบัตร alpha pack</t>
  </si>
  <si>
    <t>6905-0102</t>
  </si>
  <si>
    <t>นามบัตร วรกุลชัย</t>
  </si>
  <si>
    <t>6905-0063</t>
  </si>
  <si>
    <t>คูปอง vera</t>
  </si>
  <si>
    <t>6905-0184</t>
  </si>
  <si>
    <t>นามบัตร fatcat</t>
  </si>
  <si>
    <t>6905-0167</t>
  </si>
  <si>
    <t>ใบปลิว A5 สาวิตรี</t>
  </si>
  <si>
    <t>6905-0161</t>
  </si>
  <si>
    <t>ใบปลิว JHQ2605006</t>
  </si>
  <si>
    <t>ใบปลิว FENDER PLUS</t>
  </si>
  <si>
    <t>6904-0485</t>
  </si>
  <si>
    <t>สติ๊กเกอร์ guitar care</t>
  </si>
  <si>
    <t>6905-0193</t>
  </si>
  <si>
    <t>ใบปลิว promo</t>
  </si>
  <si>
    <t>6905-0174</t>
  </si>
  <si>
    <t>แผ่นพับ สตัดดิสท์ eng</t>
  </si>
  <si>
    <t>6905-0175</t>
  </si>
  <si>
    <t>แผ่นพัับ สตัดดิสท์</t>
  </si>
  <si>
    <t>6905-0200</t>
  </si>
  <si>
    <t>6905-0201</t>
  </si>
  <si>
    <t>6905-0197</t>
  </si>
  <si>
    <t>6905-0103</t>
  </si>
  <si>
    <t>ป้ายแท็ก เก่าแลกใหม่</t>
  </si>
  <si>
    <t>6905-0206</t>
  </si>
  <si>
    <t>6905-0205</t>
  </si>
  <si>
    <t>ใบปลิิว firdee academy</t>
  </si>
  <si>
    <t>6905-0122</t>
  </si>
  <si>
    <t>ป้ายแท็ก house mart pua bloom</t>
  </si>
  <si>
    <t>6904-0412</t>
  </si>
  <si>
    <t>6905-0198</t>
  </si>
  <si>
    <t>6905-0237</t>
  </si>
  <si>
    <t>ใบปลิว subcon</t>
  </si>
  <si>
    <t>6905-0240</t>
  </si>
  <si>
    <t>ใบปลิิว muu muu mama</t>
  </si>
  <si>
    <t>6905-0104</t>
  </si>
  <si>
    <t>ใบปลิว reegan boxtype</t>
  </si>
  <si>
    <t>6905-0247</t>
  </si>
  <si>
    <t>สติ๊ิ๊กเกอร์  darling</t>
  </si>
  <si>
    <t>6905-0250</t>
  </si>
  <si>
    <t xml:space="preserve">สติ๊กเกอร์์ hot line </t>
  </si>
  <si>
    <t>6905-0234</t>
  </si>
  <si>
    <t>แผ่นพับ code gears</t>
  </si>
  <si>
    <t>6905-0259</t>
  </si>
  <si>
    <t>นามบัตร Digital</t>
  </si>
  <si>
    <t>6902-0592</t>
  </si>
  <si>
    <t>หนังสือ moonhaus</t>
  </si>
  <si>
    <t>6905-0260</t>
  </si>
  <si>
    <t>ใบปลิว ALLURE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</si>
</sst>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, H:mm:ss"/>
    <numFmt numFmtId="166" formatCode="d/m"/>
    <numFmt numFmtId="167" formatCode="d-m"/>
  </numFmts>
  <fonts count="12">
    <font>
      <sz val="10.0"/>
      <color rgb="FF000000"/>
      <name val="Arial"/>
      <scheme val="minor"/>
    </font>
    <font>
      <b/>
      <color theme="1"/>
      <name val="Mali"/>
    </font>
    <font/>
    <font>
      <color theme="1"/>
      <name val="Mali"/>
    </font>
    <font>
      <b/>
      <sz val="11.0"/>
      <color rgb="FFFFFFFF"/>
      <name val="Mali"/>
    </font>
    <font>
      <color theme="0"/>
      <name val="Mali"/>
    </font>
    <font>
      <color theme="1"/>
      <name val="Arial"/>
    </font>
    <font>
      <sz val="10.0"/>
      <color theme="1"/>
      <name val="Mali"/>
    </font>
    <font>
      <color rgb="FFFFFF00"/>
      <name val="Mali"/>
    </font>
    <font>
      <sz val="11.0"/>
      <color rgb="FFFFFF00"/>
      <name val="Mali"/>
    </font>
    <font>
      <color theme="1"/>
      <name val="Arial"/>
      <scheme val="minor"/>
    </font>
    <font>
      <u/>
      <color rgb="FF0000FF"/>
      <name val="Mali"/>
    </font>
  </fonts>
  <fills count="2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45818E"/>
        <bgColor rgb="FF45818E"/>
      </patternFill>
    </fill>
    <fill>
      <patternFill patternType="solid">
        <fgColor rgb="FF8E7CC3"/>
        <bgColor rgb="FF8E7CC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215A6C"/>
        <bgColor rgb="FF215A6C"/>
      </patternFill>
    </fill>
    <fill>
      <patternFill patternType="solid">
        <fgColor rgb="FFB6D7A8"/>
        <bgColor rgb="FFB6D7A8"/>
      </patternFill>
    </fill>
    <fill>
      <patternFill patternType="solid">
        <fgColor rgb="FFE4F6EC"/>
        <bgColor rgb="FFE4F6E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0A53A8"/>
        <bgColor rgb="FF0A53A8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1" fillId="4" fontId="1" numFmtId="164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readingOrder="0" vertical="center"/>
    </xf>
    <xf borderId="1" fillId="7" fontId="3" numFmtId="0" xfId="0" applyAlignment="1" applyBorder="1" applyFill="1" applyFont="1">
      <alignment horizontal="center" readingOrder="0" vertical="center"/>
    </xf>
    <xf borderId="3" fillId="7" fontId="3" numFmtId="0" xfId="0" applyAlignment="1" applyBorder="1" applyFont="1">
      <alignment horizontal="center" readingOrder="0" vertical="center"/>
    </xf>
    <xf borderId="3" fillId="8" fontId="3" numFmtId="0" xfId="0" applyAlignment="1" applyBorder="1" applyFill="1" applyFont="1">
      <alignment horizontal="center" readingOrder="0" vertical="center"/>
    </xf>
    <xf borderId="3" fillId="8" fontId="3" numFmtId="1" xfId="0" applyAlignment="1" applyBorder="1" applyFont="1" applyNumberFormat="1">
      <alignment horizontal="center" readingOrder="0" vertical="center"/>
    </xf>
    <xf borderId="3" fillId="8" fontId="3" numFmtId="2" xfId="0" applyAlignment="1" applyBorder="1" applyFont="1" applyNumberFormat="1">
      <alignment horizontal="center" readingOrder="0" vertical="center"/>
    </xf>
    <xf borderId="0" fillId="9" fontId="1" numFmtId="0" xfId="0" applyAlignment="1" applyFill="1" applyFont="1">
      <alignment horizontal="center" readingOrder="0"/>
    </xf>
    <xf borderId="5" fillId="0" fontId="2" numFmtId="0" xfId="0" applyBorder="1" applyFont="1"/>
    <xf borderId="3" fillId="10" fontId="3" numFmtId="0" xfId="0" applyAlignment="1" applyBorder="1" applyFill="1" applyFont="1">
      <alignment horizontal="center" readingOrder="0" vertical="center"/>
    </xf>
    <xf borderId="3" fillId="10" fontId="3" numFmtId="1" xfId="0" applyAlignment="1" applyBorder="1" applyFont="1" applyNumberFormat="1">
      <alignment horizontal="center" readingOrder="0" vertical="center"/>
    </xf>
    <xf borderId="3" fillId="10" fontId="3" numFmtId="2" xfId="0" applyAlignment="1" applyBorder="1" applyFont="1" applyNumberForma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/>
    </xf>
    <xf borderId="1" fillId="11" fontId="5" numFmtId="0" xfId="0" applyAlignment="1" applyBorder="1" applyFill="1" applyFont="1">
      <alignment horizontal="center" readingOrder="0" vertical="center"/>
    </xf>
    <xf borderId="3" fillId="12" fontId="6" numFmtId="0" xfId="0" applyBorder="1" applyFill="1" applyFont="1"/>
    <xf borderId="1" fillId="13" fontId="7" numFmtId="0" xfId="0" applyAlignment="1" applyBorder="1" applyFill="1" applyFont="1">
      <alignment horizontal="left" vertical="center"/>
    </xf>
    <xf borderId="3" fillId="14" fontId="3" numFmtId="0" xfId="0" applyAlignment="1" applyBorder="1" applyFill="1" applyFont="1">
      <alignment horizontal="center" readingOrder="0" vertical="center"/>
    </xf>
    <xf borderId="3" fillId="12" fontId="3" numFmtId="0" xfId="0" applyAlignment="1" applyBorder="1" applyFont="1">
      <alignment horizontal="center" readingOrder="0" vertical="center"/>
    </xf>
    <xf borderId="3" fillId="15" fontId="3" numFmtId="2" xfId="0" applyAlignment="1" applyBorder="1" applyFill="1" applyFont="1" applyNumberFormat="1">
      <alignment horizontal="center" readingOrder="0" shrinkToFit="0" vertical="center" wrapText="1"/>
    </xf>
    <xf borderId="3" fillId="15" fontId="3" numFmtId="1" xfId="0" applyAlignment="1" applyBorder="1" applyFont="1" applyNumberFormat="1">
      <alignment horizontal="center" readingOrder="0" vertical="center"/>
    </xf>
    <xf borderId="3" fillId="15" fontId="3" numFmtId="2" xfId="0" applyAlignment="1" applyBorder="1" applyFont="1" applyNumberFormat="1">
      <alignment horizontal="center" readingOrder="0" vertical="center"/>
    </xf>
    <xf borderId="3" fillId="16" fontId="3" numFmtId="0" xfId="0" applyAlignment="1" applyBorder="1" applyFill="1" applyFont="1">
      <alignment horizontal="center" readingOrder="0" shrinkToFit="0" vertical="center" wrapText="1"/>
    </xf>
    <xf borderId="3" fillId="16" fontId="3" numFmtId="0" xfId="0" applyAlignment="1" applyBorder="1" applyFont="1">
      <alignment horizontal="center" readingOrder="0" vertical="center"/>
    </xf>
    <xf borderId="3" fillId="17" fontId="6" numFmtId="0" xfId="0" applyBorder="1" applyFill="1" applyFont="1"/>
    <xf borderId="1" fillId="8" fontId="7" numFmtId="0" xfId="0" applyAlignment="1" applyBorder="1" applyFont="1">
      <alignment horizontal="left" vertical="center"/>
    </xf>
    <xf borderId="2" fillId="7" fontId="3" numFmtId="0" xfId="0" applyAlignment="1" applyBorder="1" applyFont="1">
      <alignment horizontal="center" readingOrder="0" vertical="center"/>
    </xf>
    <xf borderId="3" fillId="18" fontId="6" numFmtId="0" xfId="0" applyBorder="1" applyFill="1" applyFont="1"/>
    <xf borderId="1" fillId="7" fontId="7" numFmtId="0" xfId="0" applyAlignment="1" applyBorder="1" applyFont="1">
      <alignment horizontal="left" vertical="center"/>
    </xf>
    <xf borderId="1" fillId="4" fontId="1" numFmtId="2" xfId="0" applyAlignment="1" applyBorder="1" applyFont="1" applyNumberFormat="1">
      <alignment horizontal="center" readingOrder="0" vertical="center"/>
    </xf>
    <xf borderId="1" fillId="19" fontId="1" numFmtId="2" xfId="0" applyAlignment="1" applyBorder="1" applyFill="1" applyFont="1" applyNumberFormat="1">
      <alignment horizontal="center" readingOrder="0" vertical="center"/>
    </xf>
    <xf borderId="1" fillId="20" fontId="5" numFmtId="0" xfId="0" applyAlignment="1" applyBorder="1" applyFill="1" applyFont="1">
      <alignment horizontal="center" readingOrder="0" vertical="center"/>
    </xf>
    <xf borderId="3" fillId="21" fontId="1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3" fillId="10" fontId="3" numFmtId="2" xfId="0" applyAlignment="1" applyBorder="1" applyFont="1" applyNumberFormat="1">
      <alignment horizontal="center" readingOrder="0" vertical="center"/>
    </xf>
    <xf borderId="3" fillId="22" fontId="3" numFmtId="2" xfId="0" applyAlignment="1" applyBorder="1" applyFill="1" applyFont="1" applyNumberFormat="1">
      <alignment horizontal="center" readingOrder="0" vertical="center"/>
    </xf>
    <xf borderId="3" fillId="22" fontId="3" numFmtId="1" xfId="0" applyAlignment="1" applyBorder="1" applyFont="1" applyNumberFormat="1">
      <alignment horizontal="center" readingOrder="0" vertical="center"/>
    </xf>
    <xf borderId="3" fillId="8" fontId="7" numFmtId="0" xfId="0" applyAlignment="1" applyBorder="1" applyFont="1">
      <alignment horizontal="center" readingOrder="0" shrinkToFit="0" vertical="center" wrapText="1"/>
    </xf>
    <xf borderId="3" fillId="19" fontId="1" numFmtId="0" xfId="0" applyAlignment="1" applyBorder="1" applyFont="1">
      <alignment horizontal="center" readingOrder="0" vertical="center"/>
    </xf>
    <xf borderId="1" fillId="22" fontId="3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/>
    </xf>
    <xf borderId="3" fillId="8" fontId="3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vertical="center"/>
    </xf>
    <xf borderId="1" fillId="21" fontId="1" numFmtId="0" xfId="0" applyAlignment="1" applyBorder="1" applyFont="1">
      <alignment horizontal="center" readingOrder="0" vertical="center"/>
    </xf>
    <xf borderId="1" fillId="21" fontId="3" numFmtId="1" xfId="0" applyAlignment="1" applyBorder="1" applyFont="1" applyNumberFormat="1">
      <alignment horizontal="center" readingOrder="0" vertical="center"/>
    </xf>
    <xf borderId="2" fillId="21" fontId="3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6" fillId="23" fontId="8" numFmtId="0" xfId="0" applyAlignment="1" applyBorder="1" applyFill="1" applyFont="1">
      <alignment horizontal="center" readingOrder="0" vertical="center"/>
    </xf>
    <xf borderId="7" fillId="23" fontId="8" numFmtId="0" xfId="0" applyAlignment="1" applyBorder="1" applyFont="1">
      <alignment horizontal="center" readingOrder="0" vertical="center"/>
    </xf>
    <xf borderId="7" fillId="23" fontId="9" numFmtId="0" xfId="0" applyAlignment="1" applyBorder="1" applyFont="1">
      <alignment horizontal="center" readingOrder="0" vertical="center"/>
    </xf>
    <xf borderId="8" fillId="23" fontId="8" numFmtId="0" xfId="0" applyAlignment="1" applyBorder="1" applyFont="1">
      <alignment horizontal="center" readingOrder="0" vertical="center"/>
    </xf>
    <xf borderId="9" fillId="0" fontId="2" numFmtId="0" xfId="0" applyBorder="1" applyFont="1"/>
    <xf borderId="8" fillId="23" fontId="8" numFmtId="2" xfId="0" applyAlignment="1" applyBorder="1" applyFont="1" applyNumberFormat="1">
      <alignment horizontal="center" readingOrder="0" vertical="center"/>
    </xf>
    <xf borderId="7" fillId="23" fontId="8" numFmtId="2" xfId="0" applyAlignment="1" applyBorder="1" applyFont="1" applyNumberFormat="1">
      <alignment horizontal="center" readingOrder="0" vertical="center"/>
    </xf>
    <xf borderId="10" fillId="23" fontId="9" numFmtId="2" xfId="0" applyAlignment="1" applyBorder="1" applyFont="1" applyNumberFormat="1">
      <alignment horizontal="center" readingOrder="0" vertical="center"/>
    </xf>
    <xf borderId="11" fillId="0" fontId="2" numFmtId="0" xfId="0" applyBorder="1" applyFont="1"/>
    <xf borderId="6" fillId="23" fontId="9" numFmtId="0" xfId="0" applyAlignment="1" applyBorder="1" applyFont="1">
      <alignment horizontal="center" readingOrder="0" vertical="center"/>
    </xf>
    <xf borderId="7" fillId="23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0" fillId="0" fontId="2" numFmtId="0" xfId="0" applyBorder="1" applyFont="1"/>
    <xf borderId="14" fillId="23" fontId="8" numFmtId="2" xfId="0" applyAlignment="1" applyBorder="1" applyFont="1" applyNumberFormat="1">
      <alignment horizontal="center" readingOrder="0" vertical="center"/>
    </xf>
    <xf borderId="10" fillId="23" fontId="8" numFmtId="0" xfId="0" applyAlignment="1" applyBorder="1" applyFont="1">
      <alignment horizontal="center" readingOrder="0" vertical="center"/>
    </xf>
    <xf borderId="13" fillId="23" fontId="8" numFmtId="0" xfId="0" applyAlignment="1" applyBorder="1" applyFont="1">
      <alignment horizontal="center" readingOrder="0" vertical="center"/>
    </xf>
    <xf borderId="0" fillId="0" fontId="3" numFmtId="0" xfId="0" applyFont="1"/>
    <xf borderId="3" fillId="24" fontId="3" numFmtId="164" xfId="0" applyAlignment="1" applyBorder="1" applyFill="1" applyFont="1" applyNumberFormat="1">
      <alignment horizontal="center" readingOrder="0" vertical="center"/>
    </xf>
    <xf borderId="3" fillId="24" fontId="3" numFmtId="0" xfId="0" applyAlignment="1" applyBorder="1" applyFont="1">
      <alignment horizontal="center" readingOrder="0" vertical="bottom"/>
    </xf>
    <xf borderId="3" fillId="24" fontId="3" numFmtId="0" xfId="0" applyAlignment="1" applyBorder="1" applyFont="1">
      <alignment horizontal="left" readingOrder="0" vertical="bottom"/>
    </xf>
    <xf borderId="3" fillId="24" fontId="3" numFmtId="2" xfId="0" applyAlignment="1" applyBorder="1" applyFont="1" applyNumberFormat="1">
      <alignment horizontal="center" readingOrder="0" vertical="bottom"/>
    </xf>
    <xf borderId="3" fillId="24" fontId="3" numFmtId="0" xfId="0" applyAlignment="1" applyBorder="1" applyFont="1">
      <alignment horizontal="center" readingOrder="0" vertical="center"/>
    </xf>
    <xf borderId="3" fillId="24" fontId="3" numFmtId="165" xfId="0" applyAlignment="1" applyBorder="1" applyFont="1" applyNumberFormat="1">
      <alignment horizontal="center" readingOrder="0" vertical="bottom"/>
    </xf>
    <xf borderId="3" fillId="24" fontId="3" numFmtId="0" xfId="0" applyAlignment="1" applyBorder="1" applyFont="1">
      <alignment horizontal="center" readingOrder="0"/>
    </xf>
    <xf borderId="3" fillId="24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5" fontId="3" numFmtId="0" xfId="0" applyFill="1" applyFont="1"/>
    <xf borderId="0" fillId="24" fontId="10" numFmtId="0" xfId="0" applyFont="1"/>
    <xf borderId="0" fillId="25" fontId="3" numFmtId="0" xfId="0" applyAlignment="1" applyFont="1">
      <alignment horizontal="center" readingOrder="0" vertical="center"/>
    </xf>
    <xf borderId="3" fillId="24" fontId="3" numFmtId="11" xfId="0" applyAlignment="1" applyBorder="1" applyFont="1" applyNumberFormat="1">
      <alignment horizontal="left" readingOrder="0" vertical="bottom"/>
    </xf>
    <xf borderId="3" fillId="0" fontId="3" numFmtId="0" xfId="0" applyBorder="1" applyFont="1"/>
    <xf borderId="3" fillId="25" fontId="3" numFmtId="0" xfId="0" applyAlignment="1" applyBorder="1" applyFont="1">
      <alignment horizontal="center" readingOrder="0" vertical="bottom"/>
    </xf>
    <xf borderId="3" fillId="25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vertical="bottom"/>
    </xf>
    <xf borderId="3" fillId="24" fontId="3" numFmtId="0" xfId="0" applyAlignment="1" applyBorder="1" applyFont="1">
      <alignment readingOrder="0" vertical="bottom"/>
    </xf>
    <xf borderId="7" fillId="24" fontId="3" numFmtId="164" xfId="0" applyAlignment="1" applyBorder="1" applyFont="1" applyNumberFormat="1">
      <alignment horizontal="center" readingOrder="0" vertical="center"/>
    </xf>
    <xf borderId="7" fillId="24" fontId="3" numFmtId="0" xfId="0" applyAlignment="1" applyBorder="1" applyFont="1">
      <alignment horizontal="center" readingOrder="0" vertical="bottom"/>
    </xf>
    <xf borderId="7" fillId="24" fontId="3" numFmtId="0" xfId="0" applyAlignment="1" applyBorder="1" applyFont="1">
      <alignment readingOrder="0" vertical="bottom"/>
    </xf>
    <xf borderId="7" fillId="24" fontId="3" numFmtId="2" xfId="0" applyAlignment="1" applyBorder="1" applyFont="1" applyNumberFormat="1">
      <alignment horizontal="center" readingOrder="0" vertical="bottom"/>
    </xf>
    <xf borderId="7" fillId="24" fontId="3" numFmtId="0" xfId="0" applyAlignment="1" applyBorder="1" applyFont="1">
      <alignment horizontal="center" readingOrder="0" vertical="center"/>
    </xf>
    <xf borderId="7" fillId="24" fontId="3" numFmtId="165" xfId="0" applyAlignment="1" applyBorder="1" applyFont="1" applyNumberFormat="1">
      <alignment horizontal="center" readingOrder="0" vertical="bottom"/>
    </xf>
    <xf borderId="7" fillId="0" fontId="3" numFmtId="0" xfId="0" applyBorder="1" applyFont="1"/>
    <xf borderId="9" fillId="24" fontId="3" numFmtId="164" xfId="0" applyAlignment="1" applyBorder="1" applyFont="1" applyNumberFormat="1">
      <alignment horizontal="center" readingOrder="0" vertical="center"/>
    </xf>
    <xf borderId="9" fillId="24" fontId="3" numFmtId="0" xfId="0" applyAlignment="1" applyBorder="1" applyFont="1">
      <alignment horizontal="center" readingOrder="0" vertical="bottom"/>
    </xf>
    <xf borderId="9" fillId="24" fontId="3" numFmtId="0" xfId="0" applyAlignment="1" applyBorder="1" applyFont="1">
      <alignment readingOrder="0" vertical="bottom"/>
    </xf>
    <xf borderId="9" fillId="24" fontId="3" numFmtId="2" xfId="0" applyAlignment="1" applyBorder="1" applyFont="1" applyNumberFormat="1">
      <alignment horizontal="center" readingOrder="0" vertical="bottom"/>
    </xf>
    <xf borderId="9" fillId="24" fontId="3" numFmtId="0" xfId="0" applyAlignment="1" applyBorder="1" applyFont="1">
      <alignment horizontal="center" readingOrder="0" vertical="center"/>
    </xf>
    <xf borderId="9" fillId="24" fontId="3" numFmtId="165" xfId="0" applyAlignment="1" applyBorder="1" applyFont="1" applyNumberFormat="1">
      <alignment horizontal="center" readingOrder="0" vertical="bottom"/>
    </xf>
    <xf borderId="9" fillId="0" fontId="3" numFmtId="0" xfId="0" applyBorder="1" applyFont="1"/>
    <xf borderId="0" fillId="24" fontId="3" numFmtId="164" xfId="0" applyAlignment="1" applyFont="1" applyNumberFormat="1">
      <alignment horizontal="center" readingOrder="0" vertical="center"/>
    </xf>
    <xf borderId="0" fillId="24" fontId="3" numFmtId="0" xfId="0" applyAlignment="1" applyFont="1">
      <alignment horizontal="center" readingOrder="0" vertical="bottom"/>
    </xf>
    <xf borderId="0" fillId="24" fontId="3" numFmtId="0" xfId="0" applyAlignment="1" applyFont="1">
      <alignment readingOrder="0" vertical="bottom"/>
    </xf>
    <xf borderId="0" fillId="24" fontId="3" numFmtId="2" xfId="0" applyAlignment="1" applyFont="1" applyNumberFormat="1">
      <alignment horizontal="center" readingOrder="0" vertical="bottom"/>
    </xf>
    <xf borderId="0" fillId="24" fontId="3" numFmtId="0" xfId="0" applyAlignment="1" applyFont="1">
      <alignment horizontal="center" readingOrder="0" vertical="center"/>
    </xf>
    <xf borderId="0" fillId="24" fontId="3" numFmtId="165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center"/>
    </xf>
    <xf borderId="0" fillId="24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24" fontId="3" numFmtId="0" xfId="0" applyAlignment="1" applyFont="1">
      <alignment horizontal="center"/>
    </xf>
    <xf borderId="7" fillId="24" fontId="3" numFmtId="0" xfId="0" applyAlignment="1" applyBorder="1" applyFont="1">
      <alignment horizontal="left" readingOrder="0" vertical="bottom"/>
    </xf>
    <xf borderId="7" fillId="24" fontId="3" numFmtId="0" xfId="0" applyAlignment="1" applyBorder="1" applyFont="1">
      <alignment horizontal="center" vertical="bottom"/>
    </xf>
    <xf borderId="9" fillId="24" fontId="3" numFmtId="0" xfId="0" applyAlignment="1" applyBorder="1" applyFont="1">
      <alignment horizontal="left" readingOrder="0" vertical="bottom"/>
    </xf>
    <xf borderId="9" fillId="24" fontId="3" numFmtId="0" xfId="0" applyAlignment="1" applyBorder="1" applyFont="1">
      <alignment horizontal="center" vertical="bottom"/>
    </xf>
    <xf borderId="0" fillId="24" fontId="3" numFmtId="0" xfId="0" applyAlignment="1" applyFont="1">
      <alignment horizontal="center" vertical="bottom"/>
    </xf>
    <xf borderId="0" fillId="24" fontId="3" numFmtId="0" xfId="0" applyFont="1"/>
    <xf borderId="0" fillId="0" fontId="3" numFmtId="14" xfId="0" applyAlignment="1" applyFont="1" applyNumberFormat="1">
      <alignment readingOrder="0"/>
    </xf>
    <xf borderId="3" fillId="0" fontId="3" numFmtId="164" xfId="0" applyAlignment="1" applyBorder="1" applyFont="1" applyNumberFormat="1">
      <alignment horizontal="center" readingOrder="0" vertical="center"/>
    </xf>
    <xf borderId="7" fillId="0" fontId="3" numFmtId="164" xfId="0" applyAlignment="1" applyBorder="1" applyFont="1" applyNumberFormat="1">
      <alignment horizontal="center" readingOrder="0" vertical="center"/>
    </xf>
    <xf borderId="9" fillId="0" fontId="3" numFmtId="164" xfId="0" applyAlignment="1" applyBorder="1" applyFont="1" applyNumberFormat="1">
      <alignment horizontal="center" readingOrder="0" vertical="center"/>
    </xf>
    <xf borderId="3" fillId="24" fontId="3" numFmtId="166" xfId="0" applyAlignment="1" applyBorder="1" applyFont="1" applyNumberFormat="1">
      <alignment horizontal="center" readingOrder="0" vertical="bottom"/>
    </xf>
    <xf borderId="3" fillId="24" fontId="3" numFmtId="0" xfId="0" applyAlignment="1" applyBorder="1" applyFont="1">
      <alignment horizontal="center"/>
    </xf>
    <xf borderId="3" fillId="24" fontId="3" numFmtId="167" xfId="0" applyAlignment="1" applyBorder="1" applyFont="1" applyNumberFormat="1">
      <alignment horizontal="center" readingOrder="0" vertical="bottom"/>
    </xf>
    <xf borderId="3" fillId="24" fontId="11" numFmtId="0" xfId="0" applyAlignment="1" applyBorder="1" applyFont="1">
      <alignment horizontal="left" readingOrder="0" vertical="bottom"/>
    </xf>
    <xf borderId="3" fillId="24" fontId="3" numFmtId="3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readingOrder="0"/>
    </xf>
    <xf borderId="3" fillId="0" fontId="3" numFmtId="0" xfId="0" applyAlignment="1" applyBorder="1" applyFont="1">
      <alignment horizontal="center" vertical="bottom"/>
    </xf>
    <xf borderId="3" fillId="25" fontId="3" numFmtId="0" xfId="0" applyAlignment="1" applyBorder="1" applyFont="1">
      <alignment horizontal="center" vertical="bottom"/>
    </xf>
  </cellXfs>
  <cellStyles count="1">
    <cellStyle xfId="0" name="Normal" builtinId="0"/>
  </cellStyles>
  <dxfs count="11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4F6EC"/>
          <bgColor rgb="FFE4F6E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v.th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1.7x21.c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7.0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4.75" customHeight="1">
      <c r="A2" s="11" t="s">
        <v>7</v>
      </c>
      <c r="B2" s="5"/>
      <c r="C2" s="12">
        <f>COUNTIFS(K11:K1000,C1)</f>
        <v>93</v>
      </c>
      <c r="D2" s="13" t="s">
        <v>8</v>
      </c>
      <c r="E2" s="14">
        <f>COUNTIFS(F11:F1000,"ตามคิว")</f>
        <v>111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20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3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12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76</v>
      </c>
      <c r="D3" s="13" t="s">
        <v>18</v>
      </c>
      <c r="E3" s="14">
        <f>COUNTIFS(F11:F1000,"Same Day")</f>
        <v>38</v>
      </c>
      <c r="F3" s="15" t="s">
        <v>9</v>
      </c>
      <c r="G3" s="27" t="s">
        <v>19</v>
      </c>
      <c r="H3" s="28">
        <f>COUNTIFS(U11:U1000,"Dicut Jwei")</f>
        <v>5</v>
      </c>
      <c r="I3" s="29" t="s">
        <v>9</v>
      </c>
      <c r="J3" s="18" t="s">
        <v>18</v>
      </c>
      <c r="K3" s="19">
        <f>COUNTIFS(N11:N1000,True,F11:F1000,"Same Day",A11:A1000,N1)</f>
        <v>0</v>
      </c>
      <c r="L3" s="20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76</v>
      </c>
      <c r="Y3" s="25" t="s">
        <v>9</v>
      </c>
      <c r="Z3" s="25" t="s">
        <v>24</v>
      </c>
      <c r="AA3" s="25">
        <f>COUNTIFS(D11:E1000,"ปอนด์ 80g (โกดัง)")</f>
        <v>1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1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9</v>
      </c>
      <c r="F4" s="15" t="s">
        <v>9</v>
      </c>
      <c r="G4" s="27" t="s">
        <v>28</v>
      </c>
      <c r="H4" s="28">
        <f>COUNTIFS(U11:U1000,"Dicut Graptech")</f>
        <v>40</v>
      </c>
      <c r="I4" s="29" t="s">
        <v>9</v>
      </c>
      <c r="J4" s="18" t="s">
        <v>27</v>
      </c>
      <c r="K4" s="19">
        <f>COUNTIFS(N11:N1000,True,F11:F1000,"VIP",A11:A1000,N1)</f>
        <v>0</v>
      </c>
      <c r="L4" s="20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7</v>
      </c>
      <c r="Y4" s="25" t="s">
        <v>9</v>
      </c>
      <c r="Z4" s="25" t="s">
        <v>32</v>
      </c>
      <c r="AA4" s="25">
        <f>COUNTIFS(D11:E1000,"ปอนด์ 100g (โกดัง)")</f>
        <v>1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23</v>
      </c>
      <c r="AH4" s="26" t="s">
        <v>9</v>
      </c>
    </row>
    <row r="5" ht="30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20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0</v>
      </c>
      <c r="Y5" s="25" t="s">
        <v>9</v>
      </c>
      <c r="Z5" s="25" t="s">
        <v>41</v>
      </c>
      <c r="AA5" s="25">
        <f>COUNTIFS(D11:E1000,"ปอนด์ 120g (โกดัง)")</f>
        <v>1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11</v>
      </c>
      <c r="AH5" s="26" t="s">
        <v>9</v>
      </c>
    </row>
    <row r="6" ht="30.0" customHeight="1">
      <c r="A6" s="11">
        <f>COUNTIFS(N11:N1000,True,B11:B1000,"*",K11:K1000,"*")</f>
        <v>160</v>
      </c>
      <c r="B6" s="2"/>
      <c r="C6" s="12" t="s">
        <v>9</v>
      </c>
      <c r="D6" s="13" t="s">
        <v>44</v>
      </c>
      <c r="E6" s="14">
        <f>COUNTIFS(F11:F1000,"ซ่อมไม่มีใบสั่ง")</f>
        <v>1</v>
      </c>
      <c r="F6" s="15" t="s">
        <v>9</v>
      </c>
      <c r="G6" s="42" t="s">
        <v>11</v>
      </c>
      <c r="H6" s="19">
        <f>COUNTIFS(Q11:Q1000,"C12000")</f>
        <v>118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20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2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7</v>
      </c>
      <c r="AE6" s="25" t="s">
        <v>9</v>
      </c>
      <c r="AF6" s="26" t="s">
        <v>50</v>
      </c>
      <c r="AG6" s="26">
        <f>COUNTIFS(D11:E1000,"Stk PP ใส (ODM)")</f>
        <v>1</v>
      </c>
      <c r="AH6" s="26" t="s">
        <v>9</v>
      </c>
    </row>
    <row r="7" ht="28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1</v>
      </c>
      <c r="F7" s="15" t="s">
        <v>9</v>
      </c>
      <c r="G7" s="42" t="s">
        <v>38</v>
      </c>
      <c r="H7" s="19">
        <f>COUNTIFS(Q11:Q1000,"C4070")</f>
        <v>42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20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1</v>
      </c>
      <c r="Y7" s="25" t="s">
        <v>9</v>
      </c>
      <c r="Z7" s="25" t="s">
        <v>55</v>
      </c>
      <c r="AA7" s="25">
        <f>COUNTIFS(D11:E1000,"การ์ดขาว 210g (โกดัง)")</f>
        <v>2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4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160</v>
      </c>
      <c r="I8" s="51" t="s">
        <v>59</v>
      </c>
      <c r="J8" s="2"/>
      <c r="K8" s="53">
        <f>SUM(H3+H4)</f>
        <v>45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6</v>
      </c>
      <c r="Y8" s="25" t="s">
        <v>9</v>
      </c>
      <c r="Z8" s="25" t="s">
        <v>61</v>
      </c>
      <c r="AA8" s="25">
        <f>COUNTIFS(D11:E1000,"การ์ดขาว 240g (โกดัง)")</f>
        <v>2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1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W9" s="67"/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1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W10" s="67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>
        <v>46024.0</v>
      </c>
      <c r="B11" s="76" t="s">
        <v>92</v>
      </c>
      <c r="C11" s="77" t="s">
        <v>93</v>
      </c>
      <c r="D11" s="76" t="s">
        <v>49</v>
      </c>
      <c r="E11" s="76"/>
      <c r="F11" s="76" t="s">
        <v>27</v>
      </c>
      <c r="G11" s="76">
        <v>80.0</v>
      </c>
      <c r="H11" s="76">
        <v>80.0</v>
      </c>
      <c r="I11" s="75">
        <v>46024.0</v>
      </c>
      <c r="J11" s="78">
        <v>10.0</v>
      </c>
      <c r="K11" s="76" t="s">
        <v>1</v>
      </c>
      <c r="L11" s="79" t="b">
        <v>1</v>
      </c>
      <c r="M11" s="80">
        <f t="shared" ref="M11:M12" si="1">IFS(L11=FALSE,"",M11="",NOW(),TRUE,M11)</f>
        <v>46024.44199</v>
      </c>
      <c r="N11" s="81" t="b">
        <v>1</v>
      </c>
      <c r="O11" s="80">
        <f t="shared" ref="O11:O170" si="2">IFS(N11=FALSE,"",O11="",NOW(),TRUE,O11)</f>
        <v>46024.44443</v>
      </c>
      <c r="P11" s="76" t="s">
        <v>1</v>
      </c>
      <c r="Q11" s="76" t="s">
        <v>11</v>
      </c>
      <c r="R11" s="76" t="b">
        <v>1</v>
      </c>
      <c r="S11" s="82" t="b">
        <v>0</v>
      </c>
      <c r="T11" s="76">
        <v>100.0</v>
      </c>
      <c r="U11" s="79" t="s">
        <v>19</v>
      </c>
      <c r="V11" s="83"/>
      <c r="W11" s="84"/>
    </row>
    <row r="12">
      <c r="A12" s="75">
        <v>46024.0</v>
      </c>
      <c r="B12" s="76" t="s">
        <v>94</v>
      </c>
      <c r="C12" s="77" t="s">
        <v>95</v>
      </c>
      <c r="D12" s="76" t="s">
        <v>23</v>
      </c>
      <c r="E12" s="76"/>
      <c r="F12" s="76" t="s">
        <v>18</v>
      </c>
      <c r="G12" s="76">
        <v>2000.0</v>
      </c>
      <c r="H12" s="76">
        <v>2000.0</v>
      </c>
      <c r="I12" s="75">
        <v>46024.0</v>
      </c>
      <c r="J12" s="78">
        <v>13.15</v>
      </c>
      <c r="K12" s="76" t="s">
        <v>1</v>
      </c>
      <c r="L12" s="79" t="b">
        <v>1</v>
      </c>
      <c r="M12" s="80">
        <f t="shared" si="1"/>
        <v>46024.56714</v>
      </c>
      <c r="N12" s="81" t="b">
        <v>1</v>
      </c>
      <c r="O12" s="80">
        <f t="shared" si="2"/>
        <v>46024.61986</v>
      </c>
      <c r="P12" s="76" t="s">
        <v>1</v>
      </c>
      <c r="Q12" s="76" t="s">
        <v>11</v>
      </c>
      <c r="R12" s="76" t="b">
        <v>1</v>
      </c>
      <c r="S12" s="82" t="b">
        <v>0</v>
      </c>
      <c r="T12" s="76">
        <v>2008.0</v>
      </c>
      <c r="U12" s="79" t="s">
        <v>96</v>
      </c>
      <c r="V12" s="83"/>
      <c r="W12" s="85"/>
    </row>
    <row r="13">
      <c r="A13" s="75">
        <v>46024.0</v>
      </c>
      <c r="B13" s="76" t="s">
        <v>97</v>
      </c>
      <c r="C13" s="77" t="s">
        <v>98</v>
      </c>
      <c r="D13" s="76" t="s">
        <v>23</v>
      </c>
      <c r="E13" s="76"/>
      <c r="F13" s="76" t="s">
        <v>18</v>
      </c>
      <c r="G13" s="76">
        <v>2000.0</v>
      </c>
      <c r="H13" s="76">
        <v>500.0</v>
      </c>
      <c r="I13" s="75">
        <v>46024.0</v>
      </c>
      <c r="J13" s="78">
        <v>14.3</v>
      </c>
      <c r="K13" s="76" t="s">
        <v>1</v>
      </c>
      <c r="L13" s="79" t="b">
        <v>1</v>
      </c>
      <c r="M13" s="80">
        <v>46024.62152777778</v>
      </c>
      <c r="N13" s="81" t="b">
        <v>1</v>
      </c>
      <c r="O13" s="80">
        <f t="shared" si="2"/>
        <v>46024.64074</v>
      </c>
      <c r="P13" s="76" t="s">
        <v>1</v>
      </c>
      <c r="Q13" s="76" t="s">
        <v>11</v>
      </c>
      <c r="R13" s="76" t="b">
        <v>0</v>
      </c>
      <c r="S13" s="82" t="b">
        <v>0</v>
      </c>
      <c r="T13" s="76">
        <v>508.0</v>
      </c>
      <c r="U13" s="79" t="s">
        <v>96</v>
      </c>
      <c r="V13" s="83"/>
      <c r="W13" s="85"/>
    </row>
    <row r="14">
      <c r="A14" s="75">
        <v>46024.0</v>
      </c>
      <c r="B14" s="76" t="s">
        <v>99</v>
      </c>
      <c r="C14" s="77" t="s">
        <v>100</v>
      </c>
      <c r="D14" s="76" t="s">
        <v>23</v>
      </c>
      <c r="E14" s="76"/>
      <c r="F14" s="76" t="s">
        <v>8</v>
      </c>
      <c r="G14" s="76">
        <v>500.0</v>
      </c>
      <c r="H14" s="76">
        <v>63.0</v>
      </c>
      <c r="I14" s="75">
        <v>46031.0</v>
      </c>
      <c r="J14" s="78">
        <v>16.17</v>
      </c>
      <c r="K14" s="76" t="s">
        <v>101</v>
      </c>
      <c r="L14" s="79" t="b">
        <v>1</v>
      </c>
      <c r="M14" s="80">
        <f t="shared" ref="M14:M170" si="3">IFS(L14=FALSE,"",M14="",NOW(),TRUE,M14)</f>
        <v>46025.46352</v>
      </c>
      <c r="N14" s="81" t="b">
        <v>1</v>
      </c>
      <c r="O14" s="80">
        <f t="shared" si="2"/>
        <v>46025.46473</v>
      </c>
      <c r="P14" s="76" t="s">
        <v>1</v>
      </c>
      <c r="Q14" s="76" t="s">
        <v>11</v>
      </c>
      <c r="R14" s="76" t="b">
        <v>0</v>
      </c>
      <c r="S14" s="82" t="b">
        <v>0</v>
      </c>
      <c r="T14" s="76">
        <v>68.0</v>
      </c>
      <c r="U14" s="79" t="s">
        <v>96</v>
      </c>
      <c r="V14" s="83"/>
      <c r="W14" s="85"/>
    </row>
    <row r="15">
      <c r="A15" s="75">
        <v>46025.0</v>
      </c>
      <c r="B15" s="76" t="s">
        <v>102</v>
      </c>
      <c r="C15" s="77" t="s">
        <v>103</v>
      </c>
      <c r="D15" s="76" t="s">
        <v>23</v>
      </c>
      <c r="E15" s="76"/>
      <c r="F15" s="76" t="s">
        <v>18</v>
      </c>
      <c r="G15" s="76">
        <v>5000.0</v>
      </c>
      <c r="H15" s="76">
        <v>1250.0</v>
      </c>
      <c r="I15" s="75">
        <v>46025.0</v>
      </c>
      <c r="J15" s="78">
        <v>11.4</v>
      </c>
      <c r="K15" s="76" t="s">
        <v>1</v>
      </c>
      <c r="L15" s="79" t="b">
        <v>1</v>
      </c>
      <c r="M15" s="80">
        <f t="shared" si="3"/>
        <v>46025.46809</v>
      </c>
      <c r="N15" s="81" t="b">
        <v>1</v>
      </c>
      <c r="O15" s="80">
        <f t="shared" si="2"/>
        <v>46025.50233</v>
      </c>
      <c r="P15" s="76" t="s">
        <v>1</v>
      </c>
      <c r="Q15" s="76" t="s">
        <v>11</v>
      </c>
      <c r="R15" s="76" t="b">
        <v>0</v>
      </c>
      <c r="S15" s="82" t="b">
        <v>0</v>
      </c>
      <c r="T15" s="76">
        <v>1260.0</v>
      </c>
      <c r="U15" s="79" t="s">
        <v>96</v>
      </c>
      <c r="V15" s="83"/>
      <c r="W15" s="84"/>
    </row>
    <row r="16">
      <c r="A16" s="75">
        <v>46025.0</v>
      </c>
      <c r="B16" s="76" t="s">
        <v>104</v>
      </c>
      <c r="C16" s="77" t="s">
        <v>105</v>
      </c>
      <c r="D16" s="76" t="s">
        <v>23</v>
      </c>
      <c r="E16" s="76"/>
      <c r="F16" s="76" t="s">
        <v>18</v>
      </c>
      <c r="G16" s="76">
        <v>1000.0</v>
      </c>
      <c r="H16" s="76">
        <v>1000.0</v>
      </c>
      <c r="I16" s="75">
        <v>46025.0</v>
      </c>
      <c r="J16" s="78">
        <v>14.2</v>
      </c>
      <c r="K16" s="76" t="s">
        <v>1</v>
      </c>
      <c r="L16" s="79" t="b">
        <v>1</v>
      </c>
      <c r="M16" s="80">
        <f t="shared" si="3"/>
        <v>46025.60863</v>
      </c>
      <c r="N16" s="81" t="b">
        <v>1</v>
      </c>
      <c r="O16" s="80">
        <f t="shared" si="2"/>
        <v>46025.63915</v>
      </c>
      <c r="P16" s="76" t="s">
        <v>1</v>
      </c>
      <c r="Q16" s="76" t="s">
        <v>11</v>
      </c>
      <c r="R16" s="76" t="b">
        <v>0</v>
      </c>
      <c r="S16" s="82" t="b">
        <v>0</v>
      </c>
      <c r="T16" s="76">
        <v>1008.0</v>
      </c>
      <c r="U16" s="79" t="s">
        <v>96</v>
      </c>
      <c r="V16" s="83"/>
      <c r="W16" s="84"/>
    </row>
    <row r="17">
      <c r="A17" s="75">
        <v>46027.0</v>
      </c>
      <c r="B17" s="76" t="s">
        <v>106</v>
      </c>
      <c r="C17" s="77" t="s">
        <v>107</v>
      </c>
      <c r="D17" s="76" t="s">
        <v>23</v>
      </c>
      <c r="E17" s="76"/>
      <c r="F17" s="76" t="s">
        <v>27</v>
      </c>
      <c r="G17" s="76">
        <v>1500.0</v>
      </c>
      <c r="H17" s="76">
        <v>126.0</v>
      </c>
      <c r="I17" s="75">
        <v>46027.0</v>
      </c>
      <c r="J17" s="78">
        <v>11.21</v>
      </c>
      <c r="K17" s="76" t="s">
        <v>101</v>
      </c>
      <c r="L17" s="79" t="b">
        <v>1</v>
      </c>
      <c r="M17" s="80">
        <f t="shared" si="3"/>
        <v>46027.48234</v>
      </c>
      <c r="N17" s="81" t="b">
        <v>1</v>
      </c>
      <c r="O17" s="80">
        <f t="shared" si="2"/>
        <v>46027.48482</v>
      </c>
      <c r="P17" s="76" t="s">
        <v>101</v>
      </c>
      <c r="Q17" s="76" t="s">
        <v>11</v>
      </c>
      <c r="R17" s="76" t="b">
        <v>1</v>
      </c>
      <c r="S17" s="82" t="b">
        <v>0</v>
      </c>
      <c r="T17" s="76">
        <v>130.0</v>
      </c>
      <c r="U17" s="79" t="s">
        <v>96</v>
      </c>
      <c r="V17" s="83"/>
      <c r="W17" s="85"/>
    </row>
    <row r="18">
      <c r="A18" s="75">
        <v>46027.0</v>
      </c>
      <c r="B18" s="76" t="s">
        <v>108</v>
      </c>
      <c r="C18" s="77" t="s">
        <v>109</v>
      </c>
      <c r="D18" s="76" t="s">
        <v>23</v>
      </c>
      <c r="E18" s="76"/>
      <c r="F18" s="76" t="s">
        <v>18</v>
      </c>
      <c r="G18" s="76">
        <v>2000.0</v>
      </c>
      <c r="H18" s="76">
        <v>500.0</v>
      </c>
      <c r="I18" s="75">
        <v>46027.0</v>
      </c>
      <c r="J18" s="78">
        <v>12.0</v>
      </c>
      <c r="K18" s="76" t="s">
        <v>101</v>
      </c>
      <c r="L18" s="79" t="b">
        <v>1</v>
      </c>
      <c r="M18" s="80">
        <f t="shared" si="3"/>
        <v>46027.6465</v>
      </c>
      <c r="N18" s="81" t="b">
        <v>1</v>
      </c>
      <c r="O18" s="80">
        <f t="shared" si="2"/>
        <v>46027.66525</v>
      </c>
      <c r="P18" s="76" t="s">
        <v>101</v>
      </c>
      <c r="Q18" s="76" t="s">
        <v>11</v>
      </c>
      <c r="R18" s="76" t="b">
        <v>0</v>
      </c>
      <c r="S18" s="82" t="b">
        <v>0</v>
      </c>
      <c r="T18" s="76">
        <v>508.0</v>
      </c>
      <c r="U18" s="79" t="s">
        <v>96</v>
      </c>
      <c r="V18" s="83"/>
      <c r="W18" s="84"/>
      <c r="X18" s="74"/>
      <c r="Y18" s="74"/>
      <c r="Z18" s="74"/>
      <c r="AA18" s="74"/>
      <c r="AB18" s="74"/>
      <c r="AC18" s="74"/>
      <c r="AD18" s="74"/>
    </row>
    <row r="19">
      <c r="A19" s="75">
        <v>46027.0</v>
      </c>
      <c r="B19" s="76" t="s">
        <v>110</v>
      </c>
      <c r="C19" s="77" t="s">
        <v>111</v>
      </c>
      <c r="D19" s="76" t="s">
        <v>43</v>
      </c>
      <c r="E19" s="76"/>
      <c r="F19" s="76" t="s">
        <v>8</v>
      </c>
      <c r="G19" s="76">
        <v>330.0</v>
      </c>
      <c r="H19" s="76">
        <v>11.0</v>
      </c>
      <c r="I19" s="75">
        <v>46030.0</v>
      </c>
      <c r="J19" s="78">
        <v>16.01</v>
      </c>
      <c r="K19" s="76" t="s">
        <v>1</v>
      </c>
      <c r="L19" s="79" t="b">
        <v>1</v>
      </c>
      <c r="M19" s="80">
        <f t="shared" si="3"/>
        <v>46028.59197</v>
      </c>
      <c r="N19" s="81" t="b">
        <v>1</v>
      </c>
      <c r="O19" s="80">
        <f t="shared" si="2"/>
        <v>46028.59352</v>
      </c>
      <c r="P19" s="76" t="s">
        <v>101</v>
      </c>
      <c r="Q19" s="76" t="s">
        <v>38</v>
      </c>
      <c r="R19" s="76" t="b">
        <v>0</v>
      </c>
      <c r="S19" s="82" t="b">
        <v>0</v>
      </c>
      <c r="T19" s="76">
        <v>12.0</v>
      </c>
      <c r="U19" s="79" t="s">
        <v>28</v>
      </c>
      <c r="V19" s="83"/>
      <c r="W19" s="85"/>
      <c r="X19" s="74"/>
      <c r="Y19" s="74"/>
      <c r="Z19" s="74"/>
      <c r="AA19" s="74"/>
      <c r="AB19" s="74"/>
      <c r="AC19" s="74"/>
      <c r="AD19" s="74"/>
    </row>
    <row r="20">
      <c r="A20" s="75">
        <v>46027.0</v>
      </c>
      <c r="B20" s="76" t="s">
        <v>112</v>
      </c>
      <c r="C20" s="77" t="s">
        <v>113</v>
      </c>
      <c r="D20" s="76" t="s">
        <v>43</v>
      </c>
      <c r="E20" s="76"/>
      <c r="F20" s="76" t="s">
        <v>8</v>
      </c>
      <c r="G20" s="76">
        <v>330.0</v>
      </c>
      <c r="H20" s="76">
        <v>11.0</v>
      </c>
      <c r="I20" s="75">
        <v>46030.0</v>
      </c>
      <c r="J20" s="78">
        <v>16.01</v>
      </c>
      <c r="K20" s="76" t="s">
        <v>1</v>
      </c>
      <c r="L20" s="79" t="b">
        <v>1</v>
      </c>
      <c r="M20" s="80">
        <f t="shared" si="3"/>
        <v>46028.59355</v>
      </c>
      <c r="N20" s="81" t="b">
        <v>1</v>
      </c>
      <c r="O20" s="80">
        <f t="shared" si="2"/>
        <v>46028.59469</v>
      </c>
      <c r="P20" s="76" t="s">
        <v>101</v>
      </c>
      <c r="Q20" s="76" t="s">
        <v>38</v>
      </c>
      <c r="R20" s="76" t="b">
        <v>0</v>
      </c>
      <c r="S20" s="82" t="b">
        <v>0</v>
      </c>
      <c r="T20" s="76">
        <v>12.0</v>
      </c>
      <c r="U20" s="79" t="s">
        <v>28</v>
      </c>
      <c r="V20" s="83"/>
      <c r="W20" s="85"/>
      <c r="X20" s="74"/>
      <c r="Y20" s="74"/>
      <c r="Z20" s="74"/>
      <c r="AA20" s="74"/>
      <c r="AB20" s="74"/>
      <c r="AC20" s="74"/>
      <c r="AD20" s="74"/>
    </row>
    <row r="21">
      <c r="A21" s="75">
        <v>46027.0</v>
      </c>
      <c r="B21" s="76" t="s">
        <v>114</v>
      </c>
      <c r="C21" s="77" t="s">
        <v>115</v>
      </c>
      <c r="D21" s="76" t="s">
        <v>43</v>
      </c>
      <c r="E21" s="76"/>
      <c r="F21" s="76" t="s">
        <v>8</v>
      </c>
      <c r="G21" s="76">
        <v>330.0</v>
      </c>
      <c r="H21" s="76">
        <v>11.0</v>
      </c>
      <c r="I21" s="75">
        <v>46030.0</v>
      </c>
      <c r="J21" s="78">
        <v>16.01</v>
      </c>
      <c r="K21" s="76" t="s">
        <v>1</v>
      </c>
      <c r="L21" s="79" t="b">
        <v>1</v>
      </c>
      <c r="M21" s="80">
        <f t="shared" si="3"/>
        <v>46028.5947</v>
      </c>
      <c r="N21" s="81" t="b">
        <v>1</v>
      </c>
      <c r="O21" s="80">
        <f t="shared" si="2"/>
        <v>46028.59579</v>
      </c>
      <c r="P21" s="76" t="s">
        <v>101</v>
      </c>
      <c r="Q21" s="76" t="s">
        <v>38</v>
      </c>
      <c r="R21" s="76" t="b">
        <v>0</v>
      </c>
      <c r="S21" s="82" t="b">
        <v>0</v>
      </c>
      <c r="T21" s="76">
        <v>12.0</v>
      </c>
      <c r="U21" s="79" t="s">
        <v>28</v>
      </c>
      <c r="V21" s="83"/>
      <c r="W21" s="85"/>
      <c r="X21" s="74"/>
      <c r="Y21" s="74"/>
      <c r="Z21" s="74"/>
      <c r="AA21" s="74"/>
      <c r="AB21" s="74"/>
      <c r="AC21" s="74"/>
      <c r="AD21" s="74"/>
    </row>
    <row r="22">
      <c r="A22" s="75">
        <v>46027.0</v>
      </c>
      <c r="B22" s="76" t="s">
        <v>116</v>
      </c>
      <c r="C22" s="77" t="s">
        <v>117</v>
      </c>
      <c r="D22" s="76" t="s">
        <v>43</v>
      </c>
      <c r="E22" s="76"/>
      <c r="F22" s="76" t="s">
        <v>8</v>
      </c>
      <c r="G22" s="76">
        <v>330.0</v>
      </c>
      <c r="H22" s="76">
        <v>11.0</v>
      </c>
      <c r="I22" s="75">
        <v>46030.0</v>
      </c>
      <c r="J22" s="78">
        <v>16.01</v>
      </c>
      <c r="K22" s="76" t="s">
        <v>1</v>
      </c>
      <c r="L22" s="79" t="b">
        <v>1</v>
      </c>
      <c r="M22" s="80">
        <f t="shared" si="3"/>
        <v>46028.5958</v>
      </c>
      <c r="N22" s="81" t="b">
        <v>1</v>
      </c>
      <c r="O22" s="80">
        <f t="shared" si="2"/>
        <v>46028.59681</v>
      </c>
      <c r="P22" s="76" t="s">
        <v>101</v>
      </c>
      <c r="Q22" s="76" t="s">
        <v>38</v>
      </c>
      <c r="R22" s="76" t="b">
        <v>0</v>
      </c>
      <c r="S22" s="82" t="b">
        <v>0</v>
      </c>
      <c r="T22" s="76">
        <v>12.0</v>
      </c>
      <c r="U22" s="79" t="s">
        <v>28</v>
      </c>
      <c r="V22" s="83"/>
      <c r="W22" s="85"/>
      <c r="X22" s="74"/>
      <c r="AB22" s="74"/>
      <c r="AC22" s="74"/>
      <c r="AD22" s="74"/>
    </row>
    <row r="23">
      <c r="A23" s="75">
        <v>46027.0</v>
      </c>
      <c r="B23" s="76" t="s">
        <v>118</v>
      </c>
      <c r="C23" s="77" t="s">
        <v>119</v>
      </c>
      <c r="D23" s="76" t="s">
        <v>43</v>
      </c>
      <c r="E23" s="76"/>
      <c r="F23" s="76" t="s">
        <v>8</v>
      </c>
      <c r="G23" s="76">
        <v>324.0</v>
      </c>
      <c r="H23" s="76">
        <v>18.0</v>
      </c>
      <c r="I23" s="75">
        <v>46030.0</v>
      </c>
      <c r="J23" s="78">
        <v>16.01</v>
      </c>
      <c r="K23" s="76" t="s">
        <v>1</v>
      </c>
      <c r="L23" s="79" t="b">
        <v>1</v>
      </c>
      <c r="M23" s="80">
        <f t="shared" si="3"/>
        <v>46028.58421</v>
      </c>
      <c r="N23" s="81" t="b">
        <v>1</v>
      </c>
      <c r="O23" s="80">
        <f t="shared" si="2"/>
        <v>46028.58578</v>
      </c>
      <c r="P23" s="76" t="s">
        <v>101</v>
      </c>
      <c r="Q23" s="76" t="s">
        <v>38</v>
      </c>
      <c r="R23" s="76" t="b">
        <v>0</v>
      </c>
      <c r="S23" s="82" t="b">
        <v>0</v>
      </c>
      <c r="T23" s="76">
        <v>19.0</v>
      </c>
      <c r="U23" s="79" t="s">
        <v>28</v>
      </c>
      <c r="V23" s="83"/>
      <c r="W23" s="85"/>
      <c r="X23" s="74"/>
      <c r="AB23" s="74"/>
      <c r="AC23" s="74"/>
      <c r="AD23" s="74"/>
    </row>
    <row r="24">
      <c r="A24" s="75">
        <v>46027.0</v>
      </c>
      <c r="B24" s="76" t="s">
        <v>120</v>
      </c>
      <c r="C24" s="77" t="s">
        <v>121</v>
      </c>
      <c r="D24" s="76" t="s">
        <v>43</v>
      </c>
      <c r="E24" s="76"/>
      <c r="F24" s="76" t="s">
        <v>8</v>
      </c>
      <c r="G24" s="76">
        <v>324.0</v>
      </c>
      <c r="H24" s="76">
        <v>18.0</v>
      </c>
      <c r="I24" s="75">
        <v>46030.0</v>
      </c>
      <c r="J24" s="78">
        <v>16.01</v>
      </c>
      <c r="K24" s="76" t="s">
        <v>1</v>
      </c>
      <c r="L24" s="79" t="b">
        <v>1</v>
      </c>
      <c r="M24" s="80">
        <f t="shared" si="3"/>
        <v>46028.58581</v>
      </c>
      <c r="N24" s="81" t="b">
        <v>1</v>
      </c>
      <c r="O24" s="80">
        <f t="shared" si="2"/>
        <v>46028.58995</v>
      </c>
      <c r="P24" s="76" t="s">
        <v>101</v>
      </c>
      <c r="Q24" s="76" t="s">
        <v>38</v>
      </c>
      <c r="R24" s="76" t="b">
        <v>0</v>
      </c>
      <c r="S24" s="82" t="b">
        <v>0</v>
      </c>
      <c r="T24" s="76">
        <v>19.0</v>
      </c>
      <c r="U24" s="79" t="s">
        <v>28</v>
      </c>
      <c r="V24" s="83"/>
      <c r="W24" s="85"/>
      <c r="X24" s="74"/>
    </row>
    <row r="25">
      <c r="A25" s="75">
        <v>46027.0</v>
      </c>
      <c r="B25" s="76" t="s">
        <v>122</v>
      </c>
      <c r="C25" s="77" t="s">
        <v>123</v>
      </c>
      <c r="D25" s="76" t="s">
        <v>43</v>
      </c>
      <c r="E25" s="76"/>
      <c r="F25" s="76" t="s">
        <v>8</v>
      </c>
      <c r="G25" s="76">
        <v>324.0</v>
      </c>
      <c r="H25" s="76">
        <v>18.0</v>
      </c>
      <c r="I25" s="75">
        <v>46030.0</v>
      </c>
      <c r="J25" s="78">
        <v>16.01</v>
      </c>
      <c r="K25" s="76" t="s">
        <v>1</v>
      </c>
      <c r="L25" s="79" t="b">
        <v>1</v>
      </c>
      <c r="M25" s="80">
        <f t="shared" si="3"/>
        <v>46028.58189</v>
      </c>
      <c r="N25" s="81" t="b">
        <v>1</v>
      </c>
      <c r="O25" s="80">
        <f t="shared" si="2"/>
        <v>46028.58365</v>
      </c>
      <c r="P25" s="76" t="s">
        <v>101</v>
      </c>
      <c r="Q25" s="76" t="s">
        <v>38</v>
      </c>
      <c r="R25" s="76" t="b">
        <v>0</v>
      </c>
      <c r="S25" s="82" t="b">
        <v>0</v>
      </c>
      <c r="T25" s="76">
        <v>19.0</v>
      </c>
      <c r="U25" s="79" t="s">
        <v>28</v>
      </c>
      <c r="V25" s="83"/>
      <c r="W25" s="85"/>
      <c r="X25" s="74"/>
    </row>
    <row r="26">
      <c r="A26" s="75">
        <v>46027.0</v>
      </c>
      <c r="B26" s="76" t="s">
        <v>124</v>
      </c>
      <c r="C26" s="77" t="s">
        <v>125</v>
      </c>
      <c r="D26" s="76" t="s">
        <v>43</v>
      </c>
      <c r="E26" s="76"/>
      <c r="F26" s="76" t="s">
        <v>8</v>
      </c>
      <c r="G26" s="76">
        <v>324.0</v>
      </c>
      <c r="H26" s="76">
        <v>18.0</v>
      </c>
      <c r="I26" s="75">
        <v>46030.0</v>
      </c>
      <c r="J26" s="78">
        <v>16.01</v>
      </c>
      <c r="K26" s="76" t="s">
        <v>1</v>
      </c>
      <c r="L26" s="79" t="b">
        <v>1</v>
      </c>
      <c r="M26" s="80">
        <f t="shared" si="3"/>
        <v>46028.58999</v>
      </c>
      <c r="N26" s="81" t="b">
        <v>1</v>
      </c>
      <c r="O26" s="80">
        <f t="shared" si="2"/>
        <v>46028.59194</v>
      </c>
      <c r="P26" s="76" t="s">
        <v>101</v>
      </c>
      <c r="Q26" s="76" t="s">
        <v>38</v>
      </c>
      <c r="R26" s="76" t="b">
        <v>0</v>
      </c>
      <c r="S26" s="82" t="b">
        <v>0</v>
      </c>
      <c r="T26" s="76">
        <v>19.0</v>
      </c>
      <c r="U26" s="79" t="s">
        <v>28</v>
      </c>
      <c r="V26" s="83"/>
      <c r="W26" s="85"/>
      <c r="X26" s="74"/>
    </row>
    <row r="27">
      <c r="A27" s="75">
        <v>46027.0</v>
      </c>
      <c r="B27" s="76" t="s">
        <v>126</v>
      </c>
      <c r="C27" s="77" t="s">
        <v>127</v>
      </c>
      <c r="D27" s="76" t="s">
        <v>49</v>
      </c>
      <c r="E27" s="76"/>
      <c r="F27" s="76" t="s">
        <v>8</v>
      </c>
      <c r="G27" s="76">
        <v>100.0</v>
      </c>
      <c r="H27" s="76">
        <v>13.0</v>
      </c>
      <c r="I27" s="75">
        <v>46034.0</v>
      </c>
      <c r="J27" s="78">
        <v>16.5</v>
      </c>
      <c r="K27" s="76" t="s">
        <v>1</v>
      </c>
      <c r="L27" s="79" t="b">
        <v>1</v>
      </c>
      <c r="M27" s="80">
        <f t="shared" si="3"/>
        <v>46028.4951</v>
      </c>
      <c r="N27" s="81" t="b">
        <v>1</v>
      </c>
      <c r="O27" s="80">
        <f t="shared" si="2"/>
        <v>46028.49602</v>
      </c>
      <c r="P27" s="76" t="s">
        <v>1</v>
      </c>
      <c r="Q27" s="76" t="s">
        <v>11</v>
      </c>
      <c r="R27" s="76" t="b">
        <v>0</v>
      </c>
      <c r="S27" s="82" t="b">
        <v>0</v>
      </c>
      <c r="T27" s="76">
        <v>23.0</v>
      </c>
      <c r="U27" s="79" t="s">
        <v>19</v>
      </c>
      <c r="V27" s="83"/>
      <c r="W27" s="85"/>
      <c r="X27" s="86"/>
    </row>
    <row r="28">
      <c r="A28" s="75">
        <v>46027.0</v>
      </c>
      <c r="B28" s="76" t="s">
        <v>128</v>
      </c>
      <c r="C28" s="77" t="s">
        <v>129</v>
      </c>
      <c r="D28" s="76" t="s">
        <v>49</v>
      </c>
      <c r="E28" s="76"/>
      <c r="F28" s="76" t="s">
        <v>8</v>
      </c>
      <c r="G28" s="76">
        <v>100.0</v>
      </c>
      <c r="H28" s="76">
        <v>12.0</v>
      </c>
      <c r="I28" s="75">
        <v>46034.0</v>
      </c>
      <c r="J28" s="78">
        <v>16.5</v>
      </c>
      <c r="K28" s="76" t="s">
        <v>1</v>
      </c>
      <c r="L28" s="79" t="b">
        <v>1</v>
      </c>
      <c r="M28" s="80">
        <f t="shared" si="3"/>
        <v>46028.49355</v>
      </c>
      <c r="N28" s="81" t="b">
        <v>1</v>
      </c>
      <c r="O28" s="80">
        <f t="shared" si="2"/>
        <v>46028.49441</v>
      </c>
      <c r="P28" s="76" t="s">
        <v>1</v>
      </c>
      <c r="Q28" s="76" t="s">
        <v>11</v>
      </c>
      <c r="R28" s="76" t="b">
        <v>0</v>
      </c>
      <c r="S28" s="82" t="b">
        <v>0</v>
      </c>
      <c r="T28" s="76">
        <v>22.0</v>
      </c>
      <c r="U28" s="79" t="s">
        <v>19</v>
      </c>
      <c r="V28" s="83"/>
      <c r="W28" s="85"/>
      <c r="X28" s="86"/>
    </row>
    <row r="29">
      <c r="A29" s="75">
        <v>46028.0</v>
      </c>
      <c r="B29" s="76" t="s">
        <v>130</v>
      </c>
      <c r="C29" s="77" t="s">
        <v>131</v>
      </c>
      <c r="D29" s="76" t="s">
        <v>23</v>
      </c>
      <c r="E29" s="76"/>
      <c r="F29" s="76" t="s">
        <v>18</v>
      </c>
      <c r="G29" s="76">
        <v>1000.0</v>
      </c>
      <c r="H29" s="76">
        <v>250.0</v>
      </c>
      <c r="I29" s="75">
        <v>46028.0</v>
      </c>
      <c r="J29" s="78">
        <v>9.17</v>
      </c>
      <c r="K29" s="76" t="s">
        <v>101</v>
      </c>
      <c r="L29" s="79" t="b">
        <v>1</v>
      </c>
      <c r="M29" s="80">
        <f t="shared" si="3"/>
        <v>46028.4025</v>
      </c>
      <c r="N29" s="81" t="b">
        <v>1</v>
      </c>
      <c r="O29" s="80">
        <f t="shared" si="2"/>
        <v>46028.40878</v>
      </c>
      <c r="P29" s="76" t="s">
        <v>101</v>
      </c>
      <c r="Q29" s="76" t="s">
        <v>11</v>
      </c>
      <c r="R29" s="76" t="b">
        <v>0</v>
      </c>
      <c r="S29" s="82" t="b">
        <v>0</v>
      </c>
      <c r="T29" s="76">
        <v>256.0</v>
      </c>
      <c r="U29" s="79" t="s">
        <v>96</v>
      </c>
      <c r="V29" s="83"/>
      <c r="W29" s="85"/>
      <c r="X29" s="86"/>
      <c r="AE29" s="87"/>
      <c r="AF29" s="87"/>
      <c r="AG29" s="87"/>
      <c r="AH29" s="87"/>
    </row>
    <row r="30">
      <c r="A30" s="75">
        <v>46028.0</v>
      </c>
      <c r="B30" s="76" t="s">
        <v>132</v>
      </c>
      <c r="C30" s="77" t="s">
        <v>109</v>
      </c>
      <c r="D30" s="76" t="s">
        <v>23</v>
      </c>
      <c r="E30" s="76"/>
      <c r="F30" s="76" t="s">
        <v>18</v>
      </c>
      <c r="G30" s="76">
        <v>5000.0</v>
      </c>
      <c r="H30" s="76">
        <v>1250.0</v>
      </c>
      <c r="I30" s="75">
        <v>46028.0</v>
      </c>
      <c r="J30" s="78">
        <v>9.56</v>
      </c>
      <c r="K30" s="76" t="s">
        <v>101</v>
      </c>
      <c r="L30" s="79" t="b">
        <v>1</v>
      </c>
      <c r="M30" s="80">
        <f t="shared" si="3"/>
        <v>46028.41834</v>
      </c>
      <c r="N30" s="81" t="b">
        <v>1</v>
      </c>
      <c r="O30" s="80">
        <f t="shared" si="2"/>
        <v>46028.45767</v>
      </c>
      <c r="P30" s="76" t="s">
        <v>101</v>
      </c>
      <c r="Q30" s="76" t="s">
        <v>11</v>
      </c>
      <c r="R30" s="76" t="b">
        <v>0</v>
      </c>
      <c r="S30" s="82" t="b">
        <v>0</v>
      </c>
      <c r="T30" s="76">
        <v>1256.0</v>
      </c>
      <c r="U30" s="79" t="s">
        <v>96</v>
      </c>
      <c r="V30" s="83"/>
      <c r="W30" s="85"/>
      <c r="X30" s="86"/>
      <c r="Y30" s="88"/>
      <c r="Z30" s="88"/>
      <c r="AA30" s="88"/>
      <c r="AB30" s="74"/>
      <c r="AC30" s="74"/>
      <c r="AD30" s="74"/>
    </row>
    <row r="31">
      <c r="A31" s="75">
        <v>46028.0</v>
      </c>
      <c r="B31" s="76" t="s">
        <v>133</v>
      </c>
      <c r="C31" s="77" t="s">
        <v>134</v>
      </c>
      <c r="D31" s="76" t="s">
        <v>60</v>
      </c>
      <c r="E31" s="76"/>
      <c r="F31" s="76" t="s">
        <v>18</v>
      </c>
      <c r="G31" s="76">
        <v>100.0</v>
      </c>
      <c r="H31" s="76">
        <v>25.0</v>
      </c>
      <c r="I31" s="75">
        <v>46029.0</v>
      </c>
      <c r="J31" s="78">
        <v>11.36</v>
      </c>
      <c r="K31" s="76" t="s">
        <v>101</v>
      </c>
      <c r="L31" s="79" t="b">
        <v>1</v>
      </c>
      <c r="M31" s="80">
        <f t="shared" si="3"/>
        <v>46028.62587</v>
      </c>
      <c r="N31" s="81" t="b">
        <v>1</v>
      </c>
      <c r="O31" s="80">
        <f t="shared" si="2"/>
        <v>46028.62798</v>
      </c>
      <c r="P31" s="76" t="s">
        <v>101</v>
      </c>
      <c r="Q31" s="76" t="s">
        <v>11</v>
      </c>
      <c r="R31" s="76" t="b">
        <v>0</v>
      </c>
      <c r="S31" s="82" t="b">
        <v>0</v>
      </c>
      <c r="T31" s="76">
        <v>32.0</v>
      </c>
      <c r="U31" s="79" t="s">
        <v>96</v>
      </c>
      <c r="V31" s="83"/>
      <c r="W31" s="85"/>
      <c r="X31" s="86"/>
      <c r="Y31" s="88"/>
      <c r="Z31" s="88"/>
      <c r="AA31" s="88"/>
      <c r="AB31" s="74"/>
      <c r="AC31" s="74"/>
      <c r="AD31" s="74"/>
    </row>
    <row r="32">
      <c r="A32" s="75">
        <v>46028.0</v>
      </c>
      <c r="B32" s="76" t="s">
        <v>135</v>
      </c>
      <c r="C32" s="77" t="s">
        <v>136</v>
      </c>
      <c r="D32" s="76" t="s">
        <v>34</v>
      </c>
      <c r="E32" s="76"/>
      <c r="F32" s="76" t="s">
        <v>8</v>
      </c>
      <c r="G32" s="76">
        <v>300.0</v>
      </c>
      <c r="H32" s="76">
        <v>10.0</v>
      </c>
      <c r="I32" s="75">
        <v>46031.0</v>
      </c>
      <c r="J32" s="78">
        <v>14.24</v>
      </c>
      <c r="K32" s="76" t="s">
        <v>1</v>
      </c>
      <c r="L32" s="79" t="b">
        <v>1</v>
      </c>
      <c r="M32" s="80">
        <f t="shared" si="3"/>
        <v>46028.64841</v>
      </c>
      <c r="N32" s="81" t="b">
        <v>1</v>
      </c>
      <c r="O32" s="80">
        <f t="shared" si="2"/>
        <v>46028.64966</v>
      </c>
      <c r="P32" s="76" t="s">
        <v>101</v>
      </c>
      <c r="Q32" s="76" t="s">
        <v>38</v>
      </c>
      <c r="R32" s="76" t="b">
        <v>0</v>
      </c>
      <c r="S32" s="82" t="b">
        <v>0</v>
      </c>
      <c r="T32" s="76">
        <v>11.0</v>
      </c>
      <c r="U32" s="79" t="s">
        <v>28</v>
      </c>
      <c r="V32" s="83"/>
      <c r="W32" s="85"/>
      <c r="X32" s="86"/>
      <c r="Y32" s="88"/>
      <c r="Z32" s="88"/>
      <c r="AA32" s="88"/>
      <c r="AB32" s="74"/>
      <c r="AC32" s="74"/>
      <c r="AD32" s="74"/>
    </row>
    <row r="33">
      <c r="A33" s="75">
        <v>46028.0</v>
      </c>
      <c r="B33" s="76" t="s">
        <v>137</v>
      </c>
      <c r="C33" s="77" t="s">
        <v>138</v>
      </c>
      <c r="D33" s="76" t="s">
        <v>57</v>
      </c>
      <c r="E33" s="76"/>
      <c r="F33" s="76" t="s">
        <v>8</v>
      </c>
      <c r="G33" s="76">
        <v>120.0</v>
      </c>
      <c r="H33" s="76">
        <v>10.0</v>
      </c>
      <c r="I33" s="75">
        <v>46031.0</v>
      </c>
      <c r="J33" s="78">
        <v>14.24</v>
      </c>
      <c r="K33" s="76" t="s">
        <v>1</v>
      </c>
      <c r="L33" s="79" t="b">
        <v>1</v>
      </c>
      <c r="M33" s="80">
        <f t="shared" si="3"/>
        <v>46028.63943</v>
      </c>
      <c r="N33" s="81" t="b">
        <v>1</v>
      </c>
      <c r="O33" s="80">
        <f t="shared" si="2"/>
        <v>46028.64836</v>
      </c>
      <c r="P33" s="76" t="s">
        <v>101</v>
      </c>
      <c r="Q33" s="76" t="s">
        <v>38</v>
      </c>
      <c r="R33" s="76" t="b">
        <v>0</v>
      </c>
      <c r="S33" s="82" t="b">
        <v>0</v>
      </c>
      <c r="T33" s="76">
        <v>11.0</v>
      </c>
      <c r="U33" s="79" t="s">
        <v>28</v>
      </c>
      <c r="V33" s="83"/>
      <c r="W33" s="85"/>
      <c r="X33" s="86"/>
      <c r="Y33" s="86"/>
      <c r="Z33" s="86"/>
      <c r="AA33" s="86"/>
      <c r="AB33" s="74"/>
      <c r="AC33" s="74"/>
      <c r="AD33" s="74"/>
    </row>
    <row r="34">
      <c r="A34" s="75">
        <v>46028.0</v>
      </c>
      <c r="B34" s="76" t="s">
        <v>139</v>
      </c>
      <c r="C34" s="77" t="s">
        <v>140</v>
      </c>
      <c r="D34" s="76" t="s">
        <v>34</v>
      </c>
      <c r="E34" s="76"/>
      <c r="F34" s="76" t="s">
        <v>8</v>
      </c>
      <c r="G34" s="76">
        <v>120.0</v>
      </c>
      <c r="H34" s="76">
        <v>10.0</v>
      </c>
      <c r="I34" s="75">
        <v>46031.0</v>
      </c>
      <c r="J34" s="78">
        <v>14.24</v>
      </c>
      <c r="K34" s="76" t="s">
        <v>1</v>
      </c>
      <c r="L34" s="79" t="b">
        <v>1</v>
      </c>
      <c r="M34" s="80">
        <f t="shared" si="3"/>
        <v>46028.64967</v>
      </c>
      <c r="N34" s="81" t="b">
        <v>1</v>
      </c>
      <c r="O34" s="80">
        <f t="shared" si="2"/>
        <v>46028.65099</v>
      </c>
      <c r="P34" s="76" t="s">
        <v>101</v>
      </c>
      <c r="Q34" s="76" t="s">
        <v>38</v>
      </c>
      <c r="R34" s="76" t="b">
        <v>0</v>
      </c>
      <c r="S34" s="82" t="b">
        <v>0</v>
      </c>
      <c r="T34" s="76">
        <v>11.0</v>
      </c>
      <c r="U34" s="79" t="s">
        <v>28</v>
      </c>
      <c r="V34" s="83"/>
      <c r="W34" s="84"/>
      <c r="X34" s="74"/>
      <c r="Y34" s="74"/>
      <c r="Z34" s="74"/>
      <c r="AA34" s="74"/>
      <c r="AB34" s="74"/>
      <c r="AC34" s="74"/>
      <c r="AD34" s="74"/>
    </row>
    <row r="35">
      <c r="A35" s="75">
        <v>46028.0</v>
      </c>
      <c r="B35" s="76" t="s">
        <v>141</v>
      </c>
      <c r="C35" s="77" t="s">
        <v>142</v>
      </c>
      <c r="D35" s="76" t="s">
        <v>34</v>
      </c>
      <c r="E35" s="76"/>
      <c r="F35" s="76" t="s">
        <v>8</v>
      </c>
      <c r="G35" s="76">
        <v>120.0</v>
      </c>
      <c r="H35" s="76">
        <v>10.0</v>
      </c>
      <c r="I35" s="75">
        <v>46031.0</v>
      </c>
      <c r="J35" s="78">
        <v>14.24</v>
      </c>
      <c r="K35" s="76" t="s">
        <v>1</v>
      </c>
      <c r="L35" s="79" t="b">
        <v>1</v>
      </c>
      <c r="M35" s="80">
        <f t="shared" si="3"/>
        <v>46028.651</v>
      </c>
      <c r="N35" s="81" t="b">
        <v>1</v>
      </c>
      <c r="O35" s="80">
        <f t="shared" si="2"/>
        <v>46028.6522</v>
      </c>
      <c r="P35" s="76" t="s">
        <v>101</v>
      </c>
      <c r="Q35" s="76" t="s">
        <v>38</v>
      </c>
      <c r="R35" s="76" t="b">
        <v>0</v>
      </c>
      <c r="S35" s="82" t="b">
        <v>0</v>
      </c>
      <c r="T35" s="76">
        <v>11.0</v>
      </c>
      <c r="U35" s="79" t="s">
        <v>28</v>
      </c>
      <c r="V35" s="83"/>
      <c r="W35" s="85"/>
      <c r="X35" s="74"/>
      <c r="Y35" s="74"/>
      <c r="Z35" s="74"/>
      <c r="AA35" s="74"/>
      <c r="AB35" s="74"/>
      <c r="AC35" s="74"/>
      <c r="AD35" s="74"/>
    </row>
    <row r="36">
      <c r="A36" s="75">
        <v>46028.0</v>
      </c>
      <c r="B36" s="76" t="s">
        <v>143</v>
      </c>
      <c r="C36" s="77" t="s">
        <v>144</v>
      </c>
      <c r="D36" s="76" t="s">
        <v>34</v>
      </c>
      <c r="E36" s="76"/>
      <c r="F36" s="76" t="s">
        <v>8</v>
      </c>
      <c r="G36" s="76">
        <v>120.0</v>
      </c>
      <c r="H36" s="76">
        <v>10.0</v>
      </c>
      <c r="I36" s="75">
        <v>46031.0</v>
      </c>
      <c r="J36" s="78">
        <v>14.24</v>
      </c>
      <c r="K36" s="76" t="s">
        <v>1</v>
      </c>
      <c r="L36" s="79" t="b">
        <v>1</v>
      </c>
      <c r="M36" s="80">
        <f t="shared" si="3"/>
        <v>46028.65221</v>
      </c>
      <c r="N36" s="81" t="b">
        <v>1</v>
      </c>
      <c r="O36" s="80">
        <f t="shared" si="2"/>
        <v>46028.65352</v>
      </c>
      <c r="P36" s="76" t="s">
        <v>101</v>
      </c>
      <c r="Q36" s="76" t="s">
        <v>38</v>
      </c>
      <c r="R36" s="76" t="b">
        <v>0</v>
      </c>
      <c r="S36" s="82" t="b">
        <v>0</v>
      </c>
      <c r="T36" s="76">
        <v>11.0</v>
      </c>
      <c r="U36" s="79" t="s">
        <v>28</v>
      </c>
      <c r="V36" s="83"/>
      <c r="W36" s="85"/>
      <c r="X36" s="74"/>
      <c r="Y36" s="74"/>
      <c r="Z36" s="74"/>
      <c r="AA36" s="74"/>
      <c r="AB36" s="74"/>
      <c r="AC36" s="74"/>
      <c r="AD36" s="74"/>
    </row>
    <row r="37">
      <c r="A37" s="75">
        <v>46028.0</v>
      </c>
      <c r="B37" s="76" t="s">
        <v>145</v>
      </c>
      <c r="C37" s="77" t="s">
        <v>146</v>
      </c>
      <c r="D37" s="76" t="s">
        <v>31</v>
      </c>
      <c r="E37" s="76"/>
      <c r="F37" s="76" t="s">
        <v>8</v>
      </c>
      <c r="G37" s="76">
        <v>1300.0</v>
      </c>
      <c r="H37" s="76">
        <v>325.0</v>
      </c>
      <c r="I37" s="75">
        <v>46031.0</v>
      </c>
      <c r="J37" s="78">
        <v>14.54</v>
      </c>
      <c r="K37" s="76" t="s">
        <v>101</v>
      </c>
      <c r="L37" s="79" t="b">
        <v>1</v>
      </c>
      <c r="M37" s="80">
        <f t="shared" si="3"/>
        <v>46029.47172</v>
      </c>
      <c r="N37" s="81" t="b">
        <v>1</v>
      </c>
      <c r="O37" s="80">
        <f t="shared" si="2"/>
        <v>46029.48176</v>
      </c>
      <c r="P37" s="76" t="s">
        <v>101</v>
      </c>
      <c r="Q37" s="76" t="s">
        <v>11</v>
      </c>
      <c r="R37" s="76" t="b">
        <v>0</v>
      </c>
      <c r="S37" s="82" t="b">
        <v>0</v>
      </c>
      <c r="T37" s="76">
        <v>332.0</v>
      </c>
      <c r="U37" s="79" t="s">
        <v>96</v>
      </c>
      <c r="V37" s="83"/>
      <c r="W37" s="85"/>
      <c r="X37" s="74"/>
      <c r="Y37" s="74"/>
      <c r="Z37" s="74"/>
      <c r="AA37" s="74"/>
      <c r="AB37" s="74"/>
      <c r="AC37" s="74"/>
      <c r="AD37" s="74"/>
    </row>
    <row r="38">
      <c r="A38" s="75">
        <v>46028.0</v>
      </c>
      <c r="B38" s="76" t="s">
        <v>147</v>
      </c>
      <c r="C38" s="77" t="s">
        <v>148</v>
      </c>
      <c r="D38" s="76" t="s">
        <v>23</v>
      </c>
      <c r="E38" s="76"/>
      <c r="F38" s="76" t="s">
        <v>8</v>
      </c>
      <c r="G38" s="76">
        <v>50.0</v>
      </c>
      <c r="H38" s="76">
        <v>50.0</v>
      </c>
      <c r="I38" s="75">
        <v>46031.0</v>
      </c>
      <c r="J38" s="78">
        <v>17.18</v>
      </c>
      <c r="K38" s="76" t="s">
        <v>101</v>
      </c>
      <c r="L38" s="79" t="b">
        <v>1</v>
      </c>
      <c r="M38" s="80">
        <f t="shared" si="3"/>
        <v>46029.48704</v>
      </c>
      <c r="N38" s="81" t="b">
        <v>1</v>
      </c>
      <c r="O38" s="80">
        <f t="shared" si="2"/>
        <v>46029.49422</v>
      </c>
      <c r="P38" s="76" t="s">
        <v>101</v>
      </c>
      <c r="Q38" s="76" t="s">
        <v>11</v>
      </c>
      <c r="R38" s="76" t="b">
        <v>0</v>
      </c>
      <c r="S38" s="82" t="b">
        <v>0</v>
      </c>
      <c r="T38" s="76">
        <v>57.0</v>
      </c>
      <c r="U38" s="79" t="s">
        <v>96</v>
      </c>
      <c r="V38" s="83"/>
      <c r="W38" s="85"/>
      <c r="X38" s="74"/>
      <c r="Y38" s="74"/>
      <c r="Z38" s="74"/>
      <c r="AA38" s="74"/>
      <c r="AB38" s="74"/>
      <c r="AC38" s="74"/>
      <c r="AD38" s="74"/>
    </row>
    <row r="39">
      <c r="A39" s="75">
        <v>46029.0</v>
      </c>
      <c r="B39" s="76" t="s">
        <v>149</v>
      </c>
      <c r="C39" s="89" t="s">
        <v>150</v>
      </c>
      <c r="D39" s="76" t="s">
        <v>32</v>
      </c>
      <c r="E39" s="76"/>
      <c r="F39" s="76" t="s">
        <v>8</v>
      </c>
      <c r="G39" s="76">
        <v>1.0</v>
      </c>
      <c r="H39" s="76" t="s">
        <v>151</v>
      </c>
      <c r="I39" s="75">
        <v>46035.0</v>
      </c>
      <c r="J39" s="78">
        <v>11.18</v>
      </c>
      <c r="K39" s="76" t="s">
        <v>1</v>
      </c>
      <c r="L39" s="79" t="b">
        <v>1</v>
      </c>
      <c r="M39" s="80">
        <f t="shared" si="3"/>
        <v>46029.6492</v>
      </c>
      <c r="N39" s="81" t="b">
        <v>1</v>
      </c>
      <c r="O39" s="80">
        <f t="shared" si="2"/>
        <v>46029.64957</v>
      </c>
      <c r="P39" s="76" t="s">
        <v>101</v>
      </c>
      <c r="Q39" s="76" t="s">
        <v>11</v>
      </c>
      <c r="R39" s="76" t="b">
        <v>0</v>
      </c>
      <c r="S39" s="82" t="b">
        <v>0</v>
      </c>
      <c r="T39" s="76">
        <v>56.0</v>
      </c>
      <c r="U39" s="79" t="s">
        <v>96</v>
      </c>
      <c r="V39" s="83"/>
      <c r="W39" s="84"/>
      <c r="X39" s="74"/>
      <c r="Y39" s="74"/>
      <c r="Z39" s="74"/>
      <c r="AA39" s="74"/>
      <c r="AB39" s="74"/>
      <c r="AC39" s="74"/>
      <c r="AD39" s="74"/>
    </row>
    <row r="40">
      <c r="A40" s="75">
        <v>46029.0</v>
      </c>
      <c r="B40" s="76" t="s">
        <v>152</v>
      </c>
      <c r="C40" s="77" t="s">
        <v>153</v>
      </c>
      <c r="D40" s="76" t="s">
        <v>55</v>
      </c>
      <c r="E40" s="76"/>
      <c r="F40" s="76" t="s">
        <v>8</v>
      </c>
      <c r="G40" s="76">
        <v>200.0</v>
      </c>
      <c r="H40" s="76">
        <v>25.0</v>
      </c>
      <c r="I40" s="75">
        <v>46031.0</v>
      </c>
      <c r="J40" s="78">
        <v>11.3</v>
      </c>
      <c r="K40" s="76" t="s">
        <v>1</v>
      </c>
      <c r="L40" s="79" t="b">
        <v>1</v>
      </c>
      <c r="M40" s="80">
        <f t="shared" si="3"/>
        <v>46029.66234</v>
      </c>
      <c r="N40" s="81" t="b">
        <v>1</v>
      </c>
      <c r="O40" s="80">
        <f t="shared" si="2"/>
        <v>46029.66385</v>
      </c>
      <c r="P40" s="76" t="s">
        <v>101</v>
      </c>
      <c r="Q40" s="76" t="s">
        <v>11</v>
      </c>
      <c r="R40" s="76" t="b">
        <v>0</v>
      </c>
      <c r="S40" s="82" t="b">
        <v>0</v>
      </c>
      <c r="T40" s="76">
        <v>32.0</v>
      </c>
      <c r="U40" s="79" t="s">
        <v>96</v>
      </c>
      <c r="V40" s="83"/>
      <c r="W40" s="85"/>
      <c r="X40" s="74"/>
      <c r="Y40" s="74"/>
      <c r="Z40" s="74"/>
      <c r="AA40" s="74"/>
      <c r="AB40" s="74"/>
      <c r="AC40" s="74"/>
      <c r="AD40" s="74"/>
    </row>
    <row r="41">
      <c r="A41" s="75">
        <v>46029.0</v>
      </c>
      <c r="B41" s="76" t="s">
        <v>154</v>
      </c>
      <c r="C41" s="77" t="s">
        <v>155</v>
      </c>
      <c r="D41" s="76" t="s">
        <v>43</v>
      </c>
      <c r="E41" s="76"/>
      <c r="F41" s="76" t="s">
        <v>8</v>
      </c>
      <c r="G41" s="76">
        <v>10.0</v>
      </c>
      <c r="H41" s="76">
        <v>10.0</v>
      </c>
      <c r="I41" s="75">
        <v>46032.0</v>
      </c>
      <c r="J41" s="78">
        <v>14.04</v>
      </c>
      <c r="K41" s="76" t="s">
        <v>1</v>
      </c>
      <c r="L41" s="79" t="b">
        <v>1</v>
      </c>
      <c r="M41" s="80">
        <f t="shared" si="3"/>
        <v>46029.5954</v>
      </c>
      <c r="N41" s="81" t="b">
        <v>1</v>
      </c>
      <c r="O41" s="80">
        <f t="shared" si="2"/>
        <v>46029.59799</v>
      </c>
      <c r="P41" s="76" t="s">
        <v>101</v>
      </c>
      <c r="Q41" s="76" t="s">
        <v>38</v>
      </c>
      <c r="R41" s="76" t="b">
        <v>0</v>
      </c>
      <c r="S41" s="82" t="b">
        <v>0</v>
      </c>
      <c r="T41" s="76">
        <v>12.0</v>
      </c>
      <c r="U41" s="79" t="s">
        <v>28</v>
      </c>
      <c r="V41" s="83"/>
      <c r="W41" s="85"/>
      <c r="X41" s="74"/>
      <c r="Y41" s="74"/>
      <c r="Z41" s="74"/>
      <c r="AA41" s="74"/>
      <c r="AB41" s="74"/>
      <c r="AC41" s="74"/>
      <c r="AD41" s="74"/>
    </row>
    <row r="42">
      <c r="A42" s="75">
        <v>46029.0</v>
      </c>
      <c r="B42" s="76" t="s">
        <v>156</v>
      </c>
      <c r="C42" s="77" t="s">
        <v>157</v>
      </c>
      <c r="D42" s="76" t="s">
        <v>16</v>
      </c>
      <c r="E42" s="76"/>
      <c r="F42" s="76" t="s">
        <v>8</v>
      </c>
      <c r="G42" s="76">
        <v>1200.0</v>
      </c>
      <c r="H42" s="76">
        <v>48.0</v>
      </c>
      <c r="I42" s="75">
        <v>46034.0</v>
      </c>
      <c r="J42" s="78">
        <v>14.04</v>
      </c>
      <c r="K42" s="76" t="s">
        <v>101</v>
      </c>
      <c r="L42" s="79" t="b">
        <v>1</v>
      </c>
      <c r="M42" s="80">
        <f t="shared" si="3"/>
        <v>46029.61118</v>
      </c>
      <c r="N42" s="81" t="b">
        <v>1</v>
      </c>
      <c r="O42" s="80">
        <f t="shared" si="2"/>
        <v>46029.61787</v>
      </c>
      <c r="P42" s="76" t="s">
        <v>101</v>
      </c>
      <c r="Q42" s="76" t="s">
        <v>11</v>
      </c>
      <c r="R42" s="76" t="b">
        <v>0</v>
      </c>
      <c r="S42" s="82" t="b">
        <v>0</v>
      </c>
      <c r="T42" s="76">
        <v>58.0</v>
      </c>
      <c r="U42" s="79" t="s">
        <v>96</v>
      </c>
      <c r="V42" s="83"/>
      <c r="W42" s="85"/>
      <c r="X42" s="74"/>
      <c r="Y42" s="74"/>
      <c r="Z42" s="74"/>
      <c r="AA42" s="74"/>
      <c r="AB42" s="74"/>
      <c r="AC42" s="74"/>
      <c r="AD42" s="74"/>
    </row>
    <row r="43">
      <c r="A43" s="75">
        <v>46029.0</v>
      </c>
      <c r="B43" s="76" t="s">
        <v>158</v>
      </c>
      <c r="C43" s="77" t="s">
        <v>159</v>
      </c>
      <c r="D43" s="76" t="s">
        <v>60</v>
      </c>
      <c r="E43" s="76"/>
      <c r="F43" s="76" t="s">
        <v>8</v>
      </c>
      <c r="G43" s="76">
        <v>140.0</v>
      </c>
      <c r="H43" s="76">
        <v>455.0</v>
      </c>
      <c r="I43" s="75">
        <v>46039.0</v>
      </c>
      <c r="J43" s="78">
        <v>14.56</v>
      </c>
      <c r="K43" s="76" t="s">
        <v>101</v>
      </c>
      <c r="L43" s="79" t="b">
        <v>1</v>
      </c>
      <c r="M43" s="80">
        <f t="shared" si="3"/>
        <v>46030.38407</v>
      </c>
      <c r="N43" s="81" t="b">
        <v>1</v>
      </c>
      <c r="O43" s="80">
        <f t="shared" si="2"/>
        <v>46030.40902</v>
      </c>
      <c r="P43" s="76" t="s">
        <v>101</v>
      </c>
      <c r="Q43" s="76" t="s">
        <v>11</v>
      </c>
      <c r="R43" s="76" t="b">
        <v>0</v>
      </c>
      <c r="S43" s="82" t="b">
        <v>0</v>
      </c>
      <c r="T43" s="76">
        <v>488.0</v>
      </c>
      <c r="U43" s="79" t="s">
        <v>96</v>
      </c>
      <c r="V43" s="83" t="s">
        <v>160</v>
      </c>
      <c r="W43" s="85"/>
      <c r="X43" s="74"/>
      <c r="Y43" s="74"/>
      <c r="Z43" s="74"/>
      <c r="AA43" s="74"/>
      <c r="AB43" s="74"/>
      <c r="AC43" s="74"/>
      <c r="AD43" s="74"/>
    </row>
    <row r="44">
      <c r="A44" s="75">
        <v>46030.0</v>
      </c>
      <c r="B44" s="76" t="s">
        <v>161</v>
      </c>
      <c r="C44" s="77" t="s">
        <v>162</v>
      </c>
      <c r="D44" s="76" t="s">
        <v>34</v>
      </c>
      <c r="E44" s="76"/>
      <c r="F44" s="76" t="s">
        <v>8</v>
      </c>
      <c r="G44" s="76">
        <v>11.0</v>
      </c>
      <c r="H44" s="76">
        <v>11.0</v>
      </c>
      <c r="I44" s="75">
        <v>46032.0</v>
      </c>
      <c r="J44" s="78">
        <v>14.19</v>
      </c>
      <c r="K44" s="76" t="s">
        <v>1</v>
      </c>
      <c r="L44" s="79" t="b">
        <v>1</v>
      </c>
      <c r="M44" s="80">
        <f t="shared" si="3"/>
        <v>46030.62846</v>
      </c>
      <c r="N44" s="81" t="b">
        <v>1</v>
      </c>
      <c r="O44" s="80">
        <f t="shared" si="2"/>
        <v>46030.62985</v>
      </c>
      <c r="P44" s="76" t="s">
        <v>101</v>
      </c>
      <c r="Q44" s="76" t="s">
        <v>38</v>
      </c>
      <c r="R44" s="76" t="b">
        <v>0</v>
      </c>
      <c r="S44" s="82" t="b">
        <v>0</v>
      </c>
      <c r="T44" s="76">
        <v>12.0</v>
      </c>
      <c r="U44" s="79" t="s">
        <v>28</v>
      </c>
      <c r="V44" s="83"/>
      <c r="W44" s="85"/>
      <c r="X44" s="74"/>
      <c r="Y44" s="74"/>
      <c r="Z44" s="74"/>
      <c r="AA44" s="74"/>
      <c r="AB44" s="74"/>
      <c r="AC44" s="74"/>
      <c r="AD44" s="74"/>
    </row>
    <row r="45">
      <c r="A45" s="75">
        <v>46030.0</v>
      </c>
      <c r="B45" s="76" t="s">
        <v>163</v>
      </c>
      <c r="C45" s="77" t="s">
        <v>164</v>
      </c>
      <c r="D45" s="76" t="s">
        <v>31</v>
      </c>
      <c r="E45" s="76"/>
      <c r="F45" s="76" t="s">
        <v>8</v>
      </c>
      <c r="G45" s="76">
        <v>100.0</v>
      </c>
      <c r="H45" s="76">
        <v>25.0</v>
      </c>
      <c r="I45" s="75">
        <v>46031.0</v>
      </c>
      <c r="J45" s="78">
        <v>14.19</v>
      </c>
      <c r="K45" s="76" t="s">
        <v>101</v>
      </c>
      <c r="L45" s="79" t="b">
        <v>1</v>
      </c>
      <c r="M45" s="80">
        <f t="shared" si="3"/>
        <v>46030.61564</v>
      </c>
      <c r="N45" s="81" t="b">
        <v>1</v>
      </c>
      <c r="O45" s="80">
        <f t="shared" si="2"/>
        <v>46030.6172</v>
      </c>
      <c r="P45" s="76" t="s">
        <v>101</v>
      </c>
      <c r="Q45" s="76" t="s">
        <v>11</v>
      </c>
      <c r="R45" s="76" t="b">
        <v>0</v>
      </c>
      <c r="S45" s="82" t="b">
        <v>0</v>
      </c>
      <c r="T45" s="76">
        <v>32.0</v>
      </c>
      <c r="U45" s="79" t="s">
        <v>96</v>
      </c>
      <c r="V45" s="83"/>
      <c r="W45" s="85"/>
      <c r="X45" s="74"/>
      <c r="Y45" s="74"/>
      <c r="Z45" s="74"/>
      <c r="AA45" s="74"/>
      <c r="AB45" s="74"/>
      <c r="AC45" s="74"/>
      <c r="AD45" s="74"/>
    </row>
    <row r="46">
      <c r="A46" s="75">
        <v>46030.0</v>
      </c>
      <c r="B46" s="76" t="s">
        <v>165</v>
      </c>
      <c r="C46" s="77" t="s">
        <v>166</v>
      </c>
      <c r="D46" s="76" t="s">
        <v>31</v>
      </c>
      <c r="E46" s="76"/>
      <c r="F46" s="76" t="s">
        <v>8</v>
      </c>
      <c r="G46" s="76">
        <v>200.0</v>
      </c>
      <c r="H46" s="76">
        <v>50.0</v>
      </c>
      <c r="I46" s="75">
        <v>46031.0</v>
      </c>
      <c r="J46" s="78">
        <v>14.19</v>
      </c>
      <c r="K46" s="76" t="s">
        <v>101</v>
      </c>
      <c r="L46" s="79" t="b">
        <v>1</v>
      </c>
      <c r="M46" s="80">
        <f t="shared" si="3"/>
        <v>46030.61721</v>
      </c>
      <c r="N46" s="81" t="b">
        <v>1</v>
      </c>
      <c r="O46" s="80">
        <f t="shared" si="2"/>
        <v>46030.62044</v>
      </c>
      <c r="P46" s="76" t="s">
        <v>101</v>
      </c>
      <c r="Q46" s="76" t="s">
        <v>11</v>
      </c>
      <c r="R46" s="76" t="b">
        <v>0</v>
      </c>
      <c r="S46" s="82" t="b">
        <v>0</v>
      </c>
      <c r="T46" s="76">
        <v>56.0</v>
      </c>
      <c r="U46" s="79" t="s">
        <v>96</v>
      </c>
      <c r="V46" s="83"/>
      <c r="W46" s="84"/>
      <c r="X46" s="74"/>
      <c r="Y46" s="74"/>
      <c r="Z46" s="74"/>
      <c r="AA46" s="74"/>
      <c r="AB46" s="74"/>
      <c r="AC46" s="74"/>
      <c r="AD46" s="74"/>
    </row>
    <row r="47">
      <c r="A47" s="75">
        <v>46030.0</v>
      </c>
      <c r="B47" s="76" t="s">
        <v>167</v>
      </c>
      <c r="C47" s="77" t="s">
        <v>168</v>
      </c>
      <c r="D47" s="76" t="s">
        <v>47</v>
      </c>
      <c r="E47" s="76"/>
      <c r="F47" s="76" t="s">
        <v>8</v>
      </c>
      <c r="G47" s="76">
        <v>1000.0</v>
      </c>
      <c r="H47" s="76">
        <v>500.0</v>
      </c>
      <c r="I47" s="75">
        <v>46036.0</v>
      </c>
      <c r="J47" s="78">
        <v>15.11</v>
      </c>
      <c r="K47" s="76" t="s">
        <v>101</v>
      </c>
      <c r="L47" s="79" t="b">
        <v>1</v>
      </c>
      <c r="M47" s="80">
        <f t="shared" si="3"/>
        <v>46031.4147</v>
      </c>
      <c r="N47" s="81" t="b">
        <v>1</v>
      </c>
      <c r="O47" s="80">
        <f t="shared" si="2"/>
        <v>46031.42786</v>
      </c>
      <c r="P47" s="76" t="s">
        <v>101</v>
      </c>
      <c r="Q47" s="76" t="s">
        <v>11</v>
      </c>
      <c r="R47" s="76" t="b">
        <v>0</v>
      </c>
      <c r="S47" s="82" t="b">
        <v>0</v>
      </c>
      <c r="T47" s="76">
        <v>512.0</v>
      </c>
      <c r="U47" s="79" t="s">
        <v>96</v>
      </c>
      <c r="V47" s="83"/>
      <c r="W47" s="85"/>
      <c r="X47" s="74"/>
      <c r="Y47" s="74"/>
      <c r="Z47" s="74"/>
      <c r="AA47" s="74"/>
      <c r="AB47" s="74"/>
      <c r="AC47" s="74"/>
      <c r="AD47" s="74"/>
    </row>
    <row r="48">
      <c r="A48" s="75">
        <v>46030.0</v>
      </c>
      <c r="B48" s="76" t="s">
        <v>169</v>
      </c>
      <c r="C48" s="77" t="s">
        <v>170</v>
      </c>
      <c r="D48" s="76" t="s">
        <v>34</v>
      </c>
      <c r="E48" s="76"/>
      <c r="F48" s="76" t="s">
        <v>8</v>
      </c>
      <c r="G48" s="76">
        <v>6.0</v>
      </c>
      <c r="H48" s="76">
        <v>6.0</v>
      </c>
      <c r="I48" s="75">
        <v>46031.0</v>
      </c>
      <c r="J48" s="78">
        <v>15.11</v>
      </c>
      <c r="K48" s="76" t="s">
        <v>101</v>
      </c>
      <c r="L48" s="79" t="b">
        <v>1</v>
      </c>
      <c r="M48" s="80">
        <f t="shared" si="3"/>
        <v>46030.65284</v>
      </c>
      <c r="N48" s="81" t="b">
        <v>1</v>
      </c>
      <c r="O48" s="80">
        <f t="shared" si="2"/>
        <v>46030.65398</v>
      </c>
      <c r="P48" s="76" t="s">
        <v>101</v>
      </c>
      <c r="Q48" s="76" t="s">
        <v>38</v>
      </c>
      <c r="R48" s="76" t="b">
        <v>0</v>
      </c>
      <c r="S48" s="82" t="b">
        <v>0</v>
      </c>
      <c r="T48" s="76">
        <v>7.0</v>
      </c>
      <c r="U48" s="79" t="s">
        <v>28</v>
      </c>
      <c r="V48" s="83"/>
      <c r="W48" s="85"/>
      <c r="X48" s="74"/>
      <c r="Y48" s="74"/>
      <c r="Z48" s="74"/>
      <c r="AA48" s="74"/>
      <c r="AB48" s="74"/>
      <c r="AC48" s="74"/>
      <c r="AD48" s="74"/>
    </row>
    <row r="49">
      <c r="A49" s="75">
        <v>46030.0</v>
      </c>
      <c r="B49" s="76" t="s">
        <v>171</v>
      </c>
      <c r="C49" s="77" t="s">
        <v>172</v>
      </c>
      <c r="D49" s="76" t="s">
        <v>34</v>
      </c>
      <c r="E49" s="76"/>
      <c r="F49" s="76" t="s">
        <v>8</v>
      </c>
      <c r="G49" s="76">
        <v>6.0</v>
      </c>
      <c r="H49" s="76">
        <v>6.0</v>
      </c>
      <c r="I49" s="75">
        <v>46031.0</v>
      </c>
      <c r="J49" s="78">
        <v>15.11</v>
      </c>
      <c r="K49" s="76" t="s">
        <v>101</v>
      </c>
      <c r="L49" s="79" t="b">
        <v>1</v>
      </c>
      <c r="M49" s="80">
        <f t="shared" si="3"/>
        <v>46030.65918</v>
      </c>
      <c r="N49" s="81" t="b">
        <v>1</v>
      </c>
      <c r="O49" s="80">
        <f t="shared" si="2"/>
        <v>46030.66028</v>
      </c>
      <c r="P49" s="76" t="s">
        <v>101</v>
      </c>
      <c r="Q49" s="76" t="s">
        <v>38</v>
      </c>
      <c r="R49" s="76" t="b">
        <v>0</v>
      </c>
      <c r="S49" s="82" t="b">
        <v>0</v>
      </c>
      <c r="T49" s="76">
        <v>7.0</v>
      </c>
      <c r="U49" s="79" t="s">
        <v>28</v>
      </c>
      <c r="V49" s="83"/>
      <c r="W49" s="85"/>
      <c r="X49" s="74"/>
      <c r="Y49" s="74"/>
      <c r="Z49" s="74"/>
      <c r="AA49" s="74"/>
      <c r="AB49" s="74"/>
      <c r="AC49" s="74"/>
      <c r="AD49" s="74"/>
    </row>
    <row r="50">
      <c r="A50" s="75">
        <v>46030.0</v>
      </c>
      <c r="B50" s="76" t="s">
        <v>173</v>
      </c>
      <c r="C50" s="77" t="s">
        <v>174</v>
      </c>
      <c r="D50" s="76" t="s">
        <v>34</v>
      </c>
      <c r="E50" s="76"/>
      <c r="F50" s="76" t="s">
        <v>8</v>
      </c>
      <c r="G50" s="76">
        <v>6.0</v>
      </c>
      <c r="H50" s="76">
        <v>6.0</v>
      </c>
      <c r="I50" s="75">
        <v>46031.0</v>
      </c>
      <c r="J50" s="78">
        <v>15.11</v>
      </c>
      <c r="K50" s="76" t="s">
        <v>101</v>
      </c>
      <c r="L50" s="79" t="b">
        <v>1</v>
      </c>
      <c r="M50" s="80">
        <f t="shared" si="3"/>
        <v>46030.6603</v>
      </c>
      <c r="N50" s="81" t="b">
        <v>1</v>
      </c>
      <c r="O50" s="80">
        <f t="shared" si="2"/>
        <v>46030.66138</v>
      </c>
      <c r="P50" s="76" t="s">
        <v>101</v>
      </c>
      <c r="Q50" s="76" t="s">
        <v>38</v>
      </c>
      <c r="R50" s="76" t="b">
        <v>0</v>
      </c>
      <c r="S50" s="82" t="b">
        <v>0</v>
      </c>
      <c r="T50" s="76">
        <v>7.0</v>
      </c>
      <c r="U50" s="79" t="s">
        <v>28</v>
      </c>
      <c r="V50" s="83"/>
      <c r="W50" s="85"/>
      <c r="X50" s="74"/>
      <c r="Y50" s="74"/>
      <c r="Z50" s="74"/>
      <c r="AA50" s="74"/>
      <c r="AB50" s="74"/>
      <c r="AC50" s="74"/>
      <c r="AD50" s="74"/>
    </row>
    <row r="51">
      <c r="A51" s="75">
        <v>46030.0</v>
      </c>
      <c r="B51" s="76" t="s">
        <v>175</v>
      </c>
      <c r="C51" s="77" t="s">
        <v>176</v>
      </c>
      <c r="D51" s="76" t="s">
        <v>34</v>
      </c>
      <c r="E51" s="76"/>
      <c r="F51" s="76" t="s">
        <v>8</v>
      </c>
      <c r="G51" s="76">
        <v>51.0</v>
      </c>
      <c r="H51" s="76">
        <v>51.0</v>
      </c>
      <c r="I51" s="75">
        <v>46031.0</v>
      </c>
      <c r="J51" s="78">
        <v>15.11</v>
      </c>
      <c r="K51" s="76" t="s">
        <v>101</v>
      </c>
      <c r="L51" s="79" t="b">
        <v>1</v>
      </c>
      <c r="M51" s="80">
        <f t="shared" si="3"/>
        <v>46030.66139</v>
      </c>
      <c r="N51" s="81" t="b">
        <v>1</v>
      </c>
      <c r="O51" s="80">
        <f t="shared" si="2"/>
        <v>46030.66353</v>
      </c>
      <c r="P51" s="76" t="s">
        <v>101</v>
      </c>
      <c r="Q51" s="76" t="s">
        <v>38</v>
      </c>
      <c r="R51" s="76" t="b">
        <v>0</v>
      </c>
      <c r="S51" s="82" t="b">
        <v>0</v>
      </c>
      <c r="T51" s="76">
        <v>52.0</v>
      </c>
      <c r="U51" s="79" t="s">
        <v>28</v>
      </c>
      <c r="V51" s="83"/>
      <c r="W51" s="85"/>
      <c r="X51" s="74"/>
      <c r="Y51" s="74"/>
      <c r="Z51" s="74"/>
      <c r="AA51" s="74"/>
      <c r="AB51" s="74"/>
      <c r="AC51" s="74"/>
      <c r="AD51" s="74"/>
    </row>
    <row r="52">
      <c r="A52" s="75">
        <v>46030.0</v>
      </c>
      <c r="B52" s="76" t="s">
        <v>177</v>
      </c>
      <c r="C52" s="77" t="s">
        <v>178</v>
      </c>
      <c r="D52" s="76" t="s">
        <v>13</v>
      </c>
      <c r="E52" s="76"/>
      <c r="F52" s="76" t="s">
        <v>8</v>
      </c>
      <c r="G52" s="76">
        <v>300.0</v>
      </c>
      <c r="H52" s="76">
        <v>150.0</v>
      </c>
      <c r="I52" s="75">
        <v>46035.0</v>
      </c>
      <c r="J52" s="78">
        <v>15.47</v>
      </c>
      <c r="K52" s="76" t="s">
        <v>101</v>
      </c>
      <c r="L52" s="79" t="b">
        <v>1</v>
      </c>
      <c r="M52" s="80">
        <f t="shared" si="3"/>
        <v>46031.40291</v>
      </c>
      <c r="N52" s="81" t="b">
        <v>1</v>
      </c>
      <c r="O52" s="80">
        <f t="shared" si="2"/>
        <v>46031.40676</v>
      </c>
      <c r="P52" s="76" t="s">
        <v>101</v>
      </c>
      <c r="Q52" s="76" t="s">
        <v>11</v>
      </c>
      <c r="R52" s="76" t="b">
        <v>0</v>
      </c>
      <c r="S52" s="82" t="b">
        <v>0</v>
      </c>
      <c r="T52" s="76">
        <v>156.0</v>
      </c>
      <c r="U52" s="79" t="s">
        <v>96</v>
      </c>
      <c r="V52" s="83"/>
      <c r="W52" s="85"/>
      <c r="X52" s="74"/>
      <c r="Y52" s="74"/>
      <c r="Z52" s="74"/>
      <c r="AA52" s="74"/>
      <c r="AB52" s="74"/>
      <c r="AC52" s="74"/>
      <c r="AD52" s="74"/>
    </row>
    <row r="53">
      <c r="A53" s="75">
        <v>46030.0</v>
      </c>
      <c r="B53" s="76" t="s">
        <v>179</v>
      </c>
      <c r="C53" s="77" t="s">
        <v>180</v>
      </c>
      <c r="D53" s="76" t="s">
        <v>23</v>
      </c>
      <c r="E53" s="76"/>
      <c r="F53" s="76" t="s">
        <v>18</v>
      </c>
      <c r="G53" s="76">
        <v>1000.0</v>
      </c>
      <c r="H53" s="76">
        <v>500.0</v>
      </c>
      <c r="I53" s="75">
        <v>46031.0</v>
      </c>
      <c r="J53" s="78">
        <v>16.12</v>
      </c>
      <c r="K53" s="76" t="s">
        <v>101</v>
      </c>
      <c r="L53" s="79" t="b">
        <v>1</v>
      </c>
      <c r="M53" s="80">
        <f t="shared" si="3"/>
        <v>46031.37287</v>
      </c>
      <c r="N53" s="81" t="b">
        <v>1</v>
      </c>
      <c r="O53" s="80">
        <f t="shared" si="2"/>
        <v>46031.37957</v>
      </c>
      <c r="P53" s="76" t="s">
        <v>101</v>
      </c>
      <c r="Q53" s="76" t="s">
        <v>11</v>
      </c>
      <c r="R53" s="76" t="b">
        <v>0</v>
      </c>
      <c r="S53" s="82" t="b">
        <v>0</v>
      </c>
      <c r="T53" s="76">
        <v>504.0</v>
      </c>
      <c r="U53" s="79" t="s">
        <v>96</v>
      </c>
      <c r="V53" s="83"/>
      <c r="W53" s="85"/>
      <c r="X53" s="74"/>
      <c r="Y53" s="74"/>
      <c r="Z53" s="74"/>
      <c r="AA53" s="74"/>
      <c r="AB53" s="74"/>
      <c r="AC53" s="74"/>
      <c r="AD53" s="74"/>
    </row>
    <row r="54">
      <c r="A54" s="75">
        <v>46031.0</v>
      </c>
      <c r="B54" s="76" t="s">
        <v>181</v>
      </c>
      <c r="C54" s="77" t="s">
        <v>182</v>
      </c>
      <c r="D54" s="76" t="s">
        <v>23</v>
      </c>
      <c r="E54" s="76"/>
      <c r="F54" s="76" t="s">
        <v>8</v>
      </c>
      <c r="G54" s="76">
        <v>300.0</v>
      </c>
      <c r="H54" s="76">
        <v>150.0</v>
      </c>
      <c r="I54" s="75">
        <v>46035.0</v>
      </c>
      <c r="J54" s="78">
        <v>9.43</v>
      </c>
      <c r="K54" s="76" t="s">
        <v>101</v>
      </c>
      <c r="L54" s="79" t="b">
        <v>1</v>
      </c>
      <c r="M54" s="80">
        <f t="shared" si="3"/>
        <v>46031.43532</v>
      </c>
      <c r="N54" s="81" t="b">
        <v>1</v>
      </c>
      <c r="O54" s="80">
        <f t="shared" si="2"/>
        <v>46031.43812</v>
      </c>
      <c r="P54" s="76" t="s">
        <v>101</v>
      </c>
      <c r="Q54" s="76" t="s">
        <v>11</v>
      </c>
      <c r="R54" s="76" t="b">
        <v>0</v>
      </c>
      <c r="S54" s="82" t="b">
        <v>0</v>
      </c>
      <c r="T54" s="76">
        <v>156.0</v>
      </c>
      <c r="U54" s="79" t="s">
        <v>96</v>
      </c>
      <c r="V54" s="83"/>
      <c r="W54" s="85"/>
      <c r="X54" s="74"/>
      <c r="Y54" s="74"/>
      <c r="Z54" s="74"/>
      <c r="AA54" s="74"/>
      <c r="AB54" s="74"/>
      <c r="AC54" s="74"/>
      <c r="AD54" s="74"/>
    </row>
    <row r="55">
      <c r="A55" s="75">
        <v>46031.0</v>
      </c>
      <c r="B55" s="76" t="s">
        <v>183</v>
      </c>
      <c r="C55" s="77" t="s">
        <v>184</v>
      </c>
      <c r="D55" s="76" t="s">
        <v>23</v>
      </c>
      <c r="E55" s="76"/>
      <c r="F55" s="76" t="s">
        <v>18</v>
      </c>
      <c r="G55" s="76">
        <v>200.0</v>
      </c>
      <c r="H55" s="76">
        <v>50.0</v>
      </c>
      <c r="I55" s="75">
        <v>46031.0</v>
      </c>
      <c r="J55" s="78">
        <v>11.57</v>
      </c>
      <c r="K55" s="76" t="s">
        <v>101</v>
      </c>
      <c r="L55" s="79" t="b">
        <v>1</v>
      </c>
      <c r="M55" s="80">
        <f t="shared" si="3"/>
        <v>46031.55138</v>
      </c>
      <c r="N55" s="81" t="b">
        <v>1</v>
      </c>
      <c r="O55" s="80">
        <f t="shared" si="2"/>
        <v>46031.55224</v>
      </c>
      <c r="P55" s="76" t="s">
        <v>101</v>
      </c>
      <c r="Q55" s="76" t="s">
        <v>11</v>
      </c>
      <c r="R55" s="76" t="b">
        <v>0</v>
      </c>
      <c r="S55" s="82" t="b">
        <v>0</v>
      </c>
      <c r="T55" s="76">
        <v>56.0</v>
      </c>
      <c r="U55" s="79" t="s">
        <v>96</v>
      </c>
      <c r="V55" s="83"/>
      <c r="W55" s="85"/>
      <c r="X55" s="74"/>
      <c r="Y55" s="74"/>
      <c r="Z55" s="74"/>
      <c r="AA55" s="74"/>
      <c r="AB55" s="74"/>
      <c r="AC55" s="74"/>
      <c r="AD55" s="74"/>
    </row>
    <row r="56">
      <c r="A56" s="75">
        <v>46031.0</v>
      </c>
      <c r="B56" s="76" t="s">
        <v>185</v>
      </c>
      <c r="C56" s="77" t="s">
        <v>186</v>
      </c>
      <c r="D56" s="76" t="s">
        <v>23</v>
      </c>
      <c r="E56" s="76"/>
      <c r="F56" s="76" t="s">
        <v>18</v>
      </c>
      <c r="G56" s="76">
        <v>8000.0</v>
      </c>
      <c r="H56" s="76">
        <v>2000.0</v>
      </c>
      <c r="I56" s="75">
        <v>46032.0</v>
      </c>
      <c r="J56" s="78">
        <v>15.1</v>
      </c>
      <c r="K56" s="76" t="s">
        <v>101</v>
      </c>
      <c r="L56" s="79" t="b">
        <v>1</v>
      </c>
      <c r="M56" s="80">
        <f t="shared" si="3"/>
        <v>46031.63923</v>
      </c>
      <c r="N56" s="81" t="b">
        <v>1</v>
      </c>
      <c r="O56" s="80">
        <f t="shared" si="2"/>
        <v>46031.67911</v>
      </c>
      <c r="P56" s="76" t="s">
        <v>101</v>
      </c>
      <c r="Q56" s="76" t="s">
        <v>11</v>
      </c>
      <c r="R56" s="76" t="b">
        <v>0</v>
      </c>
      <c r="S56" s="82" t="b">
        <v>0</v>
      </c>
      <c r="T56" s="76">
        <v>2004.0</v>
      </c>
      <c r="U56" s="79" t="s">
        <v>96</v>
      </c>
      <c r="V56" s="83" t="s">
        <v>187</v>
      </c>
      <c r="W56" s="85"/>
      <c r="X56" s="74"/>
      <c r="Y56" s="74"/>
      <c r="Z56" s="74"/>
      <c r="AA56" s="74"/>
      <c r="AB56" s="74"/>
      <c r="AC56" s="74"/>
      <c r="AD56" s="74"/>
    </row>
    <row r="57">
      <c r="A57" s="75">
        <v>46031.0</v>
      </c>
      <c r="B57" s="76" t="s">
        <v>188</v>
      </c>
      <c r="C57" s="77" t="s">
        <v>189</v>
      </c>
      <c r="D57" s="76" t="s">
        <v>23</v>
      </c>
      <c r="E57" s="76"/>
      <c r="F57" s="76" t="s">
        <v>8</v>
      </c>
      <c r="G57" s="76">
        <v>200.0</v>
      </c>
      <c r="H57" s="76">
        <v>50.0</v>
      </c>
      <c r="I57" s="75">
        <v>46036.0</v>
      </c>
      <c r="J57" s="78">
        <v>15.1</v>
      </c>
      <c r="K57" s="76" t="s">
        <v>101</v>
      </c>
      <c r="L57" s="79" t="b">
        <v>1</v>
      </c>
      <c r="M57" s="80">
        <f t="shared" si="3"/>
        <v>46031.69057</v>
      </c>
      <c r="N57" s="81" t="b">
        <v>1</v>
      </c>
      <c r="O57" s="80">
        <f t="shared" si="2"/>
        <v>46031.69366</v>
      </c>
      <c r="P57" s="76" t="s">
        <v>101</v>
      </c>
      <c r="Q57" s="76" t="s">
        <v>11</v>
      </c>
      <c r="R57" s="76" t="b">
        <v>0</v>
      </c>
      <c r="S57" s="82" t="b">
        <v>0</v>
      </c>
      <c r="T57" s="76">
        <v>56.0</v>
      </c>
      <c r="U57" s="79" t="s">
        <v>96</v>
      </c>
      <c r="V57" s="83"/>
      <c r="W57" s="85"/>
      <c r="X57" s="74"/>
      <c r="Y57" s="74"/>
      <c r="Z57" s="74"/>
      <c r="AA57" s="74"/>
      <c r="AB57" s="74"/>
      <c r="AC57" s="74"/>
      <c r="AD57" s="74"/>
    </row>
    <row r="58">
      <c r="A58" s="75">
        <v>46031.0</v>
      </c>
      <c r="B58" s="76" t="s">
        <v>190</v>
      </c>
      <c r="C58" s="77" t="s">
        <v>191</v>
      </c>
      <c r="D58" s="76" t="s">
        <v>23</v>
      </c>
      <c r="E58" s="76"/>
      <c r="F58" s="76" t="s">
        <v>8</v>
      </c>
      <c r="G58" s="76">
        <v>200.0</v>
      </c>
      <c r="H58" s="76">
        <v>50.0</v>
      </c>
      <c r="I58" s="75">
        <v>46038.0</v>
      </c>
      <c r="J58" s="78">
        <v>15.1</v>
      </c>
      <c r="K58" s="76" t="s">
        <v>101</v>
      </c>
      <c r="L58" s="79" t="b">
        <v>1</v>
      </c>
      <c r="M58" s="80">
        <f t="shared" si="3"/>
        <v>46032.40769</v>
      </c>
      <c r="N58" s="81" t="b">
        <v>1</v>
      </c>
      <c r="O58" s="80">
        <f t="shared" si="2"/>
        <v>46032.41136</v>
      </c>
      <c r="P58" s="76" t="s">
        <v>101</v>
      </c>
      <c r="Q58" s="76" t="s">
        <v>11</v>
      </c>
      <c r="R58" s="76" t="b">
        <v>0</v>
      </c>
      <c r="S58" s="82" t="b">
        <v>0</v>
      </c>
      <c r="T58" s="76">
        <v>56.0</v>
      </c>
      <c r="U58" s="79" t="s">
        <v>96</v>
      </c>
      <c r="V58" s="83"/>
      <c r="W58" s="85"/>
      <c r="X58" s="74"/>
      <c r="Y58" s="74"/>
      <c r="Z58" s="74"/>
      <c r="AA58" s="74"/>
      <c r="AB58" s="74"/>
      <c r="AC58" s="74"/>
      <c r="AD58" s="74"/>
    </row>
    <row r="59">
      <c r="A59" s="75">
        <v>46031.0</v>
      </c>
      <c r="B59" s="76" t="s">
        <v>192</v>
      </c>
      <c r="C59" s="77" t="s">
        <v>193</v>
      </c>
      <c r="D59" s="76" t="s">
        <v>34</v>
      </c>
      <c r="E59" s="76"/>
      <c r="F59" s="76" t="s">
        <v>8</v>
      </c>
      <c r="G59" s="76">
        <v>6.0</v>
      </c>
      <c r="H59" s="76">
        <v>6.0</v>
      </c>
      <c r="I59" s="75">
        <v>46037.0</v>
      </c>
      <c r="J59" s="78">
        <v>16.05</v>
      </c>
      <c r="K59" s="76" t="s">
        <v>1</v>
      </c>
      <c r="L59" s="79" t="b">
        <v>1</v>
      </c>
      <c r="M59" s="80">
        <f t="shared" si="3"/>
        <v>46032.37937</v>
      </c>
      <c r="N59" s="81" t="b">
        <v>1</v>
      </c>
      <c r="O59" s="80">
        <f t="shared" si="2"/>
        <v>46032.37964</v>
      </c>
      <c r="P59" s="76" t="s">
        <v>1</v>
      </c>
      <c r="Q59" s="76" t="s">
        <v>38</v>
      </c>
      <c r="R59" s="76" t="b">
        <v>0</v>
      </c>
      <c r="S59" s="82" t="b">
        <v>0</v>
      </c>
      <c r="T59" s="76">
        <v>7.0</v>
      </c>
      <c r="U59" s="79" t="s">
        <v>28</v>
      </c>
      <c r="V59" s="83"/>
      <c r="W59" s="85"/>
      <c r="X59" s="74"/>
      <c r="Y59" s="74"/>
      <c r="Z59" s="74"/>
      <c r="AA59" s="74"/>
      <c r="AB59" s="74"/>
      <c r="AC59" s="74"/>
      <c r="AD59" s="74"/>
    </row>
    <row r="60">
      <c r="A60" s="75">
        <v>46031.0</v>
      </c>
      <c r="B60" s="76" t="s">
        <v>194</v>
      </c>
      <c r="C60" s="77" t="s">
        <v>195</v>
      </c>
      <c r="D60" s="76" t="s">
        <v>23</v>
      </c>
      <c r="E60" s="76"/>
      <c r="F60" s="76" t="s">
        <v>8</v>
      </c>
      <c r="G60" s="76">
        <v>600.0</v>
      </c>
      <c r="H60" s="76">
        <v>300.0</v>
      </c>
      <c r="I60" s="75">
        <v>46036.0</v>
      </c>
      <c r="J60" s="78">
        <v>17.2</v>
      </c>
      <c r="K60" s="76" t="s">
        <v>101</v>
      </c>
      <c r="L60" s="79" t="b">
        <v>1</v>
      </c>
      <c r="M60" s="80">
        <f t="shared" si="3"/>
        <v>46032.43756</v>
      </c>
      <c r="N60" s="81" t="b">
        <v>1</v>
      </c>
      <c r="O60" s="80">
        <f t="shared" si="2"/>
        <v>46032.44586</v>
      </c>
      <c r="P60" s="76" t="s">
        <v>101</v>
      </c>
      <c r="Q60" s="76" t="s">
        <v>11</v>
      </c>
      <c r="R60" s="76" t="b">
        <v>0</v>
      </c>
      <c r="S60" s="82" t="b">
        <v>0</v>
      </c>
      <c r="T60" s="76">
        <v>306.0</v>
      </c>
      <c r="U60" s="79" t="s">
        <v>96</v>
      </c>
      <c r="V60" s="83"/>
      <c r="W60" s="85"/>
      <c r="X60" s="74"/>
      <c r="Y60" s="74"/>
      <c r="Z60" s="74"/>
      <c r="AA60" s="74"/>
      <c r="AB60" s="74"/>
      <c r="AC60" s="74"/>
      <c r="AD60" s="74"/>
    </row>
    <row r="61">
      <c r="A61" s="75">
        <v>46032.0</v>
      </c>
      <c r="B61" s="76" t="s">
        <v>196</v>
      </c>
      <c r="C61" s="77" t="s">
        <v>197</v>
      </c>
      <c r="D61" s="76" t="s">
        <v>23</v>
      </c>
      <c r="E61" s="76"/>
      <c r="F61" s="76" t="s">
        <v>8</v>
      </c>
      <c r="G61" s="76">
        <v>200.0</v>
      </c>
      <c r="H61" s="76">
        <v>100.0</v>
      </c>
      <c r="I61" s="75">
        <v>46036.0</v>
      </c>
      <c r="J61" s="78">
        <v>8.52</v>
      </c>
      <c r="K61" s="76" t="s">
        <v>101</v>
      </c>
      <c r="L61" s="79" t="b">
        <v>1</v>
      </c>
      <c r="M61" s="80">
        <f t="shared" si="3"/>
        <v>46032.4165</v>
      </c>
      <c r="N61" s="81" t="b">
        <v>1</v>
      </c>
      <c r="O61" s="80">
        <f t="shared" si="2"/>
        <v>46032.41718</v>
      </c>
      <c r="P61" s="76" t="s">
        <v>101</v>
      </c>
      <c r="Q61" s="76" t="s">
        <v>11</v>
      </c>
      <c r="R61" s="76" t="b">
        <v>0</v>
      </c>
      <c r="S61" s="82" t="b">
        <v>0</v>
      </c>
      <c r="T61" s="76">
        <v>108.0</v>
      </c>
      <c r="U61" s="79" t="s">
        <v>96</v>
      </c>
      <c r="V61" s="83"/>
      <c r="W61" s="85"/>
      <c r="X61" s="74"/>
      <c r="Y61" s="74"/>
      <c r="Z61" s="74"/>
      <c r="AA61" s="74"/>
      <c r="AB61" s="74"/>
      <c r="AC61" s="74"/>
      <c r="AD61" s="74"/>
    </row>
    <row r="62">
      <c r="A62" s="75">
        <v>46032.0</v>
      </c>
      <c r="B62" s="76" t="s">
        <v>198</v>
      </c>
      <c r="C62" s="77" t="s">
        <v>199</v>
      </c>
      <c r="D62" s="76" t="s">
        <v>23</v>
      </c>
      <c r="E62" s="76"/>
      <c r="F62" s="76" t="s">
        <v>8</v>
      </c>
      <c r="G62" s="76">
        <v>100.0</v>
      </c>
      <c r="H62" s="76">
        <v>20.0</v>
      </c>
      <c r="I62" s="75">
        <v>46037.0</v>
      </c>
      <c r="J62" s="78">
        <v>13.4</v>
      </c>
      <c r="K62" s="76" t="s">
        <v>101</v>
      </c>
      <c r="L62" s="79" t="b">
        <v>1</v>
      </c>
      <c r="M62" s="80">
        <f t="shared" si="3"/>
        <v>46032.59162</v>
      </c>
      <c r="N62" s="81" t="b">
        <v>1</v>
      </c>
      <c r="O62" s="80">
        <f t="shared" si="2"/>
        <v>46032.59325</v>
      </c>
      <c r="P62" s="76" t="s">
        <v>101</v>
      </c>
      <c r="Q62" s="76" t="s">
        <v>11</v>
      </c>
      <c r="R62" s="76" t="b">
        <v>0</v>
      </c>
      <c r="S62" s="82" t="b">
        <v>0</v>
      </c>
      <c r="T62" s="76">
        <v>24.0</v>
      </c>
      <c r="U62" s="79" t="s">
        <v>96</v>
      </c>
      <c r="V62" s="83"/>
      <c r="W62" s="85"/>
      <c r="X62" s="74"/>
      <c r="Y62" s="74"/>
      <c r="Z62" s="74"/>
      <c r="AA62" s="74"/>
      <c r="AB62" s="74"/>
      <c r="AC62" s="74"/>
      <c r="AD62" s="74"/>
    </row>
    <row r="63">
      <c r="A63" s="75">
        <v>46032.0</v>
      </c>
      <c r="B63" s="76" t="s">
        <v>200</v>
      </c>
      <c r="C63" s="77" t="s">
        <v>201</v>
      </c>
      <c r="D63" s="76" t="s">
        <v>34</v>
      </c>
      <c r="E63" s="76"/>
      <c r="F63" s="76" t="s">
        <v>8</v>
      </c>
      <c r="G63" s="76">
        <v>100.0</v>
      </c>
      <c r="H63" s="76">
        <v>100.0</v>
      </c>
      <c r="I63" s="75">
        <v>46036.0</v>
      </c>
      <c r="J63" s="78">
        <v>13.4</v>
      </c>
      <c r="K63" s="76" t="s">
        <v>101</v>
      </c>
      <c r="L63" s="79" t="b">
        <v>1</v>
      </c>
      <c r="M63" s="80">
        <f t="shared" si="3"/>
        <v>46032.59725</v>
      </c>
      <c r="N63" s="81" t="b">
        <v>1</v>
      </c>
      <c r="O63" s="80">
        <f t="shared" si="2"/>
        <v>46032.60065</v>
      </c>
      <c r="P63" s="76" t="s">
        <v>101</v>
      </c>
      <c r="Q63" s="76" t="s">
        <v>38</v>
      </c>
      <c r="R63" s="76" t="b">
        <v>0</v>
      </c>
      <c r="S63" s="82" t="b">
        <v>0</v>
      </c>
      <c r="T63" s="76">
        <v>101.0</v>
      </c>
      <c r="U63" s="79" t="s">
        <v>28</v>
      </c>
      <c r="V63" s="83"/>
      <c r="W63" s="85"/>
      <c r="X63" s="74"/>
      <c r="Y63" s="74"/>
      <c r="Z63" s="74"/>
      <c r="AA63" s="74"/>
      <c r="AB63" s="74"/>
      <c r="AC63" s="74"/>
      <c r="AD63" s="74"/>
    </row>
    <row r="64">
      <c r="A64" s="75">
        <v>46034.0</v>
      </c>
      <c r="B64" s="76" t="s">
        <v>202</v>
      </c>
      <c r="C64" s="77" t="s">
        <v>203</v>
      </c>
      <c r="D64" s="76" t="s">
        <v>31</v>
      </c>
      <c r="E64" s="76"/>
      <c r="F64" s="76" t="s">
        <v>44</v>
      </c>
      <c r="G64" s="76">
        <v>600.0</v>
      </c>
      <c r="H64" s="76">
        <v>300.0</v>
      </c>
      <c r="I64" s="75">
        <v>46030.0</v>
      </c>
      <c r="J64" s="78">
        <v>11.58</v>
      </c>
      <c r="K64" s="76" t="s">
        <v>1</v>
      </c>
      <c r="L64" s="79" t="b">
        <v>1</v>
      </c>
      <c r="M64" s="80">
        <f t="shared" si="3"/>
        <v>46034.6127</v>
      </c>
      <c r="N64" s="81" t="b">
        <v>1</v>
      </c>
      <c r="O64" s="80">
        <f t="shared" si="2"/>
        <v>46034.62378</v>
      </c>
      <c r="P64" s="76" t="s">
        <v>1</v>
      </c>
      <c r="Q64" s="76" t="s">
        <v>11</v>
      </c>
      <c r="R64" s="76" t="b">
        <v>0</v>
      </c>
      <c r="S64" s="82" t="b">
        <v>0</v>
      </c>
      <c r="T64" s="76">
        <v>352.0</v>
      </c>
      <c r="U64" s="79" t="s">
        <v>96</v>
      </c>
      <c r="V64" s="83"/>
      <c r="W64" s="85"/>
      <c r="X64" s="74"/>
      <c r="Y64" s="74"/>
      <c r="Z64" s="74"/>
      <c r="AA64" s="74"/>
      <c r="AB64" s="74"/>
      <c r="AC64" s="74"/>
      <c r="AD64" s="74"/>
    </row>
    <row r="65">
      <c r="A65" s="75">
        <v>46034.0</v>
      </c>
      <c r="B65" s="76" t="s">
        <v>151</v>
      </c>
      <c r="C65" s="77" t="s">
        <v>204</v>
      </c>
      <c r="D65" s="76" t="s">
        <v>23</v>
      </c>
      <c r="E65" s="76"/>
      <c r="F65" s="76" t="s">
        <v>27</v>
      </c>
      <c r="G65" s="76">
        <v>1000.0</v>
      </c>
      <c r="H65" s="76">
        <v>250.0</v>
      </c>
      <c r="I65" s="75">
        <v>46034.0</v>
      </c>
      <c r="J65" s="78" t="s">
        <v>151</v>
      </c>
      <c r="K65" s="76" t="s">
        <v>1</v>
      </c>
      <c r="L65" s="79" t="b">
        <v>1</v>
      </c>
      <c r="M65" s="80">
        <f t="shared" si="3"/>
        <v>46034.60066</v>
      </c>
      <c r="N65" s="81" t="b">
        <v>1</v>
      </c>
      <c r="O65" s="80">
        <f t="shared" si="2"/>
        <v>46034.6049</v>
      </c>
      <c r="P65" s="76" t="s">
        <v>1</v>
      </c>
      <c r="Q65" s="76" t="s">
        <v>11</v>
      </c>
      <c r="R65" s="76" t="b">
        <v>0</v>
      </c>
      <c r="S65" s="82" t="b">
        <v>0</v>
      </c>
      <c r="T65" s="76">
        <v>256.0</v>
      </c>
      <c r="U65" s="79" t="s">
        <v>96</v>
      </c>
      <c r="V65" s="83"/>
      <c r="W65" s="85"/>
      <c r="X65" s="74"/>
      <c r="Y65" s="74"/>
      <c r="Z65" s="74"/>
      <c r="AA65" s="74"/>
      <c r="AB65" s="74"/>
      <c r="AC65" s="74"/>
      <c r="AD65" s="74"/>
    </row>
    <row r="66">
      <c r="A66" s="75">
        <v>46035.0</v>
      </c>
      <c r="B66" s="76" t="s">
        <v>205</v>
      </c>
      <c r="C66" s="77" t="s">
        <v>206</v>
      </c>
      <c r="D66" s="76" t="s">
        <v>55</v>
      </c>
      <c r="E66" s="76"/>
      <c r="F66" s="76" t="s">
        <v>18</v>
      </c>
      <c r="G66" s="76">
        <v>200.0</v>
      </c>
      <c r="H66" s="76">
        <v>25.0</v>
      </c>
      <c r="I66" s="75">
        <v>46035.0</v>
      </c>
      <c r="J66" s="78">
        <v>9.55</v>
      </c>
      <c r="K66" s="76" t="s">
        <v>1</v>
      </c>
      <c r="L66" s="79" t="b">
        <v>1</v>
      </c>
      <c r="M66" s="80">
        <f t="shared" si="3"/>
        <v>46035.43946</v>
      </c>
      <c r="N66" s="81" t="b">
        <v>1</v>
      </c>
      <c r="O66" s="80">
        <f t="shared" si="2"/>
        <v>46035.44152</v>
      </c>
      <c r="P66" s="76" t="s">
        <v>1</v>
      </c>
      <c r="Q66" s="76" t="s">
        <v>11</v>
      </c>
      <c r="R66" s="76" t="b">
        <v>0</v>
      </c>
      <c r="S66" s="82" t="b">
        <v>0</v>
      </c>
      <c r="T66" s="76">
        <v>30.0</v>
      </c>
      <c r="U66" s="79" t="s">
        <v>96</v>
      </c>
      <c r="V66" s="83"/>
      <c r="W66" s="85"/>
      <c r="X66" s="74"/>
      <c r="Y66" s="74"/>
      <c r="Z66" s="74"/>
      <c r="AA66" s="74"/>
      <c r="AB66" s="74"/>
      <c r="AC66" s="74"/>
      <c r="AD66" s="74"/>
    </row>
    <row r="67">
      <c r="A67" s="75">
        <v>46035.0</v>
      </c>
      <c r="B67" s="76" t="s">
        <v>207</v>
      </c>
      <c r="C67" s="77" t="s">
        <v>208</v>
      </c>
      <c r="D67" s="76" t="s">
        <v>34</v>
      </c>
      <c r="E67" s="76"/>
      <c r="F67" s="76" t="s">
        <v>8</v>
      </c>
      <c r="G67" s="76">
        <v>200.0</v>
      </c>
      <c r="H67" s="76">
        <v>209.0</v>
      </c>
      <c r="I67" s="75">
        <v>46036.0</v>
      </c>
      <c r="J67" s="78">
        <v>13.18</v>
      </c>
      <c r="K67" s="76" t="s">
        <v>1</v>
      </c>
      <c r="L67" s="79" t="b">
        <v>1</v>
      </c>
      <c r="M67" s="80">
        <f t="shared" si="3"/>
        <v>46035.5813</v>
      </c>
      <c r="N67" s="81" t="b">
        <v>1</v>
      </c>
      <c r="O67" s="80">
        <f t="shared" si="2"/>
        <v>46035.58616</v>
      </c>
      <c r="P67" s="76" t="s">
        <v>1</v>
      </c>
      <c r="Q67" s="76" t="s">
        <v>38</v>
      </c>
      <c r="R67" s="76" t="b">
        <v>1</v>
      </c>
      <c r="S67" s="82" t="b">
        <v>0</v>
      </c>
      <c r="T67" s="76">
        <v>210.0</v>
      </c>
      <c r="U67" s="79" t="s">
        <v>28</v>
      </c>
      <c r="V67" s="90"/>
      <c r="W67" s="85"/>
      <c r="X67" s="74"/>
      <c r="Y67" s="74"/>
      <c r="Z67" s="74"/>
      <c r="AA67" s="74"/>
      <c r="AB67" s="74"/>
      <c r="AC67" s="74"/>
      <c r="AD67" s="74"/>
    </row>
    <row r="68">
      <c r="A68" s="75">
        <v>46035.0</v>
      </c>
      <c r="B68" s="76" t="s">
        <v>209</v>
      </c>
      <c r="C68" s="77" t="s">
        <v>210</v>
      </c>
      <c r="D68" s="76" t="s">
        <v>43</v>
      </c>
      <c r="E68" s="76"/>
      <c r="F68" s="76" t="s">
        <v>8</v>
      </c>
      <c r="G68" s="76">
        <v>200.0</v>
      </c>
      <c r="H68" s="76">
        <v>6.0</v>
      </c>
      <c r="I68" s="75">
        <v>46037.0</v>
      </c>
      <c r="J68" s="78">
        <v>13.18</v>
      </c>
      <c r="K68" s="76" t="s">
        <v>1</v>
      </c>
      <c r="L68" s="79" t="b">
        <v>1</v>
      </c>
      <c r="M68" s="80">
        <f t="shared" si="3"/>
        <v>46035.56666</v>
      </c>
      <c r="N68" s="81" t="b">
        <v>1</v>
      </c>
      <c r="O68" s="80">
        <f t="shared" si="2"/>
        <v>46035.56703</v>
      </c>
      <c r="P68" s="76" t="s">
        <v>1</v>
      </c>
      <c r="Q68" s="76" t="s">
        <v>38</v>
      </c>
      <c r="R68" s="76" t="b">
        <v>0</v>
      </c>
      <c r="S68" s="82" t="b">
        <v>0</v>
      </c>
      <c r="T68" s="76">
        <v>7.0</v>
      </c>
      <c r="U68" s="79" t="s">
        <v>28</v>
      </c>
      <c r="V68" s="83"/>
      <c r="W68" s="84"/>
      <c r="X68" s="74"/>
      <c r="Y68" s="74"/>
      <c r="Z68" s="74"/>
      <c r="AA68" s="74"/>
      <c r="AB68" s="74"/>
      <c r="AC68" s="74"/>
      <c r="AD68" s="74"/>
    </row>
    <row r="69">
      <c r="A69" s="75">
        <v>46035.0</v>
      </c>
      <c r="B69" s="76" t="s">
        <v>211</v>
      </c>
      <c r="C69" s="77" t="s">
        <v>212</v>
      </c>
      <c r="D69" s="76" t="s">
        <v>23</v>
      </c>
      <c r="E69" s="76"/>
      <c r="F69" s="76" t="s">
        <v>8</v>
      </c>
      <c r="G69" s="76">
        <v>300.0</v>
      </c>
      <c r="H69" s="76">
        <v>43.0</v>
      </c>
      <c r="I69" s="75">
        <v>46036.0</v>
      </c>
      <c r="J69" s="78">
        <v>14.06</v>
      </c>
      <c r="K69" s="76" t="s">
        <v>1</v>
      </c>
      <c r="L69" s="79" t="b">
        <v>1</v>
      </c>
      <c r="M69" s="80">
        <f t="shared" si="3"/>
        <v>46035.60362</v>
      </c>
      <c r="N69" s="81" t="b">
        <v>1</v>
      </c>
      <c r="O69" s="80">
        <f t="shared" si="2"/>
        <v>46035.60506</v>
      </c>
      <c r="P69" s="76" t="s">
        <v>1</v>
      </c>
      <c r="Q69" s="76" t="s">
        <v>11</v>
      </c>
      <c r="R69" s="76" t="b">
        <v>0</v>
      </c>
      <c r="S69" s="82" t="b">
        <v>0</v>
      </c>
      <c r="T69" s="76">
        <v>50.0</v>
      </c>
      <c r="U69" s="79" t="s">
        <v>96</v>
      </c>
      <c r="V69" s="90"/>
      <c r="W69" s="85"/>
      <c r="X69" s="74"/>
      <c r="Y69" s="74"/>
      <c r="Z69" s="74"/>
      <c r="AA69" s="74"/>
      <c r="AB69" s="74"/>
      <c r="AC69" s="74"/>
      <c r="AD69" s="74"/>
    </row>
    <row r="70">
      <c r="A70" s="75">
        <v>46035.0</v>
      </c>
      <c r="B70" s="76" t="s">
        <v>213</v>
      </c>
      <c r="C70" s="77" t="s">
        <v>214</v>
      </c>
      <c r="D70" s="76" t="s">
        <v>49</v>
      </c>
      <c r="E70" s="76"/>
      <c r="F70" s="76" t="s">
        <v>8</v>
      </c>
      <c r="G70" s="76">
        <v>150.0</v>
      </c>
      <c r="H70" s="76">
        <v>38.0</v>
      </c>
      <c r="I70" s="75">
        <v>46042.0</v>
      </c>
      <c r="J70" s="78">
        <v>14.36</v>
      </c>
      <c r="K70" s="76" t="s">
        <v>1</v>
      </c>
      <c r="L70" s="79" t="b">
        <v>1</v>
      </c>
      <c r="M70" s="80">
        <f t="shared" si="3"/>
        <v>46035.66056</v>
      </c>
      <c r="N70" s="81" t="b">
        <v>1</v>
      </c>
      <c r="O70" s="80">
        <f t="shared" si="2"/>
        <v>46035.66452</v>
      </c>
      <c r="P70" s="76" t="s">
        <v>1</v>
      </c>
      <c r="Q70" s="76" t="s">
        <v>11</v>
      </c>
      <c r="R70" s="76" t="b">
        <v>0</v>
      </c>
      <c r="S70" s="82" t="b">
        <v>0</v>
      </c>
      <c r="T70" s="76">
        <v>50.0</v>
      </c>
      <c r="U70" s="79" t="s">
        <v>19</v>
      </c>
      <c r="V70" s="90"/>
      <c r="W70" s="85"/>
      <c r="X70" s="74"/>
      <c r="Y70" s="74"/>
      <c r="Z70" s="74"/>
      <c r="AA70" s="74"/>
      <c r="AB70" s="74"/>
      <c r="AC70" s="74"/>
      <c r="AD70" s="74"/>
    </row>
    <row r="71">
      <c r="A71" s="75">
        <v>46035.0</v>
      </c>
      <c r="B71" s="76" t="s">
        <v>215</v>
      </c>
      <c r="C71" s="77" t="s">
        <v>216</v>
      </c>
      <c r="D71" s="76" t="s">
        <v>23</v>
      </c>
      <c r="E71" s="76"/>
      <c r="F71" s="76" t="s">
        <v>8</v>
      </c>
      <c r="G71" s="76">
        <v>200.0</v>
      </c>
      <c r="H71" s="76">
        <v>50.0</v>
      </c>
      <c r="I71" s="75">
        <v>46037.0</v>
      </c>
      <c r="J71" s="78">
        <v>14.36</v>
      </c>
      <c r="K71" s="76" t="s">
        <v>1</v>
      </c>
      <c r="L71" s="79" t="b">
        <v>1</v>
      </c>
      <c r="M71" s="80">
        <f t="shared" si="3"/>
        <v>46035.63287</v>
      </c>
      <c r="N71" s="81" t="b">
        <v>1</v>
      </c>
      <c r="O71" s="80">
        <f t="shared" si="2"/>
        <v>46035.63424</v>
      </c>
      <c r="P71" s="76" t="s">
        <v>1</v>
      </c>
      <c r="Q71" s="76" t="s">
        <v>11</v>
      </c>
      <c r="R71" s="76" t="b">
        <v>0</v>
      </c>
      <c r="S71" s="82" t="b">
        <v>0</v>
      </c>
      <c r="T71" s="76">
        <v>56.0</v>
      </c>
      <c r="U71" s="79" t="s">
        <v>96</v>
      </c>
      <c r="V71" s="90"/>
      <c r="W71" s="85"/>
      <c r="X71" s="74"/>
      <c r="Y71" s="74"/>
      <c r="Z71" s="74"/>
      <c r="AA71" s="74"/>
      <c r="AB71" s="74"/>
      <c r="AC71" s="74"/>
      <c r="AD71" s="74"/>
    </row>
    <row r="72">
      <c r="A72" s="75">
        <v>46035.0</v>
      </c>
      <c r="B72" s="76" t="s">
        <v>217</v>
      </c>
      <c r="C72" s="77" t="s">
        <v>218</v>
      </c>
      <c r="D72" s="76" t="s">
        <v>23</v>
      </c>
      <c r="E72" s="76"/>
      <c r="F72" s="76" t="s">
        <v>8</v>
      </c>
      <c r="G72" s="76">
        <v>1000.0</v>
      </c>
      <c r="H72" s="76">
        <v>84.0</v>
      </c>
      <c r="I72" s="75">
        <v>46039.0</v>
      </c>
      <c r="J72" s="78">
        <v>14.36</v>
      </c>
      <c r="K72" s="76" t="s">
        <v>1</v>
      </c>
      <c r="L72" s="79" t="b">
        <v>1</v>
      </c>
      <c r="M72" s="80">
        <f t="shared" si="3"/>
        <v>46035.6291</v>
      </c>
      <c r="N72" s="81" t="b">
        <v>1</v>
      </c>
      <c r="O72" s="80">
        <f t="shared" si="2"/>
        <v>46035.63064</v>
      </c>
      <c r="P72" s="76" t="s">
        <v>1</v>
      </c>
      <c r="Q72" s="76" t="s">
        <v>11</v>
      </c>
      <c r="R72" s="76" t="b">
        <v>0</v>
      </c>
      <c r="S72" s="82" t="b">
        <v>0</v>
      </c>
      <c r="T72" s="76">
        <v>88.0</v>
      </c>
      <c r="U72" s="79" t="s">
        <v>96</v>
      </c>
      <c r="V72" s="90"/>
      <c r="W72" s="85"/>
      <c r="X72" s="74"/>
      <c r="Y72" s="74"/>
      <c r="Z72" s="74"/>
      <c r="AA72" s="74"/>
      <c r="AB72" s="74"/>
      <c r="AC72" s="74"/>
      <c r="AD72" s="74"/>
    </row>
    <row r="73">
      <c r="A73" s="75">
        <v>46035.0</v>
      </c>
      <c r="B73" s="76" t="s">
        <v>219</v>
      </c>
      <c r="C73" s="77" t="s">
        <v>220</v>
      </c>
      <c r="D73" s="76" t="s">
        <v>57</v>
      </c>
      <c r="E73" s="76"/>
      <c r="F73" s="76" t="s">
        <v>8</v>
      </c>
      <c r="G73" s="76">
        <v>3000.0</v>
      </c>
      <c r="H73" s="76">
        <v>75.0</v>
      </c>
      <c r="I73" s="75">
        <v>46036.0</v>
      </c>
      <c r="J73" s="78">
        <v>15.0</v>
      </c>
      <c r="K73" s="76" t="s">
        <v>1</v>
      </c>
      <c r="L73" s="79" t="b">
        <v>1</v>
      </c>
      <c r="M73" s="80">
        <f t="shared" si="3"/>
        <v>46035.64505</v>
      </c>
      <c r="N73" s="81" t="b">
        <v>1</v>
      </c>
      <c r="O73" s="80">
        <f t="shared" si="2"/>
        <v>46035.64702</v>
      </c>
      <c r="P73" s="76" t="s">
        <v>1</v>
      </c>
      <c r="Q73" s="76" t="s">
        <v>38</v>
      </c>
      <c r="R73" s="76" t="b">
        <v>0</v>
      </c>
      <c r="S73" s="82" t="b">
        <v>0</v>
      </c>
      <c r="T73" s="76">
        <v>76.0</v>
      </c>
      <c r="U73" s="79" t="s">
        <v>28</v>
      </c>
      <c r="V73" s="83"/>
      <c r="W73" s="85"/>
      <c r="X73" s="74"/>
      <c r="Y73" s="74"/>
      <c r="Z73" s="74"/>
      <c r="AA73" s="74"/>
      <c r="AB73" s="74"/>
      <c r="AC73" s="74"/>
      <c r="AD73" s="74"/>
    </row>
    <row r="74">
      <c r="A74" s="75">
        <v>46035.0</v>
      </c>
      <c r="B74" s="76" t="s">
        <v>221</v>
      </c>
      <c r="C74" s="77" t="s">
        <v>222</v>
      </c>
      <c r="D74" s="76" t="s">
        <v>61</v>
      </c>
      <c r="E74" s="76"/>
      <c r="F74" s="76" t="s">
        <v>27</v>
      </c>
      <c r="G74" s="76">
        <v>1000.0</v>
      </c>
      <c r="H74" s="76">
        <v>48.0</v>
      </c>
      <c r="I74" s="75">
        <v>46038.0</v>
      </c>
      <c r="J74" s="78">
        <v>16.33</v>
      </c>
      <c r="K74" s="76" t="s">
        <v>1</v>
      </c>
      <c r="L74" s="79" t="b">
        <v>1</v>
      </c>
      <c r="M74" s="80">
        <f t="shared" si="3"/>
        <v>46036.4189</v>
      </c>
      <c r="N74" s="81" t="b">
        <v>1</v>
      </c>
      <c r="O74" s="80">
        <f t="shared" si="2"/>
        <v>46036.42966</v>
      </c>
      <c r="P74" s="76" t="s">
        <v>1</v>
      </c>
      <c r="Q74" s="76" t="s">
        <v>38</v>
      </c>
      <c r="R74" s="76" t="b">
        <v>0</v>
      </c>
      <c r="S74" s="82" t="b">
        <v>0</v>
      </c>
      <c r="T74" s="76">
        <v>56.0</v>
      </c>
      <c r="U74" s="79" t="s">
        <v>96</v>
      </c>
      <c r="V74" s="83"/>
      <c r="W74" s="85"/>
      <c r="X74" s="74"/>
      <c r="Y74" s="74"/>
      <c r="Z74" s="74"/>
      <c r="AA74" s="74"/>
      <c r="AB74" s="74"/>
      <c r="AC74" s="74"/>
      <c r="AD74" s="74"/>
    </row>
    <row r="75">
      <c r="A75" s="75">
        <v>46036.0</v>
      </c>
      <c r="B75" s="76" t="s">
        <v>223</v>
      </c>
      <c r="C75" s="77" t="s">
        <v>224</v>
      </c>
      <c r="D75" s="76" t="s">
        <v>57</v>
      </c>
      <c r="E75" s="76"/>
      <c r="F75" s="76" t="s">
        <v>8</v>
      </c>
      <c r="G75" s="76">
        <v>51.0</v>
      </c>
      <c r="H75" s="76">
        <v>51.0</v>
      </c>
      <c r="I75" s="75">
        <v>46038.0</v>
      </c>
      <c r="J75" s="78">
        <v>8.44</v>
      </c>
      <c r="K75" s="76" t="s">
        <v>1</v>
      </c>
      <c r="L75" s="79" t="b">
        <v>1</v>
      </c>
      <c r="M75" s="80">
        <f t="shared" si="3"/>
        <v>46036.40387</v>
      </c>
      <c r="N75" s="81" t="b">
        <v>1</v>
      </c>
      <c r="O75" s="80">
        <f t="shared" si="2"/>
        <v>46036.4063</v>
      </c>
      <c r="P75" s="76" t="s">
        <v>101</v>
      </c>
      <c r="Q75" s="76" t="s">
        <v>38</v>
      </c>
      <c r="R75" s="76" t="b">
        <v>0</v>
      </c>
      <c r="S75" s="82" t="b">
        <v>0</v>
      </c>
      <c r="T75" s="76">
        <v>52.0</v>
      </c>
      <c r="U75" s="79" t="s">
        <v>28</v>
      </c>
      <c r="V75" s="83"/>
      <c r="W75" s="85"/>
      <c r="X75" s="74"/>
      <c r="Y75" s="74"/>
      <c r="Z75" s="74"/>
      <c r="AA75" s="74"/>
      <c r="AB75" s="74"/>
      <c r="AC75" s="74"/>
      <c r="AD75" s="74"/>
    </row>
    <row r="76">
      <c r="A76" s="75">
        <v>46036.0</v>
      </c>
      <c r="B76" s="76" t="s">
        <v>225</v>
      </c>
      <c r="C76" s="77" t="s">
        <v>226</v>
      </c>
      <c r="D76" s="76" t="s">
        <v>23</v>
      </c>
      <c r="E76" s="76"/>
      <c r="F76" s="76" t="s">
        <v>18</v>
      </c>
      <c r="G76" s="76">
        <v>200.0</v>
      </c>
      <c r="H76" s="76">
        <v>50.0</v>
      </c>
      <c r="I76" s="75">
        <v>46036.0</v>
      </c>
      <c r="J76" s="78">
        <v>10.03</v>
      </c>
      <c r="K76" s="76" t="s">
        <v>101</v>
      </c>
      <c r="L76" s="79" t="b">
        <v>1</v>
      </c>
      <c r="M76" s="80">
        <f t="shared" si="3"/>
        <v>46036.43045</v>
      </c>
      <c r="N76" s="81" t="b">
        <v>1</v>
      </c>
      <c r="O76" s="80">
        <f t="shared" si="2"/>
        <v>46036.43216</v>
      </c>
      <c r="P76" s="76" t="s">
        <v>101</v>
      </c>
      <c r="Q76" s="76" t="s">
        <v>11</v>
      </c>
      <c r="R76" s="76" t="b">
        <v>0</v>
      </c>
      <c r="S76" s="82" t="b">
        <v>0</v>
      </c>
      <c r="T76" s="76">
        <v>56.0</v>
      </c>
      <c r="U76" s="79" t="s">
        <v>96</v>
      </c>
      <c r="V76" s="90"/>
      <c r="W76" s="84"/>
      <c r="X76" s="74"/>
      <c r="Y76" s="74"/>
      <c r="Z76" s="74"/>
      <c r="AA76" s="74"/>
      <c r="AB76" s="74"/>
      <c r="AC76" s="74"/>
      <c r="AD76" s="74"/>
    </row>
    <row r="77">
      <c r="A77" s="75">
        <v>46036.0</v>
      </c>
      <c r="B77" s="76" t="s">
        <v>227</v>
      </c>
      <c r="C77" s="77" t="s">
        <v>228</v>
      </c>
      <c r="D77" s="76" t="s">
        <v>34</v>
      </c>
      <c r="E77" s="76"/>
      <c r="F77" s="76" t="s">
        <v>8</v>
      </c>
      <c r="G77" s="76">
        <v>6.0</v>
      </c>
      <c r="H77" s="76">
        <v>6.0</v>
      </c>
      <c r="I77" s="75">
        <v>46037.0</v>
      </c>
      <c r="J77" s="78">
        <v>17.1</v>
      </c>
      <c r="K77" s="76" t="s">
        <v>1</v>
      </c>
      <c r="L77" s="79" t="b">
        <v>1</v>
      </c>
      <c r="M77" s="80">
        <f t="shared" si="3"/>
        <v>46037.40542</v>
      </c>
      <c r="N77" s="81" t="b">
        <v>1</v>
      </c>
      <c r="O77" s="80">
        <f t="shared" si="2"/>
        <v>46037.40663</v>
      </c>
      <c r="P77" s="76" t="s">
        <v>101</v>
      </c>
      <c r="Q77" s="76" t="s">
        <v>38</v>
      </c>
      <c r="R77" s="76" t="b">
        <v>0</v>
      </c>
      <c r="S77" s="82" t="b">
        <v>0</v>
      </c>
      <c r="T77" s="76">
        <v>7.0</v>
      </c>
      <c r="U77" s="79" t="s">
        <v>28</v>
      </c>
      <c r="V77" s="90"/>
      <c r="W77" s="85"/>
      <c r="X77" s="74"/>
      <c r="Y77" s="74"/>
      <c r="Z77" s="74"/>
      <c r="AA77" s="74"/>
      <c r="AB77" s="74"/>
      <c r="AC77" s="74"/>
      <c r="AD77" s="74"/>
    </row>
    <row r="78">
      <c r="A78" s="75">
        <v>46036.0</v>
      </c>
      <c r="B78" s="76" t="s">
        <v>229</v>
      </c>
      <c r="C78" s="77" t="s">
        <v>230</v>
      </c>
      <c r="D78" s="76" t="s">
        <v>34</v>
      </c>
      <c r="E78" s="76"/>
      <c r="F78" s="76" t="s">
        <v>8</v>
      </c>
      <c r="G78" s="76">
        <v>6.0</v>
      </c>
      <c r="H78" s="76">
        <v>6.0</v>
      </c>
      <c r="I78" s="75">
        <v>46037.0</v>
      </c>
      <c r="J78" s="78">
        <v>17.1</v>
      </c>
      <c r="K78" s="76" t="s">
        <v>1</v>
      </c>
      <c r="L78" s="79" t="b">
        <v>1</v>
      </c>
      <c r="M78" s="80">
        <f t="shared" si="3"/>
        <v>46037.40664</v>
      </c>
      <c r="N78" s="81" t="b">
        <v>1</v>
      </c>
      <c r="O78" s="80">
        <f t="shared" si="2"/>
        <v>46037.40766</v>
      </c>
      <c r="P78" s="76" t="s">
        <v>101</v>
      </c>
      <c r="Q78" s="76" t="s">
        <v>38</v>
      </c>
      <c r="R78" s="76" t="b">
        <v>0</v>
      </c>
      <c r="S78" s="82" t="b">
        <v>0</v>
      </c>
      <c r="T78" s="76">
        <v>7.0</v>
      </c>
      <c r="U78" s="79" t="s">
        <v>28</v>
      </c>
      <c r="V78" s="90"/>
      <c r="W78" s="85"/>
      <c r="X78" s="74"/>
      <c r="Y78" s="74"/>
      <c r="Z78" s="74"/>
      <c r="AA78" s="74"/>
      <c r="AB78" s="74"/>
      <c r="AC78" s="74"/>
      <c r="AD78" s="74"/>
    </row>
    <row r="79">
      <c r="A79" s="75">
        <v>46036.0</v>
      </c>
      <c r="B79" s="76" t="s">
        <v>231</v>
      </c>
      <c r="C79" s="77" t="s">
        <v>232</v>
      </c>
      <c r="D79" s="76" t="s">
        <v>34</v>
      </c>
      <c r="E79" s="76"/>
      <c r="F79" s="76" t="s">
        <v>8</v>
      </c>
      <c r="G79" s="76">
        <v>15.0</v>
      </c>
      <c r="H79" s="76">
        <v>15.0</v>
      </c>
      <c r="I79" s="75">
        <v>46038.0</v>
      </c>
      <c r="J79" s="78">
        <v>17.1</v>
      </c>
      <c r="K79" s="76" t="s">
        <v>101</v>
      </c>
      <c r="L79" s="79" t="b">
        <v>1</v>
      </c>
      <c r="M79" s="80">
        <f t="shared" si="3"/>
        <v>46037.37364</v>
      </c>
      <c r="N79" s="81" t="b">
        <v>1</v>
      </c>
      <c r="O79" s="80">
        <f t="shared" si="2"/>
        <v>46037.37511</v>
      </c>
      <c r="P79" s="76" t="s">
        <v>101</v>
      </c>
      <c r="Q79" s="76" t="s">
        <v>38</v>
      </c>
      <c r="R79" s="76" t="b">
        <v>0</v>
      </c>
      <c r="S79" s="82" t="b">
        <v>0</v>
      </c>
      <c r="T79" s="76">
        <v>16.0</v>
      </c>
      <c r="U79" s="79" t="s">
        <v>28</v>
      </c>
      <c r="V79" s="83"/>
      <c r="W79" s="84"/>
      <c r="X79" s="74"/>
      <c r="Y79" s="74"/>
      <c r="Z79" s="74"/>
      <c r="AA79" s="74"/>
      <c r="AB79" s="74"/>
      <c r="AC79" s="74"/>
      <c r="AD79" s="74"/>
    </row>
    <row r="80">
      <c r="A80" s="75">
        <v>46037.0</v>
      </c>
      <c r="B80" s="76" t="s">
        <v>233</v>
      </c>
      <c r="C80" s="77" t="s">
        <v>234</v>
      </c>
      <c r="D80" s="76" t="s">
        <v>23</v>
      </c>
      <c r="E80" s="76"/>
      <c r="F80" s="76" t="s">
        <v>8</v>
      </c>
      <c r="G80" s="76">
        <v>100.0</v>
      </c>
      <c r="H80" s="76">
        <v>17.0</v>
      </c>
      <c r="I80" s="75">
        <v>46041.0</v>
      </c>
      <c r="J80" s="78">
        <v>10.3</v>
      </c>
      <c r="K80" s="76" t="s">
        <v>1</v>
      </c>
      <c r="L80" s="79" t="b">
        <v>1</v>
      </c>
      <c r="M80" s="80">
        <f t="shared" si="3"/>
        <v>46037.58775</v>
      </c>
      <c r="N80" s="81" t="b">
        <v>1</v>
      </c>
      <c r="O80" s="80">
        <f t="shared" si="2"/>
        <v>46037.58882</v>
      </c>
      <c r="P80" s="76" t="s">
        <v>1</v>
      </c>
      <c r="Q80" s="76" t="s">
        <v>11</v>
      </c>
      <c r="R80" s="76" t="b">
        <v>0</v>
      </c>
      <c r="S80" s="82" t="b">
        <v>0</v>
      </c>
      <c r="T80" s="76">
        <v>25.0</v>
      </c>
      <c r="U80" s="79" t="s">
        <v>96</v>
      </c>
      <c r="V80" s="83"/>
      <c r="W80" s="85"/>
      <c r="X80" s="74"/>
      <c r="Y80" s="74"/>
      <c r="Z80" s="74"/>
      <c r="AA80" s="74"/>
      <c r="AB80" s="74"/>
      <c r="AC80" s="74"/>
      <c r="AD80" s="74"/>
    </row>
    <row r="81">
      <c r="A81" s="75">
        <v>46037.0</v>
      </c>
      <c r="B81" s="76" t="s">
        <v>235</v>
      </c>
      <c r="C81" s="77" t="s">
        <v>236</v>
      </c>
      <c r="D81" s="76" t="s">
        <v>34</v>
      </c>
      <c r="E81" s="76"/>
      <c r="F81" s="76" t="s">
        <v>8</v>
      </c>
      <c r="G81" s="76">
        <v>12.0</v>
      </c>
      <c r="H81" s="76">
        <v>12.0</v>
      </c>
      <c r="I81" s="75">
        <v>46039.0</v>
      </c>
      <c r="J81" s="78">
        <v>10.3</v>
      </c>
      <c r="K81" s="76" t="s">
        <v>101</v>
      </c>
      <c r="L81" s="79" t="b">
        <v>1</v>
      </c>
      <c r="M81" s="80">
        <f t="shared" si="3"/>
        <v>46037.55169</v>
      </c>
      <c r="N81" s="81" t="b">
        <v>1</v>
      </c>
      <c r="O81" s="80">
        <f t="shared" si="2"/>
        <v>46037.55311</v>
      </c>
      <c r="P81" s="76" t="s">
        <v>101</v>
      </c>
      <c r="Q81" s="76" t="s">
        <v>38</v>
      </c>
      <c r="R81" s="76" t="b">
        <v>0</v>
      </c>
      <c r="S81" s="82" t="b">
        <v>0</v>
      </c>
      <c r="T81" s="76">
        <v>13.0</v>
      </c>
      <c r="U81" s="79" t="s">
        <v>28</v>
      </c>
      <c r="V81" s="90"/>
      <c r="W81" s="85"/>
      <c r="X81" s="74"/>
      <c r="Y81" s="74"/>
      <c r="Z81" s="74"/>
      <c r="AA81" s="74"/>
      <c r="AB81" s="74"/>
      <c r="AC81" s="74"/>
      <c r="AD81" s="74"/>
    </row>
    <row r="82">
      <c r="A82" s="75">
        <v>46037.0</v>
      </c>
      <c r="B82" s="76" t="s">
        <v>237</v>
      </c>
      <c r="C82" s="77" t="s">
        <v>238</v>
      </c>
      <c r="D82" s="76" t="s">
        <v>23</v>
      </c>
      <c r="E82" s="76"/>
      <c r="F82" s="76" t="s">
        <v>8</v>
      </c>
      <c r="G82" s="76">
        <v>1000.0</v>
      </c>
      <c r="H82" s="76">
        <v>250.0</v>
      </c>
      <c r="I82" s="75">
        <v>46039.0</v>
      </c>
      <c r="J82" s="78">
        <v>10.4</v>
      </c>
      <c r="K82" s="76" t="s">
        <v>101</v>
      </c>
      <c r="L82" s="79" t="b">
        <v>1</v>
      </c>
      <c r="M82" s="80">
        <f t="shared" si="3"/>
        <v>46037.58339</v>
      </c>
      <c r="N82" s="81" t="b">
        <v>1</v>
      </c>
      <c r="O82" s="80">
        <f t="shared" si="2"/>
        <v>46037.5865</v>
      </c>
      <c r="P82" s="76" t="s">
        <v>1</v>
      </c>
      <c r="Q82" s="76" t="s">
        <v>11</v>
      </c>
      <c r="R82" s="76" t="b">
        <v>0</v>
      </c>
      <c r="S82" s="82" t="b">
        <v>0</v>
      </c>
      <c r="T82" s="76">
        <v>256.0</v>
      </c>
      <c r="U82" s="79" t="s">
        <v>96</v>
      </c>
      <c r="V82" s="90"/>
      <c r="W82" s="85"/>
      <c r="X82" s="74"/>
      <c r="Y82" s="74"/>
      <c r="Z82" s="74"/>
      <c r="AA82" s="74"/>
      <c r="AB82" s="74"/>
      <c r="AC82" s="74"/>
      <c r="AD82" s="74"/>
    </row>
    <row r="83">
      <c r="A83" s="75">
        <v>46037.0</v>
      </c>
      <c r="B83" s="76" t="s">
        <v>239</v>
      </c>
      <c r="C83" s="77" t="s">
        <v>240</v>
      </c>
      <c r="D83" s="76" t="s">
        <v>13</v>
      </c>
      <c r="E83" s="76"/>
      <c r="F83" s="76" t="s">
        <v>8</v>
      </c>
      <c r="G83" s="76">
        <v>50.0</v>
      </c>
      <c r="H83" s="76">
        <v>500.0</v>
      </c>
      <c r="I83" s="75">
        <v>46046.0</v>
      </c>
      <c r="J83" s="78">
        <v>11.1</v>
      </c>
      <c r="K83" s="76" t="s">
        <v>1</v>
      </c>
      <c r="L83" s="79" t="b">
        <v>1</v>
      </c>
      <c r="M83" s="80">
        <f t="shared" si="3"/>
        <v>46038.46053</v>
      </c>
      <c r="N83" s="79" t="b">
        <v>1</v>
      </c>
      <c r="O83" s="80">
        <f t="shared" si="2"/>
        <v>46038.47118</v>
      </c>
      <c r="P83" s="76" t="s">
        <v>1</v>
      </c>
      <c r="Q83" s="76" t="s">
        <v>11</v>
      </c>
      <c r="R83" s="76" t="b">
        <v>1</v>
      </c>
      <c r="S83" s="82" t="b">
        <v>0</v>
      </c>
      <c r="T83" s="76">
        <v>501.0</v>
      </c>
      <c r="U83" s="79" t="s">
        <v>96</v>
      </c>
      <c r="V83" s="83"/>
      <c r="W83" s="84"/>
      <c r="X83" s="74"/>
      <c r="Y83" s="74"/>
      <c r="Z83" s="74"/>
      <c r="AA83" s="74"/>
      <c r="AB83" s="74"/>
      <c r="AC83" s="74"/>
      <c r="AD83" s="74"/>
    </row>
    <row r="84">
      <c r="A84" s="75">
        <v>46037.0</v>
      </c>
      <c r="B84" s="76" t="s">
        <v>241</v>
      </c>
      <c r="C84" s="77" t="s">
        <v>242</v>
      </c>
      <c r="D84" s="76" t="s">
        <v>23</v>
      </c>
      <c r="E84" s="76"/>
      <c r="F84" s="76" t="s">
        <v>18</v>
      </c>
      <c r="G84" s="76">
        <v>100.0</v>
      </c>
      <c r="H84" s="76">
        <v>50.0</v>
      </c>
      <c r="I84" s="75">
        <v>46037.0</v>
      </c>
      <c r="J84" s="78">
        <v>13.34</v>
      </c>
      <c r="K84" s="76" t="s">
        <v>1</v>
      </c>
      <c r="L84" s="79" t="b">
        <v>1</v>
      </c>
      <c r="M84" s="80">
        <f t="shared" si="3"/>
        <v>46037.58057</v>
      </c>
      <c r="N84" s="79" t="b">
        <v>1</v>
      </c>
      <c r="O84" s="80">
        <f t="shared" si="2"/>
        <v>46037.58207</v>
      </c>
      <c r="P84" s="76" t="s">
        <v>1</v>
      </c>
      <c r="Q84" s="76" t="s">
        <v>11</v>
      </c>
      <c r="R84" s="76" t="b">
        <v>0</v>
      </c>
      <c r="S84" s="82" t="b">
        <v>0</v>
      </c>
      <c r="T84" s="76">
        <v>56.0</v>
      </c>
      <c r="U84" s="79" t="s">
        <v>96</v>
      </c>
      <c r="V84" s="83"/>
      <c r="W84" s="84"/>
      <c r="X84" s="74"/>
      <c r="Y84" s="74"/>
      <c r="Z84" s="74"/>
      <c r="AA84" s="74"/>
      <c r="AB84" s="74"/>
      <c r="AC84" s="74"/>
      <c r="AD84" s="74"/>
    </row>
    <row r="85">
      <c r="A85" s="75">
        <v>46037.0</v>
      </c>
      <c r="B85" s="76" t="s">
        <v>243</v>
      </c>
      <c r="C85" s="77" t="s">
        <v>244</v>
      </c>
      <c r="D85" s="76" t="s">
        <v>23</v>
      </c>
      <c r="E85" s="76"/>
      <c r="F85" s="76" t="s">
        <v>18</v>
      </c>
      <c r="G85" s="76">
        <v>250.0</v>
      </c>
      <c r="H85" s="76">
        <v>125.0</v>
      </c>
      <c r="I85" s="75">
        <v>46037.0</v>
      </c>
      <c r="J85" s="78">
        <v>16.04</v>
      </c>
      <c r="K85" s="76" t="s">
        <v>1</v>
      </c>
      <c r="L85" s="79" t="b">
        <v>1</v>
      </c>
      <c r="M85" s="80">
        <f t="shared" si="3"/>
        <v>46037.69139</v>
      </c>
      <c r="N85" s="79" t="b">
        <v>1</v>
      </c>
      <c r="O85" s="80">
        <f t="shared" si="2"/>
        <v>46037.69314</v>
      </c>
      <c r="P85" s="76" t="s">
        <v>1</v>
      </c>
      <c r="Q85" s="76" t="s">
        <v>11</v>
      </c>
      <c r="R85" s="76" t="b">
        <v>0</v>
      </c>
      <c r="S85" s="82" t="b">
        <v>0</v>
      </c>
      <c r="T85" s="76">
        <v>128.0</v>
      </c>
      <c r="U85" s="79" t="s">
        <v>96</v>
      </c>
      <c r="V85" s="83"/>
      <c r="W85" s="84"/>
      <c r="X85" s="74"/>
      <c r="Y85" s="74"/>
      <c r="Z85" s="74"/>
      <c r="AA85" s="74"/>
      <c r="AB85" s="74"/>
      <c r="AC85" s="74"/>
      <c r="AD85" s="74"/>
    </row>
    <row r="86">
      <c r="A86" s="75">
        <v>46037.0</v>
      </c>
      <c r="B86" s="76" t="s">
        <v>245</v>
      </c>
      <c r="C86" s="77" t="s">
        <v>246</v>
      </c>
      <c r="D86" s="76" t="s">
        <v>31</v>
      </c>
      <c r="E86" s="76"/>
      <c r="F86" s="76" t="s">
        <v>8</v>
      </c>
      <c r="G86" s="76">
        <v>500.0</v>
      </c>
      <c r="H86" s="76">
        <v>250.0</v>
      </c>
      <c r="I86" s="75">
        <v>46042.0</v>
      </c>
      <c r="J86" s="78">
        <v>16.04</v>
      </c>
      <c r="K86" s="76" t="s">
        <v>1</v>
      </c>
      <c r="L86" s="79" t="b">
        <v>1</v>
      </c>
      <c r="M86" s="80">
        <f t="shared" si="3"/>
        <v>46038.41197</v>
      </c>
      <c r="N86" s="79" t="b">
        <v>1</v>
      </c>
      <c r="O86" s="80">
        <f t="shared" si="2"/>
        <v>46038.41827</v>
      </c>
      <c r="P86" s="76" t="s">
        <v>1</v>
      </c>
      <c r="Q86" s="76" t="s">
        <v>11</v>
      </c>
      <c r="R86" s="76" t="b">
        <v>0</v>
      </c>
      <c r="S86" s="82" t="b">
        <v>0</v>
      </c>
      <c r="T86" s="76">
        <v>256.0</v>
      </c>
      <c r="U86" s="79" t="s">
        <v>96</v>
      </c>
      <c r="V86" s="90"/>
      <c r="W86" s="85"/>
      <c r="X86" s="74"/>
      <c r="Y86" s="74"/>
      <c r="Z86" s="74"/>
      <c r="AA86" s="74"/>
      <c r="AB86" s="74"/>
      <c r="AC86" s="74"/>
      <c r="AD86" s="74"/>
    </row>
    <row r="87">
      <c r="A87" s="75">
        <v>46038.0</v>
      </c>
      <c r="B87" s="76" t="s">
        <v>247</v>
      </c>
      <c r="C87" s="77" t="s">
        <v>138</v>
      </c>
      <c r="D87" s="76" t="s">
        <v>57</v>
      </c>
      <c r="E87" s="76"/>
      <c r="F87" s="76" t="s">
        <v>8</v>
      </c>
      <c r="G87" s="76">
        <v>84.0</v>
      </c>
      <c r="H87" s="76">
        <v>84.0</v>
      </c>
      <c r="I87" s="75">
        <v>46042.0</v>
      </c>
      <c r="J87" s="78">
        <v>10.27</v>
      </c>
      <c r="K87" s="76" t="s">
        <v>1</v>
      </c>
      <c r="L87" s="79" t="b">
        <v>1</v>
      </c>
      <c r="M87" s="80">
        <f t="shared" si="3"/>
        <v>46038.54494</v>
      </c>
      <c r="N87" s="79" t="b">
        <v>1</v>
      </c>
      <c r="O87" s="80">
        <f t="shared" si="2"/>
        <v>46038.54972</v>
      </c>
      <c r="P87" s="76" t="s">
        <v>1</v>
      </c>
      <c r="Q87" s="76" t="s">
        <v>38</v>
      </c>
      <c r="R87" s="76" t="b">
        <v>0</v>
      </c>
      <c r="S87" s="82" t="b">
        <v>0</v>
      </c>
      <c r="T87" s="76">
        <v>85.0</v>
      </c>
      <c r="U87" s="79" t="s">
        <v>28</v>
      </c>
      <c r="V87" s="90"/>
      <c r="W87" s="84"/>
      <c r="X87" s="74"/>
      <c r="Y87" s="74"/>
      <c r="Z87" s="74"/>
      <c r="AA87" s="74"/>
      <c r="AB87" s="74"/>
      <c r="AC87" s="74"/>
      <c r="AD87" s="74"/>
    </row>
    <row r="88">
      <c r="A88" s="75">
        <v>46038.0</v>
      </c>
      <c r="B88" s="76" t="s">
        <v>248</v>
      </c>
      <c r="C88" s="77" t="s">
        <v>249</v>
      </c>
      <c r="D88" s="76" t="s">
        <v>34</v>
      </c>
      <c r="E88" s="76"/>
      <c r="F88" s="76" t="s">
        <v>27</v>
      </c>
      <c r="G88" s="76">
        <v>18.0</v>
      </c>
      <c r="H88" s="76">
        <v>1.0</v>
      </c>
      <c r="I88" s="75">
        <v>46038.0</v>
      </c>
      <c r="J88" s="78">
        <v>14.56</v>
      </c>
      <c r="K88" s="76" t="s">
        <v>1</v>
      </c>
      <c r="L88" s="79" t="b">
        <v>1</v>
      </c>
      <c r="M88" s="80">
        <f t="shared" si="3"/>
        <v>46038.59617</v>
      </c>
      <c r="N88" s="79" t="b">
        <v>1</v>
      </c>
      <c r="O88" s="80">
        <f t="shared" si="2"/>
        <v>46038.59644</v>
      </c>
      <c r="P88" s="76" t="s">
        <v>1</v>
      </c>
      <c r="Q88" s="76" t="s">
        <v>38</v>
      </c>
      <c r="R88" s="76" t="b">
        <v>0</v>
      </c>
      <c r="S88" s="82" t="b">
        <v>0</v>
      </c>
      <c r="T88" s="76">
        <v>2.0</v>
      </c>
      <c r="U88" s="79" t="s">
        <v>28</v>
      </c>
      <c r="V88" s="83"/>
      <c r="W88" s="85"/>
      <c r="X88" s="74"/>
      <c r="Y88" s="74"/>
      <c r="Z88" s="74"/>
      <c r="AA88" s="74"/>
      <c r="AB88" s="74"/>
      <c r="AC88" s="74"/>
      <c r="AD88" s="74"/>
    </row>
    <row r="89">
      <c r="A89" s="75">
        <v>46038.0</v>
      </c>
      <c r="B89" s="76" t="s">
        <v>250</v>
      </c>
      <c r="C89" s="77" t="s">
        <v>251</v>
      </c>
      <c r="D89" s="76" t="s">
        <v>23</v>
      </c>
      <c r="E89" s="76"/>
      <c r="F89" s="76" t="s">
        <v>8</v>
      </c>
      <c r="G89" s="76">
        <v>1000.0</v>
      </c>
      <c r="H89" s="76">
        <v>250.0</v>
      </c>
      <c r="I89" s="75">
        <v>46041.0</v>
      </c>
      <c r="J89" s="78">
        <v>14.56</v>
      </c>
      <c r="K89" s="76" t="s">
        <v>1</v>
      </c>
      <c r="L89" s="79" t="b">
        <v>1</v>
      </c>
      <c r="M89" s="80">
        <f t="shared" si="3"/>
        <v>46038.64418</v>
      </c>
      <c r="N89" s="79" t="b">
        <v>1</v>
      </c>
      <c r="O89" s="80">
        <f t="shared" si="2"/>
        <v>46038.64734</v>
      </c>
      <c r="P89" s="76" t="s">
        <v>1</v>
      </c>
      <c r="Q89" s="76" t="s">
        <v>11</v>
      </c>
      <c r="R89" s="76" t="b">
        <v>0</v>
      </c>
      <c r="S89" s="82" t="b">
        <v>0</v>
      </c>
      <c r="T89" s="76">
        <v>256.0</v>
      </c>
      <c r="U89" s="79" t="s">
        <v>96</v>
      </c>
      <c r="V89" s="83"/>
      <c r="W89" s="84"/>
      <c r="X89" s="74"/>
      <c r="Y89" s="74"/>
      <c r="Z89" s="74"/>
      <c r="AA89" s="74"/>
      <c r="AB89" s="74"/>
      <c r="AC89" s="74"/>
      <c r="AD89" s="74"/>
    </row>
    <row r="90">
      <c r="A90" s="75">
        <v>46038.0</v>
      </c>
      <c r="B90" s="76" t="s">
        <v>252</v>
      </c>
      <c r="C90" s="77" t="s">
        <v>253</v>
      </c>
      <c r="D90" s="76" t="s">
        <v>54</v>
      </c>
      <c r="E90" s="76"/>
      <c r="F90" s="76" t="s">
        <v>8</v>
      </c>
      <c r="G90" s="76">
        <v>1000.0</v>
      </c>
      <c r="H90" s="76">
        <v>1000.0</v>
      </c>
      <c r="I90" s="75">
        <v>46045.0</v>
      </c>
      <c r="J90" s="78">
        <v>15.23</v>
      </c>
      <c r="K90" s="76" t="s">
        <v>1</v>
      </c>
      <c r="L90" s="79" t="b">
        <v>1</v>
      </c>
      <c r="M90" s="80">
        <f t="shared" si="3"/>
        <v>46041.46072</v>
      </c>
      <c r="N90" s="79" t="b">
        <v>1</v>
      </c>
      <c r="O90" s="80">
        <f t="shared" si="2"/>
        <v>46041.47733</v>
      </c>
      <c r="P90" s="76" t="s">
        <v>1</v>
      </c>
      <c r="Q90" s="76" t="s">
        <v>11</v>
      </c>
      <c r="R90" s="76" t="b">
        <v>0</v>
      </c>
      <c r="S90" s="82" t="b">
        <v>0</v>
      </c>
      <c r="T90" s="76">
        <v>1031.0</v>
      </c>
      <c r="U90" s="79" t="s">
        <v>96</v>
      </c>
      <c r="V90" s="90"/>
      <c r="W90" s="85"/>
      <c r="X90" s="74"/>
      <c r="Y90" s="74"/>
      <c r="Z90" s="74"/>
      <c r="AA90" s="74"/>
      <c r="AB90" s="74"/>
      <c r="AC90" s="74"/>
      <c r="AD90" s="74"/>
    </row>
    <row r="91">
      <c r="A91" s="75">
        <v>46038.0</v>
      </c>
      <c r="B91" s="76" t="s">
        <v>254</v>
      </c>
      <c r="C91" s="77" t="s">
        <v>255</v>
      </c>
      <c r="D91" s="76" t="s">
        <v>16</v>
      </c>
      <c r="E91" s="76"/>
      <c r="F91" s="76" t="s">
        <v>8</v>
      </c>
      <c r="G91" s="76">
        <v>200.0</v>
      </c>
      <c r="H91" s="76">
        <v>10.0</v>
      </c>
      <c r="I91" s="75">
        <v>46044.0</v>
      </c>
      <c r="J91" s="78">
        <v>15.23</v>
      </c>
      <c r="K91" s="76" t="s">
        <v>1</v>
      </c>
      <c r="L91" s="79" t="b">
        <v>1</v>
      </c>
      <c r="M91" s="80">
        <f t="shared" si="3"/>
        <v>46038.66058</v>
      </c>
      <c r="N91" s="79" t="b">
        <v>1</v>
      </c>
      <c r="O91" s="80">
        <f t="shared" si="2"/>
        <v>46038.66149</v>
      </c>
      <c r="P91" s="76" t="s">
        <v>1</v>
      </c>
      <c r="Q91" s="76" t="s">
        <v>11</v>
      </c>
      <c r="R91" s="76" t="b">
        <v>0</v>
      </c>
      <c r="S91" s="82" t="b">
        <v>0</v>
      </c>
      <c r="T91" s="76">
        <v>20.0</v>
      </c>
      <c r="U91" s="79" t="s">
        <v>96</v>
      </c>
      <c r="V91" s="90"/>
      <c r="W91" s="85"/>
      <c r="X91" s="74"/>
      <c r="Y91" s="74"/>
      <c r="Z91" s="74"/>
      <c r="AA91" s="74"/>
      <c r="AB91" s="74"/>
      <c r="AC91" s="74"/>
      <c r="AD91" s="74"/>
    </row>
    <row r="92">
      <c r="A92" s="75">
        <v>46039.0</v>
      </c>
      <c r="B92" s="76" t="s">
        <v>256</v>
      </c>
      <c r="C92" s="77" t="s">
        <v>257</v>
      </c>
      <c r="D92" s="76" t="s">
        <v>47</v>
      </c>
      <c r="E92" s="76"/>
      <c r="F92" s="76" t="s">
        <v>8</v>
      </c>
      <c r="G92" s="76">
        <v>250.0</v>
      </c>
      <c r="H92" s="76">
        <v>742.0</v>
      </c>
      <c r="I92" s="75">
        <v>46051.0</v>
      </c>
      <c r="J92" s="78">
        <v>10.29</v>
      </c>
      <c r="K92" s="76" t="s">
        <v>1</v>
      </c>
      <c r="L92" s="79" t="b">
        <v>1</v>
      </c>
      <c r="M92" s="80">
        <f t="shared" si="3"/>
        <v>46042.4701</v>
      </c>
      <c r="N92" s="79" t="b">
        <v>1</v>
      </c>
      <c r="O92" s="80">
        <f t="shared" si="2"/>
        <v>46042.49762</v>
      </c>
      <c r="P92" s="76" t="s">
        <v>1</v>
      </c>
      <c r="Q92" s="76" t="s">
        <v>11</v>
      </c>
      <c r="R92" s="76" t="b">
        <v>0</v>
      </c>
      <c r="S92" s="82" t="b">
        <v>0</v>
      </c>
      <c r="T92" s="76">
        <v>980.0</v>
      </c>
      <c r="U92" s="79" t="s">
        <v>96</v>
      </c>
      <c r="V92" s="90"/>
      <c r="W92" s="85"/>
      <c r="X92" s="74"/>
      <c r="Y92" s="74"/>
      <c r="Z92" s="74"/>
      <c r="AA92" s="74"/>
      <c r="AB92" s="74"/>
      <c r="AC92" s="74"/>
      <c r="AD92" s="74"/>
    </row>
    <row r="93">
      <c r="A93" s="75">
        <v>46039.0</v>
      </c>
      <c r="B93" s="76" t="s">
        <v>258</v>
      </c>
      <c r="C93" s="77" t="s">
        <v>259</v>
      </c>
      <c r="D93" s="76" t="s">
        <v>26</v>
      </c>
      <c r="E93" s="76"/>
      <c r="F93" s="76" t="s">
        <v>8</v>
      </c>
      <c r="G93" s="76">
        <v>22.0</v>
      </c>
      <c r="H93" s="76">
        <v>143.0</v>
      </c>
      <c r="I93" s="75">
        <v>46045.0</v>
      </c>
      <c r="J93" s="78">
        <v>10.29</v>
      </c>
      <c r="K93" s="76" t="s">
        <v>1</v>
      </c>
      <c r="L93" s="79" t="b">
        <v>1</v>
      </c>
      <c r="M93" s="80">
        <f t="shared" si="3"/>
        <v>46039.57357</v>
      </c>
      <c r="N93" s="79" t="b">
        <v>1</v>
      </c>
      <c r="O93" s="80">
        <f t="shared" si="2"/>
        <v>46039.58731</v>
      </c>
      <c r="P93" s="76" t="s">
        <v>101</v>
      </c>
      <c r="Q93" s="76" t="s">
        <v>11</v>
      </c>
      <c r="R93" s="76" t="b">
        <v>0</v>
      </c>
      <c r="S93" s="82" t="b">
        <v>0</v>
      </c>
      <c r="T93" s="76">
        <v>195.0</v>
      </c>
      <c r="U93" s="79" t="s">
        <v>96</v>
      </c>
      <c r="V93" s="83"/>
      <c r="W93" s="85"/>
      <c r="X93" s="74"/>
      <c r="Y93" s="74"/>
      <c r="Z93" s="74"/>
      <c r="AA93" s="74"/>
      <c r="AB93" s="74"/>
      <c r="AC93" s="74"/>
      <c r="AD93" s="74"/>
    </row>
    <row r="94">
      <c r="A94" s="75">
        <v>46039.0</v>
      </c>
      <c r="B94" s="76" t="s">
        <v>260</v>
      </c>
      <c r="C94" s="77" t="s">
        <v>261</v>
      </c>
      <c r="D94" s="76" t="s">
        <v>41</v>
      </c>
      <c r="E94" s="76"/>
      <c r="F94" s="76" t="s">
        <v>8</v>
      </c>
      <c r="G94" s="76">
        <v>330.0</v>
      </c>
      <c r="H94" s="76">
        <v>336.0</v>
      </c>
      <c r="I94" s="75">
        <v>46051.0</v>
      </c>
      <c r="J94" s="78">
        <v>10.29</v>
      </c>
      <c r="K94" s="76" t="s">
        <v>1</v>
      </c>
      <c r="L94" s="79" t="b">
        <v>1</v>
      </c>
      <c r="M94" s="80">
        <f t="shared" si="3"/>
        <v>46043.49486</v>
      </c>
      <c r="N94" s="79" t="b">
        <v>1</v>
      </c>
      <c r="O94" s="80">
        <f t="shared" si="2"/>
        <v>46043.50418</v>
      </c>
      <c r="P94" s="76" t="s">
        <v>1</v>
      </c>
      <c r="Q94" s="76" t="s">
        <v>11</v>
      </c>
      <c r="R94" s="76" t="b">
        <v>1</v>
      </c>
      <c r="S94" s="82" t="b">
        <v>0</v>
      </c>
      <c r="T94" s="76">
        <v>368.0</v>
      </c>
      <c r="U94" s="79" t="s">
        <v>96</v>
      </c>
      <c r="V94" s="90"/>
      <c r="W94" s="84"/>
      <c r="X94" s="74"/>
      <c r="Y94" s="74"/>
      <c r="Z94" s="74"/>
      <c r="AA94" s="74"/>
      <c r="AB94" s="74"/>
      <c r="AC94" s="74"/>
      <c r="AD94" s="74"/>
    </row>
    <row r="95">
      <c r="A95" s="75">
        <v>46039.0</v>
      </c>
      <c r="B95" s="76" t="s">
        <v>262</v>
      </c>
      <c r="C95" s="77" t="s">
        <v>263</v>
      </c>
      <c r="D95" s="76" t="s">
        <v>16</v>
      </c>
      <c r="E95" s="76"/>
      <c r="F95" s="76" t="s">
        <v>27</v>
      </c>
      <c r="G95" s="76">
        <v>300.0</v>
      </c>
      <c r="H95" s="76">
        <v>15.0</v>
      </c>
      <c r="I95" s="75">
        <v>46041.0</v>
      </c>
      <c r="J95" s="78">
        <v>11.22</v>
      </c>
      <c r="K95" s="76" t="s">
        <v>101</v>
      </c>
      <c r="L95" s="79" t="b">
        <v>1</v>
      </c>
      <c r="M95" s="80">
        <f t="shared" si="3"/>
        <v>46039.61264</v>
      </c>
      <c r="N95" s="79" t="b">
        <v>1</v>
      </c>
      <c r="O95" s="80">
        <f t="shared" si="2"/>
        <v>46039.62918</v>
      </c>
      <c r="P95" s="76" t="s">
        <v>1</v>
      </c>
      <c r="Q95" s="76" t="s">
        <v>11</v>
      </c>
      <c r="R95" s="76" t="b">
        <v>1</v>
      </c>
      <c r="S95" s="82" t="b">
        <v>0</v>
      </c>
      <c r="T95" s="76">
        <v>24.0</v>
      </c>
      <c r="U95" s="79" t="s">
        <v>96</v>
      </c>
      <c r="V95" s="90"/>
      <c r="W95" s="85"/>
      <c r="X95" s="74"/>
      <c r="Y95" s="74"/>
      <c r="Z95" s="74"/>
      <c r="AA95" s="74"/>
      <c r="AB95" s="74"/>
      <c r="AC95" s="74"/>
      <c r="AD95" s="74"/>
    </row>
    <row r="96">
      <c r="A96" s="75">
        <v>46039.0</v>
      </c>
      <c r="B96" s="76" t="s">
        <v>264</v>
      </c>
      <c r="C96" s="77" t="s">
        <v>265</v>
      </c>
      <c r="D96" s="76" t="s">
        <v>23</v>
      </c>
      <c r="E96" s="76"/>
      <c r="F96" s="76" t="s">
        <v>8</v>
      </c>
      <c r="G96" s="76">
        <v>1000.0</v>
      </c>
      <c r="H96" s="76">
        <v>500.0</v>
      </c>
      <c r="I96" s="75">
        <v>46041.0</v>
      </c>
      <c r="J96" s="78">
        <v>11.22</v>
      </c>
      <c r="K96" s="76" t="s">
        <v>101</v>
      </c>
      <c r="L96" s="79" t="b">
        <v>1</v>
      </c>
      <c r="M96" s="80">
        <f t="shared" si="3"/>
        <v>46039.62934</v>
      </c>
      <c r="N96" s="79" t="b">
        <v>1</v>
      </c>
      <c r="O96" s="80">
        <f t="shared" si="2"/>
        <v>46039.62935</v>
      </c>
      <c r="P96" s="76" t="s">
        <v>1</v>
      </c>
      <c r="Q96" s="76" t="s">
        <v>11</v>
      </c>
      <c r="R96" s="76" t="b">
        <v>1</v>
      </c>
      <c r="S96" s="82" t="b">
        <v>0</v>
      </c>
      <c r="T96" s="76">
        <v>508.0</v>
      </c>
      <c r="U96" s="79" t="s">
        <v>96</v>
      </c>
      <c r="V96" s="90"/>
      <c r="W96" s="85"/>
      <c r="X96" s="74"/>
      <c r="Y96" s="74"/>
      <c r="Z96" s="74"/>
      <c r="AA96" s="74"/>
      <c r="AB96" s="74"/>
      <c r="AC96" s="74"/>
      <c r="AD96" s="74"/>
    </row>
    <row r="97">
      <c r="A97" s="75">
        <v>46039.0</v>
      </c>
      <c r="B97" s="76" t="s">
        <v>266</v>
      </c>
      <c r="C97" s="77" t="s">
        <v>267</v>
      </c>
      <c r="D97" s="76" t="s">
        <v>16</v>
      </c>
      <c r="E97" s="76"/>
      <c r="F97" s="76" t="s">
        <v>8</v>
      </c>
      <c r="G97" s="76">
        <v>100.0</v>
      </c>
      <c r="H97" s="76">
        <v>5.0</v>
      </c>
      <c r="I97" s="75">
        <v>46043.0</v>
      </c>
      <c r="J97" s="78">
        <v>12.02</v>
      </c>
      <c r="K97" s="76" t="s">
        <v>1</v>
      </c>
      <c r="L97" s="79" t="b">
        <v>1</v>
      </c>
      <c r="M97" s="80">
        <f t="shared" si="3"/>
        <v>46039.59823</v>
      </c>
      <c r="N97" s="79" t="b">
        <v>1</v>
      </c>
      <c r="O97" s="80">
        <f t="shared" si="2"/>
        <v>46039.59934</v>
      </c>
      <c r="P97" s="76" t="s">
        <v>1</v>
      </c>
      <c r="Q97" s="76" t="s">
        <v>11</v>
      </c>
      <c r="R97" s="76" t="b">
        <v>0</v>
      </c>
      <c r="S97" s="82" t="b">
        <v>0</v>
      </c>
      <c r="T97" s="76">
        <v>12.0</v>
      </c>
      <c r="U97" s="79" t="s">
        <v>96</v>
      </c>
      <c r="V97" s="90"/>
      <c r="W97" s="85"/>
      <c r="X97" s="74"/>
      <c r="Y97" s="74"/>
      <c r="Z97" s="74"/>
      <c r="AA97" s="74"/>
      <c r="AB97" s="74"/>
      <c r="AC97" s="74"/>
      <c r="AD97" s="74"/>
    </row>
    <row r="98">
      <c r="A98" s="75">
        <v>46041.0</v>
      </c>
      <c r="B98" s="76" t="s">
        <v>268</v>
      </c>
      <c r="C98" s="77" t="s">
        <v>269</v>
      </c>
      <c r="D98" s="76" t="s">
        <v>60</v>
      </c>
      <c r="E98" s="76" t="s">
        <v>31</v>
      </c>
      <c r="F98" s="76" t="s">
        <v>8</v>
      </c>
      <c r="G98" s="76">
        <v>1.0</v>
      </c>
      <c r="H98" s="76">
        <v>9.0</v>
      </c>
      <c r="I98" s="75">
        <v>46043.0</v>
      </c>
      <c r="J98" s="78">
        <v>12.0</v>
      </c>
      <c r="K98" s="76" t="s">
        <v>1</v>
      </c>
      <c r="L98" s="79" t="b">
        <v>1</v>
      </c>
      <c r="M98" s="80">
        <f t="shared" si="3"/>
        <v>46041.57438</v>
      </c>
      <c r="N98" s="79" t="b">
        <v>1</v>
      </c>
      <c r="O98" s="80">
        <f t="shared" si="2"/>
        <v>46041.58468</v>
      </c>
      <c r="P98" s="76" t="s">
        <v>1</v>
      </c>
      <c r="Q98" s="76" t="s">
        <v>11</v>
      </c>
      <c r="R98" s="76" t="b">
        <v>0</v>
      </c>
      <c r="S98" s="82" t="b">
        <v>0</v>
      </c>
      <c r="T98" s="76">
        <v>34.0</v>
      </c>
      <c r="U98" s="79" t="s">
        <v>96</v>
      </c>
      <c r="V98" s="90"/>
      <c r="W98" s="85"/>
      <c r="X98" s="74"/>
      <c r="Y98" s="74"/>
      <c r="Z98" s="74"/>
      <c r="AA98" s="74"/>
      <c r="AB98" s="74"/>
      <c r="AC98" s="74"/>
      <c r="AD98" s="74"/>
    </row>
    <row r="99">
      <c r="A99" s="75">
        <v>46041.0</v>
      </c>
      <c r="B99" s="76" t="s">
        <v>270</v>
      </c>
      <c r="C99" s="77" t="s">
        <v>271</v>
      </c>
      <c r="D99" s="76" t="s">
        <v>23</v>
      </c>
      <c r="E99" s="76"/>
      <c r="F99" s="76" t="s">
        <v>8</v>
      </c>
      <c r="G99" s="76">
        <v>500.0</v>
      </c>
      <c r="H99" s="76">
        <v>100.0</v>
      </c>
      <c r="I99" s="75">
        <v>46044.0</v>
      </c>
      <c r="J99" s="78">
        <v>14.22</v>
      </c>
      <c r="K99" s="76" t="s">
        <v>101</v>
      </c>
      <c r="L99" s="79" t="b">
        <v>1</v>
      </c>
      <c r="M99" s="80">
        <f t="shared" si="3"/>
        <v>46041.6233</v>
      </c>
      <c r="N99" s="79" t="b">
        <v>1</v>
      </c>
      <c r="O99" s="80">
        <f t="shared" si="2"/>
        <v>46041.62514</v>
      </c>
      <c r="P99" s="76" t="s">
        <v>101</v>
      </c>
      <c r="Q99" s="76" t="s">
        <v>11</v>
      </c>
      <c r="R99" s="76" t="b">
        <v>0</v>
      </c>
      <c r="S99" s="82" t="b">
        <v>0</v>
      </c>
      <c r="T99" s="76">
        <v>104.0</v>
      </c>
      <c r="U99" s="79" t="s">
        <v>96</v>
      </c>
      <c r="V99" s="90"/>
      <c r="W99" s="85"/>
      <c r="X99" s="74"/>
      <c r="Y99" s="74"/>
      <c r="Z99" s="74"/>
      <c r="AA99" s="74"/>
      <c r="AB99" s="74"/>
      <c r="AC99" s="74"/>
      <c r="AD99" s="74"/>
    </row>
    <row r="100">
      <c r="A100" s="75">
        <v>46041.0</v>
      </c>
      <c r="B100" s="76" t="s">
        <v>272</v>
      </c>
      <c r="C100" s="77" t="s">
        <v>273</v>
      </c>
      <c r="D100" s="76" t="s">
        <v>16</v>
      </c>
      <c r="E100" s="76"/>
      <c r="F100" s="76" t="s">
        <v>8</v>
      </c>
      <c r="G100" s="76">
        <v>400.0</v>
      </c>
      <c r="H100" s="76">
        <v>20.0</v>
      </c>
      <c r="I100" s="75">
        <v>46045.0</v>
      </c>
      <c r="J100" s="78">
        <v>14.22</v>
      </c>
      <c r="K100" s="76" t="s">
        <v>101</v>
      </c>
      <c r="L100" s="79" t="b">
        <v>1</v>
      </c>
      <c r="M100" s="80">
        <f t="shared" si="3"/>
        <v>46041.64164</v>
      </c>
      <c r="N100" s="79" t="b">
        <v>1</v>
      </c>
      <c r="O100" s="80">
        <f t="shared" si="2"/>
        <v>46041.64265</v>
      </c>
      <c r="P100" s="76" t="s">
        <v>101</v>
      </c>
      <c r="Q100" s="76" t="s">
        <v>11</v>
      </c>
      <c r="R100" s="76" t="b">
        <v>0</v>
      </c>
      <c r="S100" s="82" t="b">
        <v>0</v>
      </c>
      <c r="T100" s="76">
        <v>40.0</v>
      </c>
      <c r="U100" s="79" t="s">
        <v>96</v>
      </c>
      <c r="V100" s="90"/>
      <c r="W100" s="85"/>
      <c r="X100" s="74"/>
      <c r="Y100" s="74"/>
      <c r="Z100" s="74"/>
      <c r="AA100" s="74"/>
      <c r="AB100" s="74"/>
      <c r="AC100" s="74"/>
      <c r="AD100" s="74"/>
    </row>
    <row r="101">
      <c r="A101" s="75">
        <v>46041.0</v>
      </c>
      <c r="B101" s="76" t="s">
        <v>274</v>
      </c>
      <c r="C101" s="77" t="s">
        <v>275</v>
      </c>
      <c r="D101" s="76" t="s">
        <v>16</v>
      </c>
      <c r="E101" s="76"/>
      <c r="F101" s="76" t="s">
        <v>8</v>
      </c>
      <c r="G101" s="76">
        <v>500.0</v>
      </c>
      <c r="H101" s="76">
        <v>24.0</v>
      </c>
      <c r="I101" s="75">
        <v>46045.0</v>
      </c>
      <c r="J101" s="78">
        <v>14.22</v>
      </c>
      <c r="K101" s="76" t="s">
        <v>101</v>
      </c>
      <c r="L101" s="79" t="b">
        <v>1</v>
      </c>
      <c r="M101" s="80">
        <f t="shared" si="3"/>
        <v>46041.63196</v>
      </c>
      <c r="N101" s="79" t="b">
        <v>1</v>
      </c>
      <c r="O101" s="80">
        <f t="shared" si="2"/>
        <v>46041.63625</v>
      </c>
      <c r="P101" s="76" t="s">
        <v>101</v>
      </c>
      <c r="Q101" s="76" t="s">
        <v>11</v>
      </c>
      <c r="R101" s="76" t="b">
        <v>0</v>
      </c>
      <c r="S101" s="82" t="b">
        <v>0</v>
      </c>
      <c r="T101" s="76">
        <v>32.0</v>
      </c>
      <c r="U101" s="79" t="s">
        <v>96</v>
      </c>
      <c r="V101" s="83"/>
      <c r="W101" s="85"/>
      <c r="X101" s="74"/>
      <c r="Y101" s="74"/>
      <c r="Z101" s="74"/>
      <c r="AA101" s="74"/>
      <c r="AB101" s="74"/>
      <c r="AC101" s="74"/>
      <c r="AD101" s="74"/>
    </row>
    <row r="102">
      <c r="A102" s="75">
        <v>46041.0</v>
      </c>
      <c r="B102" s="76" t="s">
        <v>276</v>
      </c>
      <c r="C102" s="77" t="s">
        <v>277</v>
      </c>
      <c r="D102" s="76" t="s">
        <v>23</v>
      </c>
      <c r="E102" s="76"/>
      <c r="F102" s="76" t="s">
        <v>8</v>
      </c>
      <c r="G102" s="76">
        <v>100.0</v>
      </c>
      <c r="H102" s="76">
        <v>25.0</v>
      </c>
      <c r="I102" s="75">
        <v>46045.0</v>
      </c>
      <c r="J102" s="78">
        <v>15.04</v>
      </c>
      <c r="K102" s="76" t="s">
        <v>1</v>
      </c>
      <c r="L102" s="79" t="b">
        <v>1</v>
      </c>
      <c r="M102" s="80">
        <f t="shared" si="3"/>
        <v>46041.63794</v>
      </c>
      <c r="N102" s="79" t="b">
        <v>1</v>
      </c>
      <c r="O102" s="80">
        <f t="shared" si="2"/>
        <v>46041.63862</v>
      </c>
      <c r="P102" s="76" t="s">
        <v>1</v>
      </c>
      <c r="Q102" s="76" t="s">
        <v>11</v>
      </c>
      <c r="R102" s="76" t="b">
        <v>0</v>
      </c>
      <c r="S102" s="82" t="b">
        <v>0</v>
      </c>
      <c r="T102" s="76">
        <v>28.0</v>
      </c>
      <c r="U102" s="79" t="s">
        <v>96</v>
      </c>
      <c r="V102" s="90"/>
      <c r="W102" s="85"/>
      <c r="X102" s="74"/>
      <c r="Y102" s="74"/>
      <c r="Z102" s="74"/>
      <c r="AA102" s="74"/>
      <c r="AB102" s="74"/>
      <c r="AC102" s="74"/>
      <c r="AD102" s="74"/>
    </row>
    <row r="103">
      <c r="A103" s="75">
        <v>46041.0</v>
      </c>
      <c r="B103" s="76" t="s">
        <v>278</v>
      </c>
      <c r="C103" s="77" t="s">
        <v>279</v>
      </c>
      <c r="D103" s="76" t="s">
        <v>23</v>
      </c>
      <c r="E103" s="76"/>
      <c r="F103" s="76" t="s">
        <v>18</v>
      </c>
      <c r="G103" s="76">
        <v>1000.0</v>
      </c>
      <c r="H103" s="76">
        <v>250.0</v>
      </c>
      <c r="I103" s="75">
        <v>46042.0</v>
      </c>
      <c r="J103" s="78">
        <v>16.04</v>
      </c>
      <c r="K103" s="76" t="s">
        <v>101</v>
      </c>
      <c r="L103" s="79" t="b">
        <v>1</v>
      </c>
      <c r="M103" s="80">
        <f t="shared" si="3"/>
        <v>46042.55615</v>
      </c>
      <c r="N103" s="79" t="b">
        <v>1</v>
      </c>
      <c r="O103" s="80">
        <f t="shared" si="2"/>
        <v>46042.56363</v>
      </c>
      <c r="P103" s="76" t="s">
        <v>101</v>
      </c>
      <c r="Q103" s="76" t="s">
        <v>11</v>
      </c>
      <c r="R103" s="76" t="b">
        <v>0</v>
      </c>
      <c r="S103" s="82" t="b">
        <v>0</v>
      </c>
      <c r="T103" s="76">
        <v>256.0</v>
      </c>
      <c r="U103" s="79" t="s">
        <v>96</v>
      </c>
      <c r="V103" s="90"/>
      <c r="W103" s="85"/>
      <c r="X103" s="74"/>
      <c r="Y103" s="74"/>
      <c r="Z103" s="74"/>
      <c r="AA103" s="74"/>
      <c r="AB103" s="74"/>
      <c r="AC103" s="74"/>
      <c r="AD103" s="74"/>
    </row>
    <row r="104">
      <c r="A104" s="75">
        <v>46041.0</v>
      </c>
      <c r="B104" s="76" t="s">
        <v>280</v>
      </c>
      <c r="C104" s="77" t="s">
        <v>281</v>
      </c>
      <c r="D104" s="76" t="s">
        <v>23</v>
      </c>
      <c r="E104" s="76"/>
      <c r="F104" s="76" t="s">
        <v>8</v>
      </c>
      <c r="G104" s="76">
        <v>500.0</v>
      </c>
      <c r="H104" s="76">
        <v>125.0</v>
      </c>
      <c r="I104" s="75">
        <v>46044.0</v>
      </c>
      <c r="J104" s="78">
        <v>16.04</v>
      </c>
      <c r="K104" s="76" t="s">
        <v>101</v>
      </c>
      <c r="L104" s="79" t="b">
        <v>1</v>
      </c>
      <c r="M104" s="80">
        <f t="shared" si="3"/>
        <v>46041.69715</v>
      </c>
      <c r="N104" s="79" t="b">
        <v>1</v>
      </c>
      <c r="O104" s="80">
        <f t="shared" si="2"/>
        <v>46041.70533</v>
      </c>
      <c r="P104" s="76" t="s">
        <v>101</v>
      </c>
      <c r="Q104" s="76" t="s">
        <v>11</v>
      </c>
      <c r="R104" s="76" t="b">
        <v>0</v>
      </c>
      <c r="S104" s="82" t="b">
        <v>0</v>
      </c>
      <c r="T104" s="76">
        <v>128.0</v>
      </c>
      <c r="U104" s="79" t="s">
        <v>96</v>
      </c>
      <c r="V104" s="90"/>
      <c r="W104" s="85"/>
      <c r="X104" s="74"/>
      <c r="Y104" s="74"/>
      <c r="Z104" s="74"/>
      <c r="AA104" s="74"/>
      <c r="AB104" s="74"/>
      <c r="AC104" s="74"/>
      <c r="AD104" s="74"/>
    </row>
    <row r="105">
      <c r="A105" s="75">
        <v>46041.0</v>
      </c>
      <c r="B105" s="76" t="s">
        <v>282</v>
      </c>
      <c r="C105" s="77" t="s">
        <v>283</v>
      </c>
      <c r="D105" s="76" t="s">
        <v>34</v>
      </c>
      <c r="E105" s="76"/>
      <c r="F105" s="76" t="s">
        <v>8</v>
      </c>
      <c r="G105" s="76">
        <v>45.0</v>
      </c>
      <c r="H105" s="76">
        <v>45.0</v>
      </c>
      <c r="I105" s="75">
        <v>46043.0</v>
      </c>
      <c r="J105" s="78">
        <v>16.04</v>
      </c>
      <c r="K105" s="76" t="s">
        <v>1</v>
      </c>
      <c r="L105" s="79" t="b">
        <v>1</v>
      </c>
      <c r="M105" s="80">
        <f t="shared" si="3"/>
        <v>46041.68823</v>
      </c>
      <c r="N105" s="79" t="b">
        <v>1</v>
      </c>
      <c r="O105" s="80">
        <f t="shared" si="2"/>
        <v>46041.68956</v>
      </c>
      <c r="P105" s="76" t="s">
        <v>1</v>
      </c>
      <c r="Q105" s="76" t="s">
        <v>38</v>
      </c>
      <c r="R105" s="76" t="b">
        <v>0</v>
      </c>
      <c r="S105" s="82" t="b">
        <v>0</v>
      </c>
      <c r="T105" s="76">
        <v>46.0</v>
      </c>
      <c r="U105" s="79" t="s">
        <v>28</v>
      </c>
      <c r="V105" s="90"/>
      <c r="W105" s="85"/>
      <c r="X105" s="74"/>
      <c r="Y105" s="74"/>
      <c r="Z105" s="74"/>
      <c r="AA105" s="74"/>
      <c r="AB105" s="74"/>
      <c r="AC105" s="74"/>
      <c r="AD105" s="74"/>
    </row>
    <row r="106">
      <c r="A106" s="75">
        <v>46041.0</v>
      </c>
      <c r="B106" s="76" t="s">
        <v>284</v>
      </c>
      <c r="C106" s="77" t="s">
        <v>228</v>
      </c>
      <c r="D106" s="76" t="s">
        <v>34</v>
      </c>
      <c r="E106" s="76"/>
      <c r="F106" s="76" t="s">
        <v>8</v>
      </c>
      <c r="G106" s="76">
        <v>15.0</v>
      </c>
      <c r="H106" s="76">
        <v>15.0</v>
      </c>
      <c r="I106" s="75">
        <v>46044.0</v>
      </c>
      <c r="J106" s="78">
        <v>16.04</v>
      </c>
      <c r="K106" s="76" t="s">
        <v>1</v>
      </c>
      <c r="L106" s="79" t="b">
        <v>1</v>
      </c>
      <c r="M106" s="80">
        <f t="shared" si="3"/>
        <v>46041.71446</v>
      </c>
      <c r="N106" s="79" t="b">
        <v>1</v>
      </c>
      <c r="O106" s="80">
        <f t="shared" si="2"/>
        <v>46041.71536</v>
      </c>
      <c r="P106" s="76" t="s">
        <v>1</v>
      </c>
      <c r="Q106" s="76" t="s">
        <v>38</v>
      </c>
      <c r="R106" s="76" t="b">
        <v>0</v>
      </c>
      <c r="S106" s="82" t="b">
        <v>0</v>
      </c>
      <c r="T106" s="76">
        <v>16.0</v>
      </c>
      <c r="U106" s="79" t="s">
        <v>28</v>
      </c>
      <c r="V106" s="90"/>
      <c r="W106" s="85"/>
      <c r="X106" s="74"/>
      <c r="Y106" s="74"/>
      <c r="Z106" s="74"/>
      <c r="AA106" s="74"/>
      <c r="AB106" s="74"/>
      <c r="AC106" s="74"/>
      <c r="AD106" s="74"/>
    </row>
    <row r="107">
      <c r="A107" s="75">
        <v>46041.0</v>
      </c>
      <c r="B107" s="76" t="s">
        <v>285</v>
      </c>
      <c r="C107" s="77" t="s">
        <v>286</v>
      </c>
      <c r="D107" s="76" t="s">
        <v>34</v>
      </c>
      <c r="E107" s="76"/>
      <c r="F107" s="76" t="s">
        <v>8</v>
      </c>
      <c r="G107" s="76">
        <v>15.0</v>
      </c>
      <c r="H107" s="76">
        <v>15.0</v>
      </c>
      <c r="I107" s="75">
        <v>46044.0</v>
      </c>
      <c r="J107" s="78">
        <v>16.04</v>
      </c>
      <c r="K107" s="76" t="s">
        <v>1</v>
      </c>
      <c r="L107" s="79" t="b">
        <v>1</v>
      </c>
      <c r="M107" s="80">
        <f t="shared" si="3"/>
        <v>46041.71328</v>
      </c>
      <c r="N107" s="79" t="b">
        <v>1</v>
      </c>
      <c r="O107" s="80">
        <f t="shared" si="2"/>
        <v>46041.71373</v>
      </c>
      <c r="P107" s="76" t="s">
        <v>1</v>
      </c>
      <c r="Q107" s="76" t="s">
        <v>38</v>
      </c>
      <c r="R107" s="76" t="b">
        <v>0</v>
      </c>
      <c r="S107" s="82" t="b">
        <v>0</v>
      </c>
      <c r="T107" s="76">
        <v>16.0</v>
      </c>
      <c r="U107" s="79" t="s">
        <v>28</v>
      </c>
      <c r="V107" s="90"/>
      <c r="W107" s="85"/>
      <c r="X107" s="74"/>
      <c r="Y107" s="74"/>
      <c r="Z107" s="74"/>
      <c r="AA107" s="74"/>
      <c r="AB107" s="74"/>
      <c r="AC107" s="74"/>
      <c r="AD107" s="74"/>
    </row>
    <row r="108">
      <c r="A108" s="75">
        <v>46042.0</v>
      </c>
      <c r="B108" s="76" t="s">
        <v>287</v>
      </c>
      <c r="C108" s="77" t="s">
        <v>288</v>
      </c>
      <c r="D108" s="76" t="s">
        <v>23</v>
      </c>
      <c r="E108" s="76"/>
      <c r="F108" s="76" t="s">
        <v>18</v>
      </c>
      <c r="G108" s="76">
        <v>500.0</v>
      </c>
      <c r="H108" s="76">
        <v>250.0</v>
      </c>
      <c r="I108" s="75">
        <v>46042.0</v>
      </c>
      <c r="J108" s="78" t="s">
        <v>151</v>
      </c>
      <c r="K108" s="76" t="s">
        <v>1</v>
      </c>
      <c r="L108" s="79" t="b">
        <v>1</v>
      </c>
      <c r="M108" s="80">
        <f t="shared" si="3"/>
        <v>46042.58591</v>
      </c>
      <c r="N108" s="79" t="b">
        <v>1</v>
      </c>
      <c r="O108" s="80">
        <f t="shared" si="2"/>
        <v>46042.5931</v>
      </c>
      <c r="P108" s="76" t="s">
        <v>1</v>
      </c>
      <c r="Q108" s="76" t="s">
        <v>11</v>
      </c>
      <c r="R108" s="76" t="b">
        <v>1</v>
      </c>
      <c r="S108" s="82" t="b">
        <v>0</v>
      </c>
      <c r="T108" s="76">
        <v>256.0</v>
      </c>
      <c r="U108" s="79" t="s">
        <v>96</v>
      </c>
      <c r="V108" s="90"/>
      <c r="W108" s="85"/>
      <c r="X108" s="74"/>
      <c r="Y108" s="74"/>
      <c r="Z108" s="74"/>
      <c r="AA108" s="74"/>
      <c r="AB108" s="74"/>
      <c r="AC108" s="74"/>
      <c r="AD108" s="74"/>
    </row>
    <row r="109">
      <c r="A109" s="75">
        <v>46042.0</v>
      </c>
      <c r="B109" s="76" t="s">
        <v>289</v>
      </c>
      <c r="C109" s="77" t="s">
        <v>290</v>
      </c>
      <c r="D109" s="76" t="s">
        <v>23</v>
      </c>
      <c r="E109" s="76"/>
      <c r="F109" s="76" t="s">
        <v>18</v>
      </c>
      <c r="G109" s="76">
        <v>100.0</v>
      </c>
      <c r="H109" s="76">
        <v>25.0</v>
      </c>
      <c r="I109" s="75">
        <v>46042.0</v>
      </c>
      <c r="J109" s="78">
        <v>13.398</v>
      </c>
      <c r="K109" s="76" t="s">
        <v>101</v>
      </c>
      <c r="L109" s="79" t="b">
        <v>1</v>
      </c>
      <c r="M109" s="80">
        <f t="shared" si="3"/>
        <v>46042.57894</v>
      </c>
      <c r="N109" s="79" t="b">
        <v>1</v>
      </c>
      <c r="O109" s="80">
        <f t="shared" si="2"/>
        <v>46042.58035</v>
      </c>
      <c r="P109" s="76" t="s">
        <v>101</v>
      </c>
      <c r="Q109" s="76" t="s">
        <v>11</v>
      </c>
      <c r="R109" s="76" t="b">
        <v>0</v>
      </c>
      <c r="S109" s="82" t="b">
        <v>0</v>
      </c>
      <c r="T109" s="76">
        <v>32.0</v>
      </c>
      <c r="U109" s="79" t="s">
        <v>96</v>
      </c>
      <c r="V109" s="90"/>
      <c r="W109" s="85"/>
      <c r="X109" s="74"/>
      <c r="Y109" s="74"/>
      <c r="Z109" s="74"/>
      <c r="AA109" s="74"/>
      <c r="AB109" s="74"/>
      <c r="AC109" s="74"/>
      <c r="AD109" s="74"/>
    </row>
    <row r="110">
      <c r="A110" s="75">
        <v>46042.0</v>
      </c>
      <c r="B110" s="76" t="s">
        <v>291</v>
      </c>
      <c r="C110" s="77" t="s">
        <v>292</v>
      </c>
      <c r="D110" s="76" t="s">
        <v>49</v>
      </c>
      <c r="E110" s="76"/>
      <c r="F110" s="76" t="s">
        <v>8</v>
      </c>
      <c r="G110" s="76">
        <v>300.0</v>
      </c>
      <c r="H110" s="76">
        <v>25.0</v>
      </c>
      <c r="I110" s="75">
        <v>46046.0</v>
      </c>
      <c r="J110" s="78">
        <v>13.398</v>
      </c>
      <c r="K110" s="76" t="s">
        <v>1</v>
      </c>
      <c r="L110" s="79" t="b">
        <v>1</v>
      </c>
      <c r="M110" s="80">
        <f t="shared" si="3"/>
        <v>46042.60789</v>
      </c>
      <c r="N110" s="79" t="b">
        <v>1</v>
      </c>
      <c r="O110" s="80">
        <f t="shared" si="2"/>
        <v>46042.60875</v>
      </c>
      <c r="P110" s="76" t="s">
        <v>1</v>
      </c>
      <c r="Q110" s="76" t="s">
        <v>11</v>
      </c>
      <c r="R110" s="76" t="b">
        <v>0</v>
      </c>
      <c r="S110" s="82" t="b">
        <v>0</v>
      </c>
      <c r="T110" s="76">
        <v>32.0</v>
      </c>
      <c r="U110" s="79" t="s">
        <v>19</v>
      </c>
      <c r="V110" s="90"/>
      <c r="W110" s="85"/>
      <c r="X110" s="74"/>
      <c r="Y110" s="74"/>
      <c r="Z110" s="74"/>
      <c r="AA110" s="74"/>
      <c r="AB110" s="74"/>
      <c r="AC110" s="74"/>
      <c r="AD110" s="74"/>
    </row>
    <row r="111">
      <c r="A111" s="75">
        <v>46042.0</v>
      </c>
      <c r="B111" s="76" t="s">
        <v>293</v>
      </c>
      <c r="C111" s="77" t="s">
        <v>294</v>
      </c>
      <c r="D111" s="76" t="s">
        <v>23</v>
      </c>
      <c r="E111" s="76"/>
      <c r="F111" s="76" t="s">
        <v>8</v>
      </c>
      <c r="G111" s="76">
        <v>100.0</v>
      </c>
      <c r="H111" s="76">
        <v>50.0</v>
      </c>
      <c r="I111" s="75">
        <v>46046.0</v>
      </c>
      <c r="J111" s="78">
        <v>13.398</v>
      </c>
      <c r="K111" s="76" t="s">
        <v>101</v>
      </c>
      <c r="L111" s="79" t="b">
        <v>1</v>
      </c>
      <c r="M111" s="80">
        <f t="shared" si="3"/>
        <v>46042.59608</v>
      </c>
      <c r="N111" s="79" t="b">
        <v>1</v>
      </c>
      <c r="O111" s="80">
        <f t="shared" si="2"/>
        <v>46042.59798</v>
      </c>
      <c r="P111" s="76" t="s">
        <v>101</v>
      </c>
      <c r="Q111" s="76" t="s">
        <v>11</v>
      </c>
      <c r="R111" s="76" t="b">
        <v>0</v>
      </c>
      <c r="S111" s="82" t="b">
        <v>0</v>
      </c>
      <c r="T111" s="76">
        <v>56.0</v>
      </c>
      <c r="U111" s="79" t="s">
        <v>96</v>
      </c>
      <c r="V111" s="90"/>
      <c r="W111" s="85"/>
      <c r="X111" s="74"/>
      <c r="Y111" s="74"/>
      <c r="Z111" s="74"/>
      <c r="AA111" s="74"/>
      <c r="AB111" s="74"/>
      <c r="AC111" s="74"/>
      <c r="AD111" s="74"/>
    </row>
    <row r="112">
      <c r="A112" s="75">
        <v>46042.0</v>
      </c>
      <c r="B112" s="76" t="s">
        <v>295</v>
      </c>
      <c r="C112" s="77" t="s">
        <v>296</v>
      </c>
      <c r="D112" s="76" t="s">
        <v>23</v>
      </c>
      <c r="E112" s="76"/>
      <c r="F112" s="76" t="s">
        <v>8</v>
      </c>
      <c r="G112" s="76">
        <v>100.0</v>
      </c>
      <c r="H112" s="76">
        <v>25.0</v>
      </c>
      <c r="I112" s="75">
        <v>46046.0</v>
      </c>
      <c r="J112" s="78">
        <v>14.24</v>
      </c>
      <c r="K112" s="76" t="s">
        <v>1</v>
      </c>
      <c r="L112" s="79" t="b">
        <v>1</v>
      </c>
      <c r="M112" s="80">
        <f t="shared" si="3"/>
        <v>46042.61047</v>
      </c>
      <c r="N112" s="79" t="b">
        <v>1</v>
      </c>
      <c r="O112" s="80">
        <f t="shared" si="2"/>
        <v>46042.61153</v>
      </c>
      <c r="P112" s="76" t="s">
        <v>1</v>
      </c>
      <c r="Q112" s="76" t="s">
        <v>11</v>
      </c>
      <c r="R112" s="76" t="b">
        <v>0</v>
      </c>
      <c r="S112" s="82" t="b">
        <v>0</v>
      </c>
      <c r="T112" s="76">
        <v>30.0</v>
      </c>
      <c r="U112" s="79" t="s">
        <v>96</v>
      </c>
      <c r="V112" s="90"/>
      <c r="W112" s="85"/>
      <c r="X112" s="74"/>
      <c r="Y112" s="74"/>
      <c r="Z112" s="74"/>
      <c r="AA112" s="74"/>
      <c r="AB112" s="74"/>
      <c r="AC112" s="74"/>
      <c r="AD112" s="74"/>
    </row>
    <row r="113">
      <c r="A113" s="75">
        <v>46042.0</v>
      </c>
      <c r="B113" s="76" t="s">
        <v>297</v>
      </c>
      <c r="C113" s="77" t="s">
        <v>298</v>
      </c>
      <c r="D113" s="76" t="s">
        <v>13</v>
      </c>
      <c r="E113" s="76"/>
      <c r="F113" s="76" t="s">
        <v>8</v>
      </c>
      <c r="G113" s="76">
        <v>5.0</v>
      </c>
      <c r="H113" s="76">
        <v>50.0</v>
      </c>
      <c r="I113" s="75">
        <v>46046.0</v>
      </c>
      <c r="J113" s="78">
        <v>16.3</v>
      </c>
      <c r="K113" s="76" t="s">
        <v>1</v>
      </c>
      <c r="L113" s="79" t="b">
        <v>1</v>
      </c>
      <c r="M113" s="80">
        <f t="shared" si="3"/>
        <v>46043.46139</v>
      </c>
      <c r="N113" s="79" t="b">
        <v>1</v>
      </c>
      <c r="O113" s="80">
        <f t="shared" si="2"/>
        <v>46043.46383</v>
      </c>
      <c r="P113" s="76" t="s">
        <v>1</v>
      </c>
      <c r="Q113" s="76" t="s">
        <v>11</v>
      </c>
      <c r="R113" s="76" t="b">
        <v>0</v>
      </c>
      <c r="S113" s="82" t="b">
        <v>0</v>
      </c>
      <c r="T113" s="76">
        <v>51.0</v>
      </c>
      <c r="U113" s="79" t="s">
        <v>96</v>
      </c>
      <c r="V113" s="90"/>
      <c r="W113" s="85"/>
      <c r="X113" s="74"/>
      <c r="Y113" s="74"/>
      <c r="Z113" s="74"/>
      <c r="AA113" s="74"/>
      <c r="AB113" s="74"/>
      <c r="AC113" s="74"/>
      <c r="AD113" s="74"/>
    </row>
    <row r="114">
      <c r="A114" s="75">
        <v>46043.0</v>
      </c>
      <c r="B114" s="91" t="s">
        <v>299</v>
      </c>
      <c r="C114" s="92" t="s">
        <v>300</v>
      </c>
      <c r="D114" s="93" t="s">
        <v>23</v>
      </c>
      <c r="E114" s="94"/>
      <c r="F114" s="93" t="s">
        <v>8</v>
      </c>
      <c r="G114" s="91">
        <v>100.0</v>
      </c>
      <c r="H114" s="91">
        <v>25.0</v>
      </c>
      <c r="I114" s="75">
        <v>46048.0</v>
      </c>
      <c r="J114" s="78">
        <v>11.12</v>
      </c>
      <c r="K114" s="76" t="s">
        <v>101</v>
      </c>
      <c r="L114" s="79" t="b">
        <v>1</v>
      </c>
      <c r="M114" s="80">
        <f t="shared" si="3"/>
        <v>46043.55238</v>
      </c>
      <c r="N114" s="79" t="b">
        <v>1</v>
      </c>
      <c r="O114" s="80">
        <f t="shared" si="2"/>
        <v>46043.55271</v>
      </c>
      <c r="P114" s="76" t="s">
        <v>1</v>
      </c>
      <c r="Q114" s="76" t="s">
        <v>11</v>
      </c>
      <c r="R114" s="76" t="b">
        <v>0</v>
      </c>
      <c r="S114" s="82" t="b">
        <v>0</v>
      </c>
      <c r="T114" s="76">
        <v>30.0</v>
      </c>
      <c r="U114" s="79" t="s">
        <v>96</v>
      </c>
      <c r="V114" s="90"/>
      <c r="W114" s="85"/>
      <c r="X114" s="74"/>
      <c r="Y114" s="74"/>
      <c r="Z114" s="74"/>
      <c r="AA114" s="74"/>
      <c r="AB114" s="74"/>
      <c r="AC114" s="74"/>
      <c r="AD114" s="74"/>
    </row>
    <row r="115">
      <c r="A115" s="75">
        <v>46043.0</v>
      </c>
      <c r="B115" s="76" t="s">
        <v>301</v>
      </c>
      <c r="C115" s="77" t="s">
        <v>302</v>
      </c>
      <c r="D115" s="76" t="s">
        <v>23</v>
      </c>
      <c r="E115" s="76"/>
      <c r="F115" s="76" t="s">
        <v>8</v>
      </c>
      <c r="G115" s="76">
        <v>100.0</v>
      </c>
      <c r="H115" s="76">
        <v>25.0</v>
      </c>
      <c r="I115" s="75">
        <v>46045.0</v>
      </c>
      <c r="J115" s="78">
        <v>11.15</v>
      </c>
      <c r="K115" s="76" t="s">
        <v>101</v>
      </c>
      <c r="L115" s="79" t="b">
        <v>1</v>
      </c>
      <c r="M115" s="80">
        <f t="shared" si="3"/>
        <v>46043.55236</v>
      </c>
      <c r="N115" s="79" t="b">
        <v>1</v>
      </c>
      <c r="O115" s="80">
        <f t="shared" si="2"/>
        <v>46043.55272</v>
      </c>
      <c r="P115" s="76" t="s">
        <v>1</v>
      </c>
      <c r="Q115" s="76" t="s">
        <v>11</v>
      </c>
      <c r="R115" s="76" t="b">
        <v>0</v>
      </c>
      <c r="S115" s="82" t="b">
        <v>0</v>
      </c>
      <c r="T115" s="76">
        <v>28.0</v>
      </c>
      <c r="U115" s="79" t="s">
        <v>96</v>
      </c>
      <c r="V115" s="90"/>
      <c r="W115" s="85"/>
      <c r="X115" s="74"/>
      <c r="Y115" s="74"/>
      <c r="Z115" s="74"/>
      <c r="AA115" s="74"/>
      <c r="AB115" s="74"/>
      <c r="AC115" s="74"/>
      <c r="AD115" s="74"/>
    </row>
    <row r="116">
      <c r="A116" s="75">
        <v>46043.0</v>
      </c>
      <c r="B116" s="76" t="s">
        <v>303</v>
      </c>
      <c r="C116" s="77" t="s">
        <v>304</v>
      </c>
      <c r="D116" s="76" t="s">
        <v>23</v>
      </c>
      <c r="E116" s="76"/>
      <c r="F116" s="76" t="s">
        <v>18</v>
      </c>
      <c r="G116" s="76">
        <v>1000.0</v>
      </c>
      <c r="H116" s="76">
        <v>250.0</v>
      </c>
      <c r="I116" s="75">
        <v>46043.0</v>
      </c>
      <c r="J116" s="78">
        <v>13.18</v>
      </c>
      <c r="K116" s="76" t="s">
        <v>1</v>
      </c>
      <c r="L116" s="79" t="b">
        <v>1</v>
      </c>
      <c r="M116" s="80">
        <f t="shared" si="3"/>
        <v>46043.57163</v>
      </c>
      <c r="N116" s="79" t="b">
        <v>1</v>
      </c>
      <c r="O116" s="80">
        <f t="shared" si="2"/>
        <v>46043.57479</v>
      </c>
      <c r="P116" s="76" t="s">
        <v>1</v>
      </c>
      <c r="Q116" s="76" t="s">
        <v>11</v>
      </c>
      <c r="R116" s="76" t="b">
        <v>0</v>
      </c>
      <c r="S116" s="82" t="b">
        <v>0</v>
      </c>
      <c r="T116" s="76">
        <v>256.0</v>
      </c>
      <c r="U116" s="79" t="s">
        <v>96</v>
      </c>
      <c r="V116" s="90"/>
      <c r="W116" s="85"/>
      <c r="X116" s="74"/>
      <c r="Y116" s="74"/>
      <c r="Z116" s="74"/>
      <c r="AA116" s="74"/>
      <c r="AB116" s="74"/>
      <c r="AC116" s="74"/>
      <c r="AD116" s="74"/>
    </row>
    <row r="117">
      <c r="A117" s="75">
        <v>46043.0</v>
      </c>
      <c r="B117" s="76" t="s">
        <v>305</v>
      </c>
      <c r="C117" s="77" t="s">
        <v>306</v>
      </c>
      <c r="D117" s="76" t="s">
        <v>23</v>
      </c>
      <c r="E117" s="76"/>
      <c r="F117" s="76" t="s">
        <v>18</v>
      </c>
      <c r="G117" s="76">
        <v>100.0</v>
      </c>
      <c r="H117" s="76">
        <v>25.0</v>
      </c>
      <c r="I117" s="75">
        <v>46043.0</v>
      </c>
      <c r="J117" s="78">
        <v>15.2</v>
      </c>
      <c r="K117" s="76" t="s">
        <v>1</v>
      </c>
      <c r="L117" s="79" t="b">
        <v>1</v>
      </c>
      <c r="M117" s="80">
        <f t="shared" si="3"/>
        <v>46043.64612</v>
      </c>
      <c r="N117" s="79" t="b">
        <v>1</v>
      </c>
      <c r="O117" s="80">
        <f t="shared" si="2"/>
        <v>46043.64761</v>
      </c>
      <c r="P117" s="76" t="s">
        <v>1</v>
      </c>
      <c r="Q117" s="76" t="s">
        <v>11</v>
      </c>
      <c r="R117" s="76" t="b">
        <v>0</v>
      </c>
      <c r="S117" s="82" t="b">
        <v>0</v>
      </c>
      <c r="T117" s="76">
        <v>28.0</v>
      </c>
      <c r="U117" s="79" t="s">
        <v>96</v>
      </c>
      <c r="V117" s="90"/>
      <c r="W117" s="85"/>
      <c r="X117" s="74"/>
      <c r="Y117" s="74"/>
      <c r="Z117" s="74"/>
      <c r="AA117" s="74"/>
      <c r="AB117" s="74"/>
      <c r="AC117" s="74"/>
      <c r="AD117" s="74"/>
    </row>
    <row r="118">
      <c r="A118" s="75">
        <v>46044.0</v>
      </c>
      <c r="B118" s="76" t="s">
        <v>307</v>
      </c>
      <c r="C118" s="77" t="s">
        <v>308</v>
      </c>
      <c r="D118" s="76" t="s">
        <v>23</v>
      </c>
      <c r="E118" s="76"/>
      <c r="F118" s="76" t="s">
        <v>18</v>
      </c>
      <c r="G118" s="76">
        <v>300.0</v>
      </c>
      <c r="H118" s="76">
        <v>75.0</v>
      </c>
      <c r="I118" s="75">
        <v>46044.0</v>
      </c>
      <c r="J118" s="78">
        <v>10.1</v>
      </c>
      <c r="K118" s="76" t="s">
        <v>1</v>
      </c>
      <c r="L118" s="79" t="b">
        <v>1</v>
      </c>
      <c r="M118" s="80">
        <f t="shared" si="3"/>
        <v>46044.43969</v>
      </c>
      <c r="N118" s="79" t="b">
        <v>1</v>
      </c>
      <c r="O118" s="80">
        <f t="shared" si="2"/>
        <v>46044.44092</v>
      </c>
      <c r="P118" s="76" t="s">
        <v>1</v>
      </c>
      <c r="Q118" s="76" t="s">
        <v>11</v>
      </c>
      <c r="R118" s="76" t="b">
        <v>0</v>
      </c>
      <c r="S118" s="82" t="b">
        <v>0</v>
      </c>
      <c r="T118" s="76">
        <v>80.0</v>
      </c>
      <c r="U118" s="79" t="s">
        <v>96</v>
      </c>
      <c r="V118" s="90"/>
      <c r="W118" s="85"/>
      <c r="X118" s="74"/>
      <c r="Y118" s="74"/>
      <c r="Z118" s="74"/>
      <c r="AA118" s="74"/>
      <c r="AB118" s="74"/>
      <c r="AC118" s="74"/>
      <c r="AD118" s="74"/>
    </row>
    <row r="119">
      <c r="A119" s="75">
        <v>46044.0</v>
      </c>
      <c r="B119" s="76" t="s">
        <v>309</v>
      </c>
      <c r="C119" s="77" t="s">
        <v>310</v>
      </c>
      <c r="D119" s="76" t="s">
        <v>23</v>
      </c>
      <c r="E119" s="76"/>
      <c r="F119" s="76" t="s">
        <v>18</v>
      </c>
      <c r="G119" s="76">
        <v>100.0</v>
      </c>
      <c r="H119" s="76">
        <v>50.0</v>
      </c>
      <c r="I119" s="75">
        <v>46044.0</v>
      </c>
      <c r="J119" s="78">
        <v>10.1</v>
      </c>
      <c r="K119" s="76" t="s">
        <v>1</v>
      </c>
      <c r="L119" s="79" t="b">
        <v>1</v>
      </c>
      <c r="M119" s="80">
        <f t="shared" si="3"/>
        <v>46044.46861</v>
      </c>
      <c r="N119" s="79" t="b">
        <v>1</v>
      </c>
      <c r="O119" s="80">
        <f t="shared" si="2"/>
        <v>46044.47247</v>
      </c>
      <c r="P119" s="76" t="s">
        <v>1</v>
      </c>
      <c r="Q119" s="76" t="s">
        <v>11</v>
      </c>
      <c r="R119" s="76" t="b">
        <v>0</v>
      </c>
      <c r="S119" s="82" t="b">
        <v>0</v>
      </c>
      <c r="T119" s="76">
        <v>56.0</v>
      </c>
      <c r="U119" s="79" t="s">
        <v>96</v>
      </c>
      <c r="V119" s="90"/>
      <c r="W119" s="85"/>
      <c r="X119" s="74"/>
      <c r="Y119" s="74"/>
      <c r="Z119" s="74"/>
      <c r="AA119" s="74"/>
      <c r="AB119" s="74"/>
      <c r="AC119" s="74"/>
      <c r="AD119" s="74"/>
    </row>
    <row r="120">
      <c r="A120" s="75">
        <v>46044.0</v>
      </c>
      <c r="B120" s="76" t="s">
        <v>311</v>
      </c>
      <c r="C120" s="77" t="s">
        <v>312</v>
      </c>
      <c r="D120" s="76" t="s">
        <v>61</v>
      </c>
      <c r="E120" s="76"/>
      <c r="F120" s="76" t="s">
        <v>8</v>
      </c>
      <c r="G120" s="76">
        <v>1000.0</v>
      </c>
      <c r="H120" s="76">
        <v>250.0</v>
      </c>
      <c r="I120" s="75">
        <v>46049.0</v>
      </c>
      <c r="J120" s="78">
        <v>11.19</v>
      </c>
      <c r="K120" s="76" t="s">
        <v>1</v>
      </c>
      <c r="L120" s="79" t="b">
        <v>1</v>
      </c>
      <c r="M120" s="80">
        <f t="shared" si="3"/>
        <v>46044.5901</v>
      </c>
      <c r="N120" s="79" t="b">
        <v>1</v>
      </c>
      <c r="O120" s="80">
        <f t="shared" si="2"/>
        <v>46044.59915</v>
      </c>
      <c r="P120" s="76" t="s">
        <v>1</v>
      </c>
      <c r="Q120" s="76" t="s">
        <v>11</v>
      </c>
      <c r="R120" s="76" t="b">
        <v>0</v>
      </c>
      <c r="S120" s="82" t="b">
        <v>0</v>
      </c>
      <c r="T120" s="76">
        <v>256.0</v>
      </c>
      <c r="U120" s="79" t="s">
        <v>96</v>
      </c>
      <c r="V120" s="90"/>
      <c r="W120" s="85"/>
      <c r="X120" s="74"/>
      <c r="Y120" s="74"/>
      <c r="Z120" s="74"/>
      <c r="AA120" s="74"/>
      <c r="AB120" s="74"/>
      <c r="AC120" s="74"/>
      <c r="AD120" s="74"/>
    </row>
    <row r="121">
      <c r="A121" s="75">
        <v>46044.0</v>
      </c>
      <c r="B121" s="76" t="s">
        <v>313</v>
      </c>
      <c r="C121" s="77" t="s">
        <v>314</v>
      </c>
      <c r="D121" s="76" t="s">
        <v>60</v>
      </c>
      <c r="E121" s="76"/>
      <c r="F121" s="76" t="s">
        <v>8</v>
      </c>
      <c r="G121" s="76">
        <v>300.0</v>
      </c>
      <c r="H121" s="76">
        <v>50.0</v>
      </c>
      <c r="I121" s="75">
        <v>46053.0</v>
      </c>
      <c r="J121" s="78">
        <v>11.19</v>
      </c>
      <c r="K121" s="76" t="s">
        <v>101</v>
      </c>
      <c r="L121" s="79" t="b">
        <v>1</v>
      </c>
      <c r="M121" s="80">
        <f t="shared" si="3"/>
        <v>46044.56241</v>
      </c>
      <c r="N121" s="79" t="b">
        <v>1</v>
      </c>
      <c r="O121" s="80">
        <f t="shared" si="2"/>
        <v>46044.56464</v>
      </c>
      <c r="P121" s="76" t="s">
        <v>101</v>
      </c>
      <c r="Q121" s="76" t="s">
        <v>11</v>
      </c>
      <c r="R121" s="76" t="b">
        <v>0</v>
      </c>
      <c r="S121" s="82" t="b">
        <v>0</v>
      </c>
      <c r="T121" s="76">
        <v>60.0</v>
      </c>
      <c r="U121" s="79" t="s">
        <v>96</v>
      </c>
      <c r="V121" s="83" t="s">
        <v>160</v>
      </c>
      <c r="W121" s="85"/>
      <c r="X121" s="74"/>
      <c r="Y121" s="74"/>
      <c r="Z121" s="74"/>
      <c r="AA121" s="74"/>
      <c r="AB121" s="74"/>
      <c r="AC121" s="74"/>
      <c r="AD121" s="74"/>
    </row>
    <row r="122">
      <c r="A122" s="75">
        <v>46044.0</v>
      </c>
      <c r="B122" s="76" t="s">
        <v>315</v>
      </c>
      <c r="C122" s="77" t="s">
        <v>316</v>
      </c>
      <c r="D122" s="76" t="s">
        <v>23</v>
      </c>
      <c r="E122" s="76"/>
      <c r="F122" s="76" t="s">
        <v>27</v>
      </c>
      <c r="G122" s="76">
        <v>128.0</v>
      </c>
      <c r="H122" s="76">
        <v>64.0</v>
      </c>
      <c r="I122" s="75">
        <v>46044.0</v>
      </c>
      <c r="J122" s="78">
        <v>12.0</v>
      </c>
      <c r="K122" s="76" t="s">
        <v>1</v>
      </c>
      <c r="L122" s="79" t="b">
        <v>1</v>
      </c>
      <c r="M122" s="80">
        <f t="shared" si="3"/>
        <v>46044.58481</v>
      </c>
      <c r="N122" s="79" t="b">
        <v>1</v>
      </c>
      <c r="O122" s="80">
        <f t="shared" si="2"/>
        <v>46044.58637</v>
      </c>
      <c r="P122" s="76" t="s">
        <v>1</v>
      </c>
      <c r="Q122" s="76" t="s">
        <v>11</v>
      </c>
      <c r="R122" s="76" t="b">
        <v>0</v>
      </c>
      <c r="S122" s="82" t="b">
        <v>0</v>
      </c>
      <c r="T122" s="76">
        <v>96.0</v>
      </c>
      <c r="U122" s="79" t="s">
        <v>96</v>
      </c>
      <c r="V122" s="90"/>
      <c r="W122" s="85"/>
      <c r="X122" s="74"/>
      <c r="Y122" s="74"/>
      <c r="Z122" s="74"/>
      <c r="AA122" s="74"/>
      <c r="AB122" s="74"/>
      <c r="AC122" s="74"/>
      <c r="AD122" s="74"/>
    </row>
    <row r="123">
      <c r="A123" s="75">
        <v>46044.0</v>
      </c>
      <c r="B123" s="76" t="s">
        <v>317</v>
      </c>
      <c r="C123" s="77" t="s">
        <v>318</v>
      </c>
      <c r="D123" s="76" t="s">
        <v>16</v>
      </c>
      <c r="E123" s="76"/>
      <c r="F123" s="76" t="s">
        <v>8</v>
      </c>
      <c r="G123" s="76">
        <v>1400.0</v>
      </c>
      <c r="H123" s="76">
        <v>70.0</v>
      </c>
      <c r="I123" s="75">
        <v>46050.0</v>
      </c>
      <c r="J123" s="78">
        <v>13.41</v>
      </c>
      <c r="K123" s="76" t="s">
        <v>1</v>
      </c>
      <c r="L123" s="79" t="b">
        <v>1</v>
      </c>
      <c r="M123" s="80">
        <f t="shared" si="3"/>
        <v>46044.65998</v>
      </c>
      <c r="N123" s="79" t="b">
        <v>1</v>
      </c>
      <c r="O123" s="80">
        <f t="shared" si="2"/>
        <v>46044.66701</v>
      </c>
      <c r="P123" s="76" t="s">
        <v>1</v>
      </c>
      <c r="Q123" s="76" t="s">
        <v>11</v>
      </c>
      <c r="R123" s="76" t="b">
        <v>0</v>
      </c>
      <c r="S123" s="82" t="b">
        <v>0</v>
      </c>
      <c r="T123" s="76">
        <v>84.0</v>
      </c>
      <c r="U123" s="79" t="s">
        <v>96</v>
      </c>
      <c r="V123" s="90"/>
      <c r="W123" s="85"/>
      <c r="X123" s="74"/>
      <c r="Y123" s="74"/>
      <c r="Z123" s="74"/>
      <c r="AA123" s="74"/>
      <c r="AB123" s="74"/>
      <c r="AC123" s="74"/>
      <c r="AD123" s="74"/>
    </row>
    <row r="124">
      <c r="A124" s="75">
        <v>46044.0</v>
      </c>
      <c r="B124" s="76" t="s">
        <v>319</v>
      </c>
      <c r="C124" s="77" t="s">
        <v>320</v>
      </c>
      <c r="D124" s="76" t="s">
        <v>16</v>
      </c>
      <c r="E124" s="76" t="s">
        <v>82</v>
      </c>
      <c r="F124" s="76" t="s">
        <v>27</v>
      </c>
      <c r="G124" s="76">
        <v>50.0</v>
      </c>
      <c r="H124" s="76">
        <v>650.0</v>
      </c>
      <c r="I124" s="75">
        <v>46046.0</v>
      </c>
      <c r="J124" s="78">
        <v>15.0</v>
      </c>
      <c r="K124" s="76" t="s">
        <v>1</v>
      </c>
      <c r="L124" s="79" t="b">
        <v>1</v>
      </c>
      <c r="M124" s="80">
        <f t="shared" si="3"/>
        <v>46044.674</v>
      </c>
      <c r="N124" s="79" t="b">
        <v>1</v>
      </c>
      <c r="O124" s="80">
        <f t="shared" si="2"/>
        <v>46044.6964</v>
      </c>
      <c r="P124" s="76" t="s">
        <v>1</v>
      </c>
      <c r="Q124" s="76" t="s">
        <v>11</v>
      </c>
      <c r="R124" s="76" t="b">
        <v>0</v>
      </c>
      <c r="S124" s="82" t="b">
        <v>0</v>
      </c>
      <c r="T124" s="76">
        <v>830.0</v>
      </c>
      <c r="U124" s="79" t="s">
        <v>96</v>
      </c>
      <c r="V124" s="90"/>
      <c r="W124" s="85"/>
      <c r="X124" s="74"/>
      <c r="Y124" s="74"/>
      <c r="Z124" s="74"/>
      <c r="AA124" s="74"/>
      <c r="AB124" s="74"/>
      <c r="AC124" s="74"/>
      <c r="AD124" s="74"/>
    </row>
    <row r="125">
      <c r="A125" s="75">
        <v>46044.0</v>
      </c>
      <c r="B125" s="76" t="s">
        <v>321</v>
      </c>
      <c r="C125" s="77" t="s">
        <v>322</v>
      </c>
      <c r="D125" s="76" t="s">
        <v>31</v>
      </c>
      <c r="E125" s="76"/>
      <c r="F125" s="76" t="s">
        <v>27</v>
      </c>
      <c r="G125" s="76">
        <v>60.0</v>
      </c>
      <c r="H125" s="76">
        <v>6.0</v>
      </c>
      <c r="I125" s="75">
        <v>46044.0</v>
      </c>
      <c r="J125" s="78">
        <v>16.41</v>
      </c>
      <c r="K125" s="76" t="s">
        <v>1</v>
      </c>
      <c r="L125" s="79" t="b">
        <v>1</v>
      </c>
      <c r="M125" s="80">
        <f t="shared" si="3"/>
        <v>46044.70652</v>
      </c>
      <c r="N125" s="79" t="b">
        <v>1</v>
      </c>
      <c r="O125" s="80">
        <f t="shared" si="2"/>
        <v>46044.70707</v>
      </c>
      <c r="P125" s="76" t="s">
        <v>1</v>
      </c>
      <c r="Q125" s="76" t="s">
        <v>11</v>
      </c>
      <c r="R125" s="76" t="b">
        <v>0</v>
      </c>
      <c r="S125" s="82" t="b">
        <v>0</v>
      </c>
      <c r="T125" s="76">
        <v>15.0</v>
      </c>
      <c r="U125" s="79" t="s">
        <v>96</v>
      </c>
      <c r="V125" s="90"/>
      <c r="W125" s="85"/>
      <c r="X125" s="74"/>
      <c r="Y125" s="74"/>
      <c r="Z125" s="74"/>
      <c r="AA125" s="74"/>
      <c r="AB125" s="74"/>
      <c r="AC125" s="74"/>
      <c r="AD125" s="74"/>
    </row>
    <row r="126">
      <c r="A126" s="75">
        <v>46045.0</v>
      </c>
      <c r="B126" s="76" t="s">
        <v>323</v>
      </c>
      <c r="C126" s="77" t="s">
        <v>324</v>
      </c>
      <c r="D126" s="76" t="s">
        <v>16</v>
      </c>
      <c r="E126" s="76"/>
      <c r="F126" s="76" t="s">
        <v>8</v>
      </c>
      <c r="G126" s="76">
        <v>600.0</v>
      </c>
      <c r="H126" s="76"/>
      <c r="I126" s="75">
        <v>46046.0</v>
      </c>
      <c r="J126" s="78">
        <v>8.57</v>
      </c>
      <c r="K126" s="76" t="s">
        <v>101</v>
      </c>
      <c r="L126" s="79" t="b">
        <v>1</v>
      </c>
      <c r="M126" s="80">
        <f t="shared" si="3"/>
        <v>46046.43972</v>
      </c>
      <c r="N126" s="79" t="b">
        <v>1</v>
      </c>
      <c r="O126" s="80">
        <f t="shared" si="2"/>
        <v>46046.44125</v>
      </c>
      <c r="P126" s="76" t="s">
        <v>1</v>
      </c>
      <c r="Q126" s="76" t="s">
        <v>11</v>
      </c>
      <c r="R126" s="76" t="b">
        <v>0</v>
      </c>
      <c r="S126" s="82" t="b">
        <v>0</v>
      </c>
      <c r="T126" s="76"/>
      <c r="U126" s="79" t="s">
        <v>96</v>
      </c>
      <c r="V126" s="90"/>
      <c r="W126" s="85"/>
      <c r="X126" s="74"/>
      <c r="Y126" s="74"/>
      <c r="Z126" s="74"/>
      <c r="AA126" s="74"/>
      <c r="AB126" s="74"/>
      <c r="AC126" s="74"/>
      <c r="AD126" s="74"/>
    </row>
    <row r="127">
      <c r="A127" s="75">
        <v>46045.0</v>
      </c>
      <c r="B127" s="76" t="s">
        <v>325</v>
      </c>
      <c r="C127" s="77" t="s">
        <v>326</v>
      </c>
      <c r="D127" s="76" t="s">
        <v>23</v>
      </c>
      <c r="E127" s="76"/>
      <c r="F127" s="76" t="s">
        <v>18</v>
      </c>
      <c r="G127" s="76">
        <v>300.0</v>
      </c>
      <c r="H127" s="76">
        <v>75.0</v>
      </c>
      <c r="I127" s="75">
        <v>46045.0</v>
      </c>
      <c r="J127" s="78">
        <v>9.3</v>
      </c>
      <c r="K127" s="76" t="s">
        <v>101</v>
      </c>
      <c r="L127" s="79" t="b">
        <v>1</v>
      </c>
      <c r="M127" s="80">
        <f t="shared" si="3"/>
        <v>46045.41018</v>
      </c>
      <c r="N127" s="79" t="b">
        <v>1</v>
      </c>
      <c r="O127" s="80">
        <f t="shared" si="2"/>
        <v>46045.41331</v>
      </c>
      <c r="P127" s="76" t="s">
        <v>101</v>
      </c>
      <c r="Q127" s="76" t="s">
        <v>11</v>
      </c>
      <c r="R127" s="76" t="b">
        <v>0</v>
      </c>
      <c r="S127" s="82" t="b">
        <v>0</v>
      </c>
      <c r="T127" s="76">
        <v>80.0</v>
      </c>
      <c r="U127" s="79" t="s">
        <v>96</v>
      </c>
      <c r="V127" s="90"/>
      <c r="W127" s="85"/>
      <c r="X127" s="74"/>
      <c r="Y127" s="74"/>
      <c r="Z127" s="74"/>
      <c r="AA127" s="74"/>
      <c r="AB127" s="74"/>
      <c r="AC127" s="74"/>
      <c r="AD127" s="74"/>
    </row>
    <row r="128">
      <c r="A128" s="75">
        <v>46045.0</v>
      </c>
      <c r="B128" s="76" t="s">
        <v>327</v>
      </c>
      <c r="C128" s="77" t="s">
        <v>328</v>
      </c>
      <c r="D128" s="76" t="s">
        <v>34</v>
      </c>
      <c r="E128" s="76"/>
      <c r="F128" s="76" t="s">
        <v>8</v>
      </c>
      <c r="G128" s="76">
        <v>6.0</v>
      </c>
      <c r="H128" s="76">
        <v>6.0</v>
      </c>
      <c r="I128" s="75">
        <v>46049.0</v>
      </c>
      <c r="J128" s="78">
        <v>15.26</v>
      </c>
      <c r="K128" s="76" t="s">
        <v>1</v>
      </c>
      <c r="L128" s="79" t="b">
        <v>1</v>
      </c>
      <c r="M128" s="80">
        <f t="shared" si="3"/>
        <v>46046.37759</v>
      </c>
      <c r="N128" s="79" t="b">
        <v>1</v>
      </c>
      <c r="O128" s="80">
        <f t="shared" si="2"/>
        <v>46046.3782</v>
      </c>
      <c r="P128" s="76" t="s">
        <v>1</v>
      </c>
      <c r="Q128" s="76" t="s">
        <v>38</v>
      </c>
      <c r="R128" s="76" t="b">
        <v>0</v>
      </c>
      <c r="S128" s="82" t="b">
        <v>0</v>
      </c>
      <c r="T128" s="76">
        <v>7.0</v>
      </c>
      <c r="U128" s="79" t="s">
        <v>28</v>
      </c>
      <c r="V128" s="90"/>
      <c r="W128" s="85"/>
      <c r="X128" s="74"/>
      <c r="Y128" s="74"/>
      <c r="Z128" s="74"/>
      <c r="AA128" s="74"/>
      <c r="AB128" s="74"/>
      <c r="AC128" s="74"/>
      <c r="AD128" s="74"/>
    </row>
    <row r="129">
      <c r="A129" s="75">
        <v>46045.0</v>
      </c>
      <c r="B129" s="76" t="s">
        <v>329</v>
      </c>
      <c r="C129" s="77" t="s">
        <v>330</v>
      </c>
      <c r="D129" s="76" t="s">
        <v>60</v>
      </c>
      <c r="E129" s="76" t="s">
        <v>23</v>
      </c>
      <c r="F129" s="76" t="s">
        <v>8</v>
      </c>
      <c r="G129" s="76">
        <v>1.0</v>
      </c>
      <c r="H129" s="76">
        <v>1.0</v>
      </c>
      <c r="I129" s="75">
        <v>46051.0</v>
      </c>
      <c r="J129" s="78">
        <v>15.26</v>
      </c>
      <c r="K129" s="76" t="s">
        <v>101</v>
      </c>
      <c r="L129" s="79" t="b">
        <v>1</v>
      </c>
      <c r="M129" s="80">
        <f t="shared" si="3"/>
        <v>46046.46438</v>
      </c>
      <c r="N129" s="79" t="b">
        <v>1</v>
      </c>
      <c r="O129" s="80">
        <f t="shared" si="2"/>
        <v>46046.4644</v>
      </c>
      <c r="P129" s="76" t="s">
        <v>101</v>
      </c>
      <c r="Q129" s="76" t="s">
        <v>11</v>
      </c>
      <c r="R129" s="76" t="b">
        <v>0</v>
      </c>
      <c r="S129" s="82" t="b">
        <v>0</v>
      </c>
      <c r="T129" s="76">
        <v>2.0</v>
      </c>
      <c r="U129" s="79" t="s">
        <v>96</v>
      </c>
      <c r="V129" s="90"/>
      <c r="W129" s="85"/>
      <c r="X129" s="74"/>
      <c r="Y129" s="74"/>
      <c r="Z129" s="74"/>
      <c r="AA129" s="74"/>
      <c r="AB129" s="74"/>
      <c r="AC129" s="74"/>
      <c r="AD129" s="74"/>
    </row>
    <row r="130">
      <c r="A130" s="75">
        <v>46045.0</v>
      </c>
      <c r="B130" s="76" t="s">
        <v>331</v>
      </c>
      <c r="C130" s="77" t="s">
        <v>332</v>
      </c>
      <c r="D130" s="76" t="s">
        <v>23</v>
      </c>
      <c r="E130" s="76"/>
      <c r="F130" s="76" t="s">
        <v>18</v>
      </c>
      <c r="G130" s="76">
        <v>2000.0</v>
      </c>
      <c r="H130" s="76">
        <v>1000.0</v>
      </c>
      <c r="I130" s="75">
        <v>46046.0</v>
      </c>
      <c r="J130" s="78">
        <v>17.22</v>
      </c>
      <c r="K130" s="76" t="s">
        <v>1</v>
      </c>
      <c r="L130" s="79" t="b">
        <v>1</v>
      </c>
      <c r="M130" s="80">
        <f t="shared" si="3"/>
        <v>46046.39793</v>
      </c>
      <c r="N130" s="79" t="b">
        <v>1</v>
      </c>
      <c r="O130" s="80">
        <f t="shared" si="2"/>
        <v>46046.42348</v>
      </c>
      <c r="P130" s="76" t="s">
        <v>1</v>
      </c>
      <c r="Q130" s="76" t="s">
        <v>11</v>
      </c>
      <c r="R130" s="76" t="b">
        <v>0</v>
      </c>
      <c r="S130" s="82" t="b">
        <v>0</v>
      </c>
      <c r="T130" s="76">
        <v>1008.0</v>
      </c>
      <c r="U130" s="79" t="s">
        <v>96</v>
      </c>
      <c r="V130" s="90"/>
      <c r="W130" s="85"/>
      <c r="X130" s="74"/>
      <c r="Y130" s="74"/>
      <c r="Z130" s="74"/>
      <c r="AA130" s="74"/>
      <c r="AB130" s="74"/>
      <c r="AC130" s="74"/>
      <c r="AD130" s="74"/>
    </row>
    <row r="131">
      <c r="A131" s="75">
        <v>46046.0</v>
      </c>
      <c r="B131" s="76" t="s">
        <v>333</v>
      </c>
      <c r="C131" s="77" t="s">
        <v>334</v>
      </c>
      <c r="D131" s="76" t="s">
        <v>23</v>
      </c>
      <c r="E131" s="76"/>
      <c r="F131" s="76" t="s">
        <v>8</v>
      </c>
      <c r="G131" s="76">
        <v>500.0</v>
      </c>
      <c r="H131" s="76">
        <v>250.0</v>
      </c>
      <c r="I131" s="75">
        <v>46048.0</v>
      </c>
      <c r="J131" s="78">
        <v>9.11</v>
      </c>
      <c r="K131" s="76" t="s">
        <v>101</v>
      </c>
      <c r="L131" s="79" t="b">
        <v>1</v>
      </c>
      <c r="M131" s="80">
        <f t="shared" si="3"/>
        <v>46046.46605</v>
      </c>
      <c r="N131" s="79" t="b">
        <v>1</v>
      </c>
      <c r="O131" s="80">
        <f t="shared" si="2"/>
        <v>46046.47138</v>
      </c>
      <c r="P131" s="76" t="s">
        <v>101</v>
      </c>
      <c r="Q131" s="76" t="s">
        <v>11</v>
      </c>
      <c r="R131" s="76" t="b">
        <v>0</v>
      </c>
      <c r="S131" s="82" t="b">
        <v>0</v>
      </c>
      <c r="T131" s="76">
        <v>256.0</v>
      </c>
      <c r="U131" s="79" t="s">
        <v>96</v>
      </c>
      <c r="V131" s="90"/>
      <c r="W131" s="85"/>
      <c r="X131" s="74"/>
      <c r="Y131" s="74"/>
      <c r="Z131" s="74"/>
      <c r="AA131" s="74"/>
      <c r="AB131" s="74"/>
      <c r="AC131" s="74"/>
      <c r="AD131" s="74"/>
    </row>
    <row r="132">
      <c r="A132" s="75">
        <v>46046.0</v>
      </c>
      <c r="B132" s="76" t="s">
        <v>335</v>
      </c>
      <c r="C132" s="77" t="s">
        <v>336</v>
      </c>
      <c r="D132" s="76" t="s">
        <v>23</v>
      </c>
      <c r="E132" s="76"/>
      <c r="F132" s="76" t="s">
        <v>18</v>
      </c>
      <c r="G132" s="76">
        <v>100.0</v>
      </c>
      <c r="H132" s="76">
        <v>50.0</v>
      </c>
      <c r="I132" s="75">
        <v>46046.0</v>
      </c>
      <c r="J132" s="78">
        <v>13.54</v>
      </c>
      <c r="K132" s="76" t="s">
        <v>1</v>
      </c>
      <c r="L132" s="79" t="b">
        <v>1</v>
      </c>
      <c r="M132" s="80">
        <f t="shared" si="3"/>
        <v>46046.58299</v>
      </c>
      <c r="N132" s="79" t="b">
        <v>1</v>
      </c>
      <c r="O132" s="80">
        <f t="shared" si="2"/>
        <v>46046.58531</v>
      </c>
      <c r="P132" s="76" t="s">
        <v>101</v>
      </c>
      <c r="Q132" s="76" t="s">
        <v>11</v>
      </c>
      <c r="R132" s="76" t="b">
        <v>0</v>
      </c>
      <c r="S132" s="82" t="b">
        <v>0</v>
      </c>
      <c r="T132" s="76">
        <v>56.0</v>
      </c>
      <c r="U132" s="79" t="s">
        <v>96</v>
      </c>
      <c r="V132" s="90"/>
      <c r="W132" s="85"/>
      <c r="X132" s="74"/>
      <c r="Y132" s="74"/>
      <c r="Z132" s="74"/>
      <c r="AA132" s="74"/>
      <c r="AB132" s="74"/>
      <c r="AC132" s="74"/>
      <c r="AD132" s="74"/>
    </row>
    <row r="133">
      <c r="A133" s="75">
        <v>46046.0</v>
      </c>
      <c r="B133" s="76" t="s">
        <v>337</v>
      </c>
      <c r="C133" s="77" t="s">
        <v>338</v>
      </c>
      <c r="D133" s="76" t="s">
        <v>63</v>
      </c>
      <c r="E133" s="76"/>
      <c r="F133" s="76" t="s">
        <v>8</v>
      </c>
      <c r="G133" s="76">
        <v>1800.0</v>
      </c>
      <c r="H133" s="76">
        <v>150.0</v>
      </c>
      <c r="I133" s="75">
        <v>46051.0</v>
      </c>
      <c r="J133" s="78">
        <v>13.38</v>
      </c>
      <c r="K133" s="76" t="s">
        <v>1</v>
      </c>
      <c r="L133" s="79" t="b">
        <v>1</v>
      </c>
      <c r="M133" s="80">
        <f t="shared" si="3"/>
        <v>46046.60324</v>
      </c>
      <c r="N133" s="79" t="b">
        <v>1</v>
      </c>
      <c r="O133" s="80">
        <f t="shared" si="2"/>
        <v>46046.60707</v>
      </c>
      <c r="P133" s="76" t="s">
        <v>1</v>
      </c>
      <c r="Q133" s="76" t="s">
        <v>38</v>
      </c>
      <c r="R133" s="76" t="b">
        <v>0</v>
      </c>
      <c r="S133" s="82" t="b">
        <v>0</v>
      </c>
      <c r="T133" s="76">
        <v>151.0</v>
      </c>
      <c r="U133" s="79" t="s">
        <v>28</v>
      </c>
      <c r="V133" s="90"/>
      <c r="W133" s="85"/>
      <c r="X133" s="74"/>
      <c r="Y133" s="74"/>
      <c r="Z133" s="74"/>
      <c r="AA133" s="74"/>
      <c r="AB133" s="74"/>
      <c r="AC133" s="74"/>
      <c r="AD133" s="74"/>
    </row>
    <row r="134">
      <c r="A134" s="75">
        <v>46046.0</v>
      </c>
      <c r="B134" s="76" t="s">
        <v>339</v>
      </c>
      <c r="C134" s="77" t="s">
        <v>340</v>
      </c>
      <c r="D134" s="76" t="s">
        <v>23</v>
      </c>
      <c r="E134" s="76"/>
      <c r="F134" s="76" t="s">
        <v>8</v>
      </c>
      <c r="G134" s="76">
        <v>500.0</v>
      </c>
      <c r="H134" s="76">
        <v>125.0</v>
      </c>
      <c r="I134" s="75">
        <v>46051.0</v>
      </c>
      <c r="J134" s="78">
        <v>13.54</v>
      </c>
      <c r="K134" s="76" t="s">
        <v>1</v>
      </c>
      <c r="L134" s="79" t="b">
        <v>1</v>
      </c>
      <c r="M134" s="80">
        <f t="shared" si="3"/>
        <v>46046.61218</v>
      </c>
      <c r="N134" s="79" t="b">
        <v>1</v>
      </c>
      <c r="O134" s="80">
        <f t="shared" si="2"/>
        <v>46046.6209</v>
      </c>
      <c r="P134" s="76" t="s">
        <v>1</v>
      </c>
      <c r="Q134" s="76" t="s">
        <v>11</v>
      </c>
      <c r="R134" s="76" t="b">
        <v>0</v>
      </c>
      <c r="S134" s="82" t="b">
        <v>0</v>
      </c>
      <c r="T134" s="76">
        <v>128.0</v>
      </c>
      <c r="U134" s="79" t="s">
        <v>96</v>
      </c>
      <c r="V134" s="90"/>
      <c r="W134" s="85"/>
      <c r="X134" s="74"/>
      <c r="Y134" s="74"/>
      <c r="Z134" s="74"/>
      <c r="AA134" s="74"/>
      <c r="AB134" s="74"/>
      <c r="AC134" s="74"/>
      <c r="AD134" s="74"/>
    </row>
    <row r="135">
      <c r="A135" s="75">
        <v>46046.0</v>
      </c>
      <c r="B135" s="76" t="s">
        <v>341</v>
      </c>
      <c r="C135" s="77" t="s">
        <v>342</v>
      </c>
      <c r="D135" s="76" t="s">
        <v>16</v>
      </c>
      <c r="E135" s="76"/>
      <c r="F135" s="76" t="s">
        <v>8</v>
      </c>
      <c r="G135" s="76">
        <v>200.0</v>
      </c>
      <c r="H135" s="76">
        <v>10.0</v>
      </c>
      <c r="I135" s="75">
        <v>46050.0</v>
      </c>
      <c r="J135" s="78">
        <v>16.13</v>
      </c>
      <c r="K135" s="76" t="s">
        <v>1</v>
      </c>
      <c r="L135" s="79" t="b">
        <v>1</v>
      </c>
      <c r="M135" s="80">
        <f t="shared" si="3"/>
        <v>46046.70476</v>
      </c>
      <c r="N135" s="79" t="b">
        <v>1</v>
      </c>
      <c r="O135" s="80">
        <f t="shared" si="2"/>
        <v>46046.70765</v>
      </c>
      <c r="P135" s="76" t="s">
        <v>1</v>
      </c>
      <c r="Q135" s="76" t="s">
        <v>11</v>
      </c>
      <c r="R135" s="76" t="b">
        <v>0</v>
      </c>
      <c r="S135" s="82" t="b">
        <v>0</v>
      </c>
      <c r="T135" s="76">
        <v>16.0</v>
      </c>
      <c r="U135" s="79" t="s">
        <v>96</v>
      </c>
      <c r="V135" s="90"/>
      <c r="W135" s="85"/>
      <c r="X135" s="74"/>
      <c r="Y135" s="74"/>
      <c r="Z135" s="74"/>
      <c r="AA135" s="74"/>
      <c r="AB135" s="74"/>
      <c r="AC135" s="74"/>
      <c r="AD135" s="74"/>
    </row>
    <row r="136">
      <c r="A136" s="75">
        <v>46046.0</v>
      </c>
      <c r="B136" s="76" t="s">
        <v>343</v>
      </c>
      <c r="C136" s="77" t="s">
        <v>344</v>
      </c>
      <c r="D136" s="76" t="s">
        <v>16</v>
      </c>
      <c r="E136" s="76"/>
      <c r="F136" s="76" t="s">
        <v>8</v>
      </c>
      <c r="G136" s="76">
        <v>200.0</v>
      </c>
      <c r="H136" s="76">
        <v>10.0</v>
      </c>
      <c r="I136" s="75">
        <v>46050.0</v>
      </c>
      <c r="J136" s="78">
        <v>16.13</v>
      </c>
      <c r="K136" s="76" t="s">
        <v>1</v>
      </c>
      <c r="L136" s="79" t="b">
        <v>1</v>
      </c>
      <c r="M136" s="80">
        <f t="shared" si="3"/>
        <v>46046.70838</v>
      </c>
      <c r="N136" s="79" t="b">
        <v>1</v>
      </c>
      <c r="O136" s="80">
        <f t="shared" si="2"/>
        <v>46046.72011</v>
      </c>
      <c r="P136" s="76" t="s">
        <v>1</v>
      </c>
      <c r="Q136" s="76" t="s">
        <v>11</v>
      </c>
      <c r="R136" s="76" t="b">
        <v>0</v>
      </c>
      <c r="S136" s="82" t="b">
        <v>0</v>
      </c>
      <c r="T136" s="76">
        <v>16.0</v>
      </c>
      <c r="U136" s="79" t="s">
        <v>96</v>
      </c>
      <c r="V136" s="90"/>
      <c r="W136" s="85"/>
      <c r="X136" s="74"/>
      <c r="Y136" s="74"/>
      <c r="Z136" s="74"/>
      <c r="AA136" s="74"/>
      <c r="AB136" s="74"/>
      <c r="AC136" s="74"/>
      <c r="AD136" s="74"/>
    </row>
    <row r="137">
      <c r="A137" s="75">
        <v>46048.0</v>
      </c>
      <c r="B137" s="76" t="s">
        <v>345</v>
      </c>
      <c r="C137" s="77" t="s">
        <v>346</v>
      </c>
      <c r="D137" s="76" t="s">
        <v>23</v>
      </c>
      <c r="E137" s="76"/>
      <c r="F137" s="76" t="s">
        <v>8</v>
      </c>
      <c r="G137" s="76">
        <v>100.0</v>
      </c>
      <c r="H137" s="76">
        <v>20.0</v>
      </c>
      <c r="I137" s="75">
        <v>46052.0</v>
      </c>
      <c r="J137" s="78">
        <v>10.46</v>
      </c>
      <c r="K137" s="76" t="s">
        <v>101</v>
      </c>
      <c r="L137" s="79" t="b">
        <v>1</v>
      </c>
      <c r="M137" s="80">
        <f t="shared" si="3"/>
        <v>46048.48073</v>
      </c>
      <c r="N137" s="79" t="b">
        <v>1</v>
      </c>
      <c r="O137" s="80">
        <f t="shared" si="2"/>
        <v>46048.48179</v>
      </c>
      <c r="P137" s="76" t="s">
        <v>101</v>
      </c>
      <c r="Q137" s="76" t="s">
        <v>11</v>
      </c>
      <c r="R137" s="76" t="b">
        <v>0</v>
      </c>
      <c r="S137" s="82" t="b">
        <v>0</v>
      </c>
      <c r="T137" s="76">
        <v>24.0</v>
      </c>
      <c r="U137" s="79" t="s">
        <v>96</v>
      </c>
      <c r="V137" s="90"/>
      <c r="W137" s="85"/>
      <c r="X137" s="74"/>
      <c r="Y137" s="74"/>
      <c r="Z137" s="74"/>
      <c r="AA137" s="74"/>
      <c r="AB137" s="74"/>
      <c r="AC137" s="74"/>
      <c r="AD137" s="74"/>
    </row>
    <row r="138">
      <c r="A138" s="75">
        <v>46048.0</v>
      </c>
      <c r="B138" s="76" t="s">
        <v>347</v>
      </c>
      <c r="C138" s="77" t="s">
        <v>348</v>
      </c>
      <c r="D138" s="76" t="s">
        <v>43</v>
      </c>
      <c r="E138" s="76"/>
      <c r="F138" s="76" t="s">
        <v>8</v>
      </c>
      <c r="G138" s="76">
        <v>600.0</v>
      </c>
      <c r="H138" s="76">
        <v>12.0</v>
      </c>
      <c r="I138" s="75">
        <v>46050.0</v>
      </c>
      <c r="J138" s="78">
        <v>10.48</v>
      </c>
      <c r="K138" s="76" t="s">
        <v>101</v>
      </c>
      <c r="L138" s="79" t="b">
        <v>1</v>
      </c>
      <c r="M138" s="80">
        <f t="shared" si="3"/>
        <v>46048.54852</v>
      </c>
      <c r="N138" s="79" t="b">
        <v>1</v>
      </c>
      <c r="O138" s="80">
        <f t="shared" si="2"/>
        <v>46048.55065</v>
      </c>
      <c r="P138" s="76" t="s">
        <v>101</v>
      </c>
      <c r="Q138" s="76" t="s">
        <v>38</v>
      </c>
      <c r="R138" s="76" t="b">
        <v>0</v>
      </c>
      <c r="S138" s="82" t="b">
        <v>0</v>
      </c>
      <c r="T138" s="76">
        <v>24.0</v>
      </c>
      <c r="U138" s="79" t="s">
        <v>28</v>
      </c>
      <c r="V138" s="90"/>
      <c r="W138" s="84"/>
      <c r="X138" s="74"/>
      <c r="Y138" s="74"/>
      <c r="Z138" s="74"/>
      <c r="AA138" s="74"/>
      <c r="AB138" s="74"/>
      <c r="AC138" s="74"/>
      <c r="AD138" s="74"/>
    </row>
    <row r="139">
      <c r="A139" s="75">
        <v>46048.0</v>
      </c>
      <c r="B139" s="76" t="s">
        <v>349</v>
      </c>
      <c r="C139" s="77" t="s">
        <v>350</v>
      </c>
      <c r="D139" s="76" t="s">
        <v>49</v>
      </c>
      <c r="E139" s="76"/>
      <c r="F139" s="76" t="s">
        <v>8</v>
      </c>
      <c r="G139" s="76">
        <v>200.0</v>
      </c>
      <c r="H139" s="76">
        <v>100.0</v>
      </c>
      <c r="I139" s="75">
        <v>46056.0</v>
      </c>
      <c r="J139" s="78">
        <v>11.54</v>
      </c>
      <c r="K139" s="76" t="s">
        <v>1</v>
      </c>
      <c r="L139" s="79" t="b">
        <v>1</v>
      </c>
      <c r="M139" s="80">
        <f t="shared" si="3"/>
        <v>46049.43657</v>
      </c>
      <c r="N139" s="79" t="b">
        <v>1</v>
      </c>
      <c r="O139" s="80">
        <f t="shared" si="2"/>
        <v>46049.44136</v>
      </c>
      <c r="P139" s="76" t="s">
        <v>101</v>
      </c>
      <c r="Q139" s="76" t="s">
        <v>11</v>
      </c>
      <c r="R139" s="76" t="b">
        <v>0</v>
      </c>
      <c r="S139" s="82" t="b">
        <v>0</v>
      </c>
      <c r="T139" s="76">
        <v>131.0</v>
      </c>
      <c r="U139" s="79" t="s">
        <v>96</v>
      </c>
      <c r="V139" s="90"/>
      <c r="W139" s="85"/>
      <c r="X139" s="74"/>
      <c r="Y139" s="74"/>
      <c r="Z139" s="74"/>
      <c r="AA139" s="74"/>
      <c r="AB139" s="74"/>
      <c r="AC139" s="74"/>
      <c r="AD139" s="74"/>
    </row>
    <row r="140">
      <c r="A140" s="75">
        <v>46048.0</v>
      </c>
      <c r="B140" s="76" t="s">
        <v>351</v>
      </c>
      <c r="C140" s="77" t="s">
        <v>352</v>
      </c>
      <c r="D140" s="76" t="s">
        <v>23</v>
      </c>
      <c r="E140" s="76"/>
      <c r="F140" s="76" t="s">
        <v>8</v>
      </c>
      <c r="G140" s="76">
        <v>2000.0</v>
      </c>
      <c r="H140" s="76">
        <v>500.0</v>
      </c>
      <c r="I140" s="75">
        <v>46050.0</v>
      </c>
      <c r="J140" s="78">
        <v>13.38</v>
      </c>
      <c r="K140" s="76" t="s">
        <v>101</v>
      </c>
      <c r="L140" s="79" t="b">
        <v>1</v>
      </c>
      <c r="M140" s="80">
        <f t="shared" si="3"/>
        <v>46048.62264</v>
      </c>
      <c r="N140" s="79" t="b">
        <v>1</v>
      </c>
      <c r="O140" s="80">
        <f t="shared" si="2"/>
        <v>46048.63617</v>
      </c>
      <c r="P140" s="76" t="s">
        <v>101</v>
      </c>
      <c r="Q140" s="76" t="s">
        <v>11</v>
      </c>
      <c r="R140" s="76" t="b">
        <v>0</v>
      </c>
      <c r="S140" s="82" t="b">
        <v>0</v>
      </c>
      <c r="T140" s="76">
        <v>508.0</v>
      </c>
      <c r="U140" s="79" t="s">
        <v>96</v>
      </c>
      <c r="V140" s="83" t="s">
        <v>160</v>
      </c>
      <c r="W140" s="85"/>
      <c r="X140" s="74"/>
      <c r="Y140" s="74"/>
      <c r="Z140" s="74"/>
      <c r="AA140" s="74"/>
      <c r="AB140" s="74"/>
      <c r="AC140" s="74"/>
      <c r="AD140" s="74"/>
    </row>
    <row r="141">
      <c r="A141" s="75">
        <v>46048.0</v>
      </c>
      <c r="B141" s="76" t="s">
        <v>353</v>
      </c>
      <c r="C141" s="77" t="s">
        <v>354</v>
      </c>
      <c r="D141" s="76" t="s">
        <v>23</v>
      </c>
      <c r="E141" s="76"/>
      <c r="F141" s="76" t="s">
        <v>8</v>
      </c>
      <c r="G141" s="76">
        <v>500.0</v>
      </c>
      <c r="H141" s="76">
        <v>500.0</v>
      </c>
      <c r="I141" s="75">
        <v>46053.0</v>
      </c>
      <c r="J141" s="78">
        <v>13.38</v>
      </c>
      <c r="K141" s="76" t="s">
        <v>101</v>
      </c>
      <c r="L141" s="79" t="b">
        <v>1</v>
      </c>
      <c r="M141" s="80">
        <f t="shared" si="3"/>
        <v>46048.6433</v>
      </c>
      <c r="N141" s="79" t="b">
        <v>1</v>
      </c>
      <c r="O141" s="80">
        <f t="shared" si="2"/>
        <v>46048.66364</v>
      </c>
      <c r="P141" s="76" t="s">
        <v>101</v>
      </c>
      <c r="Q141" s="76" t="s">
        <v>11</v>
      </c>
      <c r="R141" s="76" t="b">
        <v>0</v>
      </c>
      <c r="S141" s="82" t="b">
        <v>0</v>
      </c>
      <c r="T141" s="76">
        <v>512.0</v>
      </c>
      <c r="U141" s="79" t="s">
        <v>96</v>
      </c>
      <c r="V141" s="90"/>
      <c r="W141" s="85"/>
      <c r="X141" s="74"/>
      <c r="Y141" s="74"/>
      <c r="Z141" s="74"/>
      <c r="AA141" s="74"/>
      <c r="AB141" s="74"/>
      <c r="AC141" s="74"/>
      <c r="AD141" s="74"/>
    </row>
    <row r="142">
      <c r="A142" s="75">
        <v>46048.0</v>
      </c>
      <c r="B142" s="76" t="s">
        <v>355</v>
      </c>
      <c r="C142" s="77" t="s">
        <v>356</v>
      </c>
      <c r="D142" s="76" t="s">
        <v>23</v>
      </c>
      <c r="E142" s="76"/>
      <c r="F142" s="76" t="s">
        <v>8</v>
      </c>
      <c r="G142" s="76">
        <v>200.0</v>
      </c>
      <c r="H142" s="76">
        <v>50.0</v>
      </c>
      <c r="I142" s="75">
        <v>46049.0</v>
      </c>
      <c r="J142" s="78">
        <v>15.28</v>
      </c>
      <c r="K142" s="76" t="s">
        <v>101</v>
      </c>
      <c r="L142" s="79" t="b">
        <v>1</v>
      </c>
      <c r="M142" s="80">
        <f t="shared" si="3"/>
        <v>46048.67635</v>
      </c>
      <c r="N142" s="79" t="b">
        <v>1</v>
      </c>
      <c r="O142" s="80">
        <f t="shared" si="2"/>
        <v>46048.67781</v>
      </c>
      <c r="P142" s="76" t="s">
        <v>101</v>
      </c>
      <c r="Q142" s="76" t="s">
        <v>11</v>
      </c>
      <c r="R142" s="76" t="b">
        <v>0</v>
      </c>
      <c r="S142" s="82" t="b">
        <v>0</v>
      </c>
      <c r="T142" s="76">
        <v>56.0</v>
      </c>
      <c r="U142" s="79" t="s">
        <v>96</v>
      </c>
      <c r="V142" s="90"/>
      <c r="W142" s="85"/>
      <c r="X142" s="74"/>
      <c r="Y142" s="74"/>
      <c r="Z142" s="74"/>
      <c r="AA142" s="74"/>
      <c r="AB142" s="74"/>
      <c r="AC142" s="74"/>
      <c r="AD142" s="74"/>
    </row>
    <row r="143">
      <c r="A143" s="75">
        <v>46049.0</v>
      </c>
      <c r="B143" s="76" t="s">
        <v>357</v>
      </c>
      <c r="C143" s="77" t="s">
        <v>358</v>
      </c>
      <c r="D143" s="76" t="s">
        <v>23</v>
      </c>
      <c r="E143" s="76"/>
      <c r="F143" s="76" t="s">
        <v>8</v>
      </c>
      <c r="G143" s="76">
        <v>100.0</v>
      </c>
      <c r="H143" s="76">
        <v>100.0</v>
      </c>
      <c r="I143" s="75">
        <v>46052.0</v>
      </c>
      <c r="J143" s="78">
        <v>9.35</v>
      </c>
      <c r="K143" s="76" t="s">
        <v>101</v>
      </c>
      <c r="L143" s="79" t="b">
        <v>1</v>
      </c>
      <c r="M143" s="80">
        <f t="shared" si="3"/>
        <v>46049.44655</v>
      </c>
      <c r="N143" s="79" t="b">
        <v>1</v>
      </c>
      <c r="O143" s="80">
        <f t="shared" si="2"/>
        <v>46049.46311</v>
      </c>
      <c r="P143" s="76" t="s">
        <v>101</v>
      </c>
      <c r="Q143" s="76" t="s">
        <v>11</v>
      </c>
      <c r="R143" s="76" t="b">
        <v>0</v>
      </c>
      <c r="S143" s="82" t="b">
        <v>0</v>
      </c>
      <c r="T143" s="76">
        <v>111.0</v>
      </c>
      <c r="U143" s="79" t="s">
        <v>96</v>
      </c>
      <c r="V143" s="83" t="s">
        <v>160</v>
      </c>
      <c r="W143" s="85"/>
      <c r="X143" s="74"/>
      <c r="Y143" s="74"/>
      <c r="Z143" s="74"/>
      <c r="AA143" s="74"/>
      <c r="AB143" s="74"/>
      <c r="AC143" s="74"/>
      <c r="AD143" s="74"/>
    </row>
    <row r="144">
      <c r="A144" s="75">
        <v>46049.0</v>
      </c>
      <c r="B144" s="76" t="s">
        <v>359</v>
      </c>
      <c r="C144" s="77" t="s">
        <v>360</v>
      </c>
      <c r="D144" s="76" t="s">
        <v>49</v>
      </c>
      <c r="E144" s="76"/>
      <c r="F144" s="76" t="s">
        <v>361</v>
      </c>
      <c r="G144" s="76">
        <v>1.0</v>
      </c>
      <c r="H144" s="76">
        <v>2.0</v>
      </c>
      <c r="I144" s="75">
        <v>46050.0</v>
      </c>
      <c r="J144" s="78">
        <v>9.56</v>
      </c>
      <c r="K144" s="76" t="s">
        <v>1</v>
      </c>
      <c r="L144" s="79" t="b">
        <v>1</v>
      </c>
      <c r="M144" s="80">
        <f t="shared" si="3"/>
        <v>46049.58344</v>
      </c>
      <c r="N144" s="79" t="b">
        <v>1</v>
      </c>
      <c r="O144" s="80">
        <f t="shared" si="2"/>
        <v>46049.58446</v>
      </c>
      <c r="P144" s="76" t="s">
        <v>1</v>
      </c>
      <c r="Q144" s="76" t="s">
        <v>11</v>
      </c>
      <c r="R144" s="76" t="b">
        <v>0</v>
      </c>
      <c r="S144" s="82" t="b">
        <v>0</v>
      </c>
      <c r="T144" s="76">
        <v>10.0</v>
      </c>
      <c r="U144" s="79" t="s">
        <v>96</v>
      </c>
      <c r="V144" s="90"/>
      <c r="W144" s="85"/>
      <c r="X144" s="74"/>
      <c r="Y144" s="74"/>
      <c r="Z144" s="74"/>
      <c r="AA144" s="74"/>
      <c r="AB144" s="74"/>
      <c r="AC144" s="74"/>
      <c r="AD144" s="74"/>
    </row>
    <row r="145">
      <c r="A145" s="75">
        <v>46049.0</v>
      </c>
      <c r="B145" s="76" t="s">
        <v>362</v>
      </c>
      <c r="C145" s="77" t="s">
        <v>363</v>
      </c>
      <c r="D145" s="76" t="s">
        <v>23</v>
      </c>
      <c r="E145" s="76"/>
      <c r="F145" s="76" t="s">
        <v>8</v>
      </c>
      <c r="G145" s="76">
        <v>200.0</v>
      </c>
      <c r="H145" s="76">
        <v>50.0</v>
      </c>
      <c r="I145" s="75">
        <v>46051.0</v>
      </c>
      <c r="J145" s="78">
        <v>11.08</v>
      </c>
      <c r="K145" s="76" t="s">
        <v>101</v>
      </c>
      <c r="L145" s="79" t="b">
        <v>1</v>
      </c>
      <c r="M145" s="80">
        <f t="shared" si="3"/>
        <v>46049.47455</v>
      </c>
      <c r="N145" s="79" t="b">
        <v>1</v>
      </c>
      <c r="O145" s="80">
        <f t="shared" si="2"/>
        <v>46049.47562</v>
      </c>
      <c r="P145" s="76" t="s">
        <v>101</v>
      </c>
      <c r="Q145" s="76" t="s">
        <v>11</v>
      </c>
      <c r="R145" s="76" t="b">
        <v>0</v>
      </c>
      <c r="S145" s="82" t="b">
        <v>0</v>
      </c>
      <c r="T145" s="76">
        <v>56.0</v>
      </c>
      <c r="U145" s="79" t="s">
        <v>96</v>
      </c>
      <c r="V145" s="90"/>
      <c r="W145" s="85"/>
      <c r="X145" s="74"/>
      <c r="Y145" s="74"/>
      <c r="Z145" s="74"/>
      <c r="AA145" s="74"/>
      <c r="AB145" s="74"/>
      <c r="AC145" s="74"/>
      <c r="AD145" s="74"/>
    </row>
    <row r="146">
      <c r="A146" s="75">
        <v>46049.0</v>
      </c>
      <c r="B146" s="76" t="s">
        <v>364</v>
      </c>
      <c r="C146" s="77" t="s">
        <v>365</v>
      </c>
      <c r="D146" s="76" t="s">
        <v>23</v>
      </c>
      <c r="E146" s="76"/>
      <c r="F146" s="76" t="s">
        <v>8</v>
      </c>
      <c r="G146" s="76">
        <v>400.0</v>
      </c>
      <c r="H146" s="76">
        <v>100.0</v>
      </c>
      <c r="I146" s="75">
        <v>46053.0</v>
      </c>
      <c r="J146" s="78">
        <v>11.08</v>
      </c>
      <c r="K146" s="76" t="s">
        <v>101</v>
      </c>
      <c r="L146" s="79" t="b">
        <v>1</v>
      </c>
      <c r="M146" s="80">
        <f t="shared" si="3"/>
        <v>46049.47565</v>
      </c>
      <c r="N146" s="79" t="b">
        <v>1</v>
      </c>
      <c r="O146" s="80">
        <f t="shared" si="2"/>
        <v>46049.48241</v>
      </c>
      <c r="P146" s="76" t="s">
        <v>101</v>
      </c>
      <c r="Q146" s="76" t="s">
        <v>11</v>
      </c>
      <c r="R146" s="76" t="b">
        <v>0</v>
      </c>
      <c r="S146" s="82" t="b">
        <v>0</v>
      </c>
      <c r="T146" s="76">
        <v>108.0</v>
      </c>
      <c r="U146" s="79" t="s">
        <v>96</v>
      </c>
      <c r="V146" s="83" t="s">
        <v>160</v>
      </c>
      <c r="W146" s="85"/>
      <c r="X146" s="74"/>
      <c r="Y146" s="74"/>
      <c r="Z146" s="74"/>
      <c r="AA146" s="74"/>
      <c r="AB146" s="74"/>
      <c r="AC146" s="74"/>
      <c r="AD146" s="74"/>
    </row>
    <row r="147">
      <c r="A147" s="75">
        <v>46049.0</v>
      </c>
      <c r="B147" s="76" t="s">
        <v>366</v>
      </c>
      <c r="C147" s="77" t="s">
        <v>367</v>
      </c>
      <c r="D147" s="76" t="s">
        <v>23</v>
      </c>
      <c r="E147" s="76"/>
      <c r="F147" s="76" t="s">
        <v>18</v>
      </c>
      <c r="G147" s="76">
        <v>1000.0</v>
      </c>
      <c r="H147" s="76">
        <v>250.0</v>
      </c>
      <c r="I147" s="75">
        <v>46049.0</v>
      </c>
      <c r="J147" s="78">
        <v>11.41</v>
      </c>
      <c r="K147" s="76" t="s">
        <v>101</v>
      </c>
      <c r="L147" s="79" t="b">
        <v>1</v>
      </c>
      <c r="M147" s="80">
        <f t="shared" si="3"/>
        <v>46049.4924</v>
      </c>
      <c r="N147" s="79" t="b">
        <v>1</v>
      </c>
      <c r="O147" s="80">
        <f t="shared" si="2"/>
        <v>46049.49871</v>
      </c>
      <c r="P147" s="76" t="s">
        <v>101</v>
      </c>
      <c r="Q147" s="76" t="s">
        <v>11</v>
      </c>
      <c r="R147" s="76" t="b">
        <v>0</v>
      </c>
      <c r="S147" s="82" t="b">
        <v>0</v>
      </c>
      <c r="T147" s="76">
        <v>256.0</v>
      </c>
      <c r="U147" s="79" t="s">
        <v>96</v>
      </c>
      <c r="V147" s="83" t="s">
        <v>160</v>
      </c>
      <c r="W147" s="85"/>
      <c r="X147" s="74"/>
      <c r="Y147" s="74"/>
      <c r="Z147" s="74"/>
      <c r="AA147" s="74"/>
      <c r="AB147" s="74"/>
      <c r="AC147" s="74"/>
      <c r="AD147" s="74"/>
    </row>
    <row r="148">
      <c r="A148" s="75">
        <v>46049.0</v>
      </c>
      <c r="B148" s="76" t="s">
        <v>368</v>
      </c>
      <c r="C148" s="77" t="s">
        <v>369</v>
      </c>
      <c r="D148" s="76" t="s">
        <v>23</v>
      </c>
      <c r="E148" s="76"/>
      <c r="F148" s="76" t="s">
        <v>8</v>
      </c>
      <c r="G148" s="76">
        <v>500.0</v>
      </c>
      <c r="H148" s="76">
        <v>125.0</v>
      </c>
      <c r="I148" s="75">
        <v>46050.0</v>
      </c>
      <c r="J148" s="78">
        <v>15.08</v>
      </c>
      <c r="K148" s="76" t="s">
        <v>101</v>
      </c>
      <c r="L148" s="79" t="b">
        <v>1</v>
      </c>
      <c r="M148" s="80">
        <f t="shared" si="3"/>
        <v>46049.6358</v>
      </c>
      <c r="N148" s="79" t="b">
        <v>1</v>
      </c>
      <c r="O148" s="80">
        <f t="shared" si="2"/>
        <v>46049.63949</v>
      </c>
      <c r="P148" s="76" t="s">
        <v>101</v>
      </c>
      <c r="Q148" s="76" t="s">
        <v>11</v>
      </c>
      <c r="R148" s="76" t="b">
        <v>0</v>
      </c>
      <c r="S148" s="82" t="b">
        <v>0</v>
      </c>
      <c r="T148" s="76">
        <v>128.0</v>
      </c>
      <c r="U148" s="79" t="s">
        <v>96</v>
      </c>
      <c r="V148" s="90"/>
      <c r="W148" s="85"/>
      <c r="X148" s="74"/>
      <c r="Y148" s="74"/>
      <c r="Z148" s="74"/>
      <c r="AA148" s="74"/>
      <c r="AB148" s="74"/>
      <c r="AC148" s="74"/>
      <c r="AD148" s="74"/>
    </row>
    <row r="149">
      <c r="A149" s="75">
        <v>46050.0</v>
      </c>
      <c r="B149" s="76" t="s">
        <v>370</v>
      </c>
      <c r="C149" s="77" t="s">
        <v>371</v>
      </c>
      <c r="D149" s="76" t="s">
        <v>23</v>
      </c>
      <c r="E149" s="76"/>
      <c r="F149" s="76" t="s">
        <v>18</v>
      </c>
      <c r="G149" s="76">
        <v>1000.0</v>
      </c>
      <c r="H149" s="76">
        <v>250.0</v>
      </c>
      <c r="I149" s="75">
        <v>46050.0</v>
      </c>
      <c r="J149" s="78">
        <v>9.25</v>
      </c>
      <c r="K149" s="76" t="s">
        <v>101</v>
      </c>
      <c r="L149" s="79" t="b">
        <v>1</v>
      </c>
      <c r="M149" s="80">
        <f t="shared" si="3"/>
        <v>46050.41348</v>
      </c>
      <c r="N149" s="79" t="b">
        <v>1</v>
      </c>
      <c r="O149" s="80">
        <f t="shared" si="2"/>
        <v>46050.42017</v>
      </c>
      <c r="P149" s="76" t="s">
        <v>101</v>
      </c>
      <c r="Q149" s="76" t="s">
        <v>11</v>
      </c>
      <c r="R149" s="76" t="b">
        <v>1</v>
      </c>
      <c r="S149" s="82" t="b">
        <v>0</v>
      </c>
      <c r="T149" s="76">
        <v>256.0</v>
      </c>
      <c r="U149" s="79" t="s">
        <v>96</v>
      </c>
      <c r="V149" s="90"/>
      <c r="W149" s="85"/>
      <c r="X149" s="74"/>
      <c r="Y149" s="74"/>
      <c r="Z149" s="74"/>
      <c r="AA149" s="74"/>
      <c r="AB149" s="74"/>
      <c r="AC149" s="74"/>
      <c r="AD149" s="74"/>
    </row>
    <row r="150">
      <c r="A150" s="75">
        <v>46050.0</v>
      </c>
      <c r="B150" s="76" t="s">
        <v>372</v>
      </c>
      <c r="C150" s="77" t="s">
        <v>373</v>
      </c>
      <c r="D150" s="76" t="s">
        <v>23</v>
      </c>
      <c r="E150" s="76"/>
      <c r="F150" s="76" t="s">
        <v>18</v>
      </c>
      <c r="G150" s="76">
        <v>300.0</v>
      </c>
      <c r="H150" s="76">
        <v>150.0</v>
      </c>
      <c r="I150" s="75">
        <v>46051.0</v>
      </c>
      <c r="J150" s="78">
        <v>14.59</v>
      </c>
      <c r="K150" s="76" t="s">
        <v>101</v>
      </c>
      <c r="L150" s="79" t="b">
        <v>1</v>
      </c>
      <c r="M150" s="80">
        <f t="shared" si="3"/>
        <v>46050.66707</v>
      </c>
      <c r="N150" s="79" t="b">
        <v>1</v>
      </c>
      <c r="O150" s="80">
        <f t="shared" si="2"/>
        <v>46050.67368</v>
      </c>
      <c r="P150" s="76" t="s">
        <v>101</v>
      </c>
      <c r="Q150" s="76" t="s">
        <v>11</v>
      </c>
      <c r="R150" s="76" t="b">
        <v>0</v>
      </c>
      <c r="S150" s="82" t="b">
        <v>0</v>
      </c>
      <c r="T150" s="76">
        <v>160.0</v>
      </c>
      <c r="U150" s="79" t="s">
        <v>96</v>
      </c>
      <c r="V150" s="90"/>
      <c r="W150" s="85"/>
      <c r="X150" s="74"/>
      <c r="Y150" s="74"/>
      <c r="Z150" s="74"/>
      <c r="AA150" s="74"/>
      <c r="AB150" s="74"/>
      <c r="AC150" s="74"/>
      <c r="AD150" s="74"/>
    </row>
    <row r="151">
      <c r="A151" s="75">
        <v>46050.0</v>
      </c>
      <c r="B151" s="76" t="s">
        <v>374</v>
      </c>
      <c r="C151" s="77" t="s">
        <v>375</v>
      </c>
      <c r="D151" s="76" t="s">
        <v>23</v>
      </c>
      <c r="E151" s="76"/>
      <c r="F151" s="76" t="s">
        <v>8</v>
      </c>
      <c r="G151" s="76">
        <v>100.0</v>
      </c>
      <c r="H151" s="76">
        <v>25.0</v>
      </c>
      <c r="I151" s="75">
        <v>46053.0</v>
      </c>
      <c r="J151" s="78">
        <v>14.59</v>
      </c>
      <c r="K151" s="76" t="s">
        <v>1</v>
      </c>
      <c r="L151" s="79" t="b">
        <v>1</v>
      </c>
      <c r="M151" s="80">
        <f t="shared" si="3"/>
        <v>46051.44922</v>
      </c>
      <c r="N151" s="79" t="b">
        <v>1</v>
      </c>
      <c r="O151" s="80">
        <f t="shared" si="2"/>
        <v>46051.44922</v>
      </c>
      <c r="P151" s="76" t="s">
        <v>1</v>
      </c>
      <c r="Q151" s="76" t="s">
        <v>38</v>
      </c>
      <c r="R151" s="76" t="b">
        <v>0</v>
      </c>
      <c r="S151" s="82" t="b">
        <v>0</v>
      </c>
      <c r="T151" s="76">
        <v>32.0</v>
      </c>
      <c r="U151" s="79" t="s">
        <v>96</v>
      </c>
      <c r="V151" s="90"/>
      <c r="W151" s="85"/>
      <c r="X151" s="74"/>
      <c r="Y151" s="74"/>
      <c r="Z151" s="74"/>
      <c r="AA151" s="74"/>
      <c r="AB151" s="74"/>
      <c r="AC151" s="74"/>
      <c r="AD151" s="74"/>
    </row>
    <row r="152">
      <c r="A152" s="75">
        <v>46050.0</v>
      </c>
      <c r="B152" s="76" t="s">
        <v>376</v>
      </c>
      <c r="C152" s="77" t="s">
        <v>377</v>
      </c>
      <c r="D152" s="76" t="s">
        <v>23</v>
      </c>
      <c r="E152" s="76"/>
      <c r="F152" s="76" t="s">
        <v>18</v>
      </c>
      <c r="G152" s="76">
        <v>300.0</v>
      </c>
      <c r="H152" s="76">
        <v>75.0</v>
      </c>
      <c r="I152" s="75">
        <v>46050.0</v>
      </c>
      <c r="J152" s="78">
        <v>15.21</v>
      </c>
      <c r="K152" s="76" t="s">
        <v>101</v>
      </c>
      <c r="L152" s="79" t="b">
        <v>1</v>
      </c>
      <c r="M152" s="80">
        <f t="shared" si="3"/>
        <v>46050.662</v>
      </c>
      <c r="N152" s="79" t="b">
        <v>1</v>
      </c>
      <c r="O152" s="80">
        <f t="shared" si="2"/>
        <v>46050.66584</v>
      </c>
      <c r="P152" s="76" t="s">
        <v>101</v>
      </c>
      <c r="Q152" s="76" t="s">
        <v>11</v>
      </c>
      <c r="R152" s="76" t="b">
        <v>0</v>
      </c>
      <c r="S152" s="82" t="b">
        <v>0</v>
      </c>
      <c r="T152" s="76">
        <v>80.0</v>
      </c>
      <c r="U152" s="79" t="s">
        <v>96</v>
      </c>
      <c r="V152" s="90"/>
      <c r="W152" s="85"/>
      <c r="X152" s="74"/>
      <c r="Y152" s="74"/>
      <c r="Z152" s="74"/>
      <c r="AA152" s="74"/>
      <c r="AB152" s="74"/>
      <c r="AC152" s="74"/>
      <c r="AD152" s="74"/>
    </row>
    <row r="153">
      <c r="A153" s="75">
        <v>46050.0</v>
      </c>
      <c r="B153" s="76" t="s">
        <v>378</v>
      </c>
      <c r="C153" s="77" t="s">
        <v>379</v>
      </c>
      <c r="D153" s="76" t="s">
        <v>60</v>
      </c>
      <c r="E153" s="76"/>
      <c r="F153" s="76" t="s">
        <v>8</v>
      </c>
      <c r="G153" s="76">
        <v>1000.0</v>
      </c>
      <c r="H153" s="76">
        <v>500.0</v>
      </c>
      <c r="I153" s="75">
        <v>46057.0</v>
      </c>
      <c r="J153" s="78">
        <v>15.21</v>
      </c>
      <c r="K153" s="76" t="s">
        <v>101</v>
      </c>
      <c r="L153" s="79" t="b">
        <v>1</v>
      </c>
      <c r="M153" s="80">
        <f t="shared" si="3"/>
        <v>46051.58563</v>
      </c>
      <c r="N153" s="79" t="b">
        <v>1</v>
      </c>
      <c r="O153" s="80">
        <f t="shared" si="2"/>
        <v>46051.59745</v>
      </c>
      <c r="P153" s="76" t="s">
        <v>1</v>
      </c>
      <c r="Q153" s="76" t="s">
        <v>11</v>
      </c>
      <c r="R153" s="76" t="b">
        <v>0</v>
      </c>
      <c r="S153" s="82" t="b">
        <v>0</v>
      </c>
      <c r="T153" s="76">
        <v>512.0</v>
      </c>
      <c r="U153" s="79" t="s">
        <v>96</v>
      </c>
      <c r="V153" s="90"/>
      <c r="W153" s="85"/>
      <c r="X153" s="74"/>
      <c r="Y153" s="74"/>
      <c r="Z153" s="74"/>
      <c r="AA153" s="74"/>
      <c r="AB153" s="74"/>
      <c r="AC153" s="74"/>
      <c r="AD153" s="74"/>
    </row>
    <row r="154">
      <c r="A154" s="75">
        <v>46050.0</v>
      </c>
      <c r="B154" s="76" t="s">
        <v>380</v>
      </c>
      <c r="C154" s="77" t="s">
        <v>381</v>
      </c>
      <c r="D154" s="76" t="s">
        <v>24</v>
      </c>
      <c r="E154" s="76"/>
      <c r="F154" s="76" t="s">
        <v>8</v>
      </c>
      <c r="G154" s="76">
        <v>1000.0</v>
      </c>
      <c r="H154" s="76">
        <v>500.0</v>
      </c>
      <c r="I154" s="75">
        <v>46058.0</v>
      </c>
      <c r="J154" s="78">
        <v>15.21</v>
      </c>
      <c r="K154" s="76" t="s">
        <v>101</v>
      </c>
      <c r="L154" s="79" t="b">
        <v>1</v>
      </c>
      <c r="M154" s="80">
        <f t="shared" si="3"/>
        <v>46051.56551</v>
      </c>
      <c r="N154" s="79" t="b">
        <v>1</v>
      </c>
      <c r="O154" s="80">
        <f t="shared" si="2"/>
        <v>46051.57165</v>
      </c>
      <c r="P154" s="76" t="s">
        <v>1</v>
      </c>
      <c r="Q154" s="76" t="s">
        <v>11</v>
      </c>
      <c r="R154" s="76" t="b">
        <v>0</v>
      </c>
      <c r="S154" s="82" t="b">
        <v>0</v>
      </c>
      <c r="T154" s="76">
        <v>504.0</v>
      </c>
      <c r="U154" s="79" t="s">
        <v>96</v>
      </c>
      <c r="V154" s="90"/>
      <c r="W154" s="85"/>
      <c r="X154" s="74"/>
      <c r="Y154" s="74"/>
      <c r="Z154" s="74"/>
      <c r="AA154" s="74"/>
      <c r="AB154" s="74"/>
      <c r="AC154" s="74"/>
      <c r="AD154" s="74"/>
    </row>
    <row r="155">
      <c r="A155" s="75">
        <v>46050.0</v>
      </c>
      <c r="B155" s="76" t="s">
        <v>382</v>
      </c>
      <c r="C155" s="77" t="s">
        <v>383</v>
      </c>
      <c r="D155" s="76" t="s">
        <v>23</v>
      </c>
      <c r="E155" s="76"/>
      <c r="F155" s="76" t="s">
        <v>8</v>
      </c>
      <c r="G155" s="76">
        <v>150.0</v>
      </c>
      <c r="H155" s="76">
        <v>38.0</v>
      </c>
      <c r="I155" s="75">
        <v>46056.0</v>
      </c>
      <c r="J155" s="78">
        <v>17.08</v>
      </c>
      <c r="K155" s="76" t="s">
        <v>1</v>
      </c>
      <c r="L155" s="79" t="b">
        <v>1</v>
      </c>
      <c r="M155" s="80">
        <f t="shared" si="3"/>
        <v>0</v>
      </c>
      <c r="N155" s="79" t="b">
        <v>1</v>
      </c>
      <c r="O155" s="80">
        <f t="shared" si="2"/>
        <v>0</v>
      </c>
      <c r="P155" s="76" t="s">
        <v>1</v>
      </c>
      <c r="Q155" s="76" t="s">
        <v>11</v>
      </c>
      <c r="R155" s="76" t="b">
        <v>0</v>
      </c>
      <c r="S155" s="82" t="b">
        <v>0</v>
      </c>
      <c r="T155" s="76">
        <v>44.0</v>
      </c>
      <c r="U155" s="79" t="s">
        <v>96</v>
      </c>
      <c r="V155" s="90"/>
      <c r="W155" s="85"/>
      <c r="X155" s="74"/>
      <c r="Y155" s="74"/>
      <c r="Z155" s="74"/>
      <c r="AA155" s="74"/>
      <c r="AB155" s="74"/>
      <c r="AC155" s="74"/>
      <c r="AD155" s="74"/>
    </row>
    <row r="156">
      <c r="A156" s="75">
        <v>46050.0</v>
      </c>
      <c r="B156" s="76" t="s">
        <v>384</v>
      </c>
      <c r="C156" s="77" t="s">
        <v>385</v>
      </c>
      <c r="D156" s="76" t="s">
        <v>23</v>
      </c>
      <c r="E156" s="76"/>
      <c r="F156" s="76" t="s">
        <v>8</v>
      </c>
      <c r="G156" s="76">
        <v>200.0</v>
      </c>
      <c r="H156" s="76">
        <v>50.0</v>
      </c>
      <c r="I156" s="75">
        <v>46056.0</v>
      </c>
      <c r="J156" s="78">
        <v>17.08</v>
      </c>
      <c r="K156" s="76" t="s">
        <v>1</v>
      </c>
      <c r="L156" s="79" t="b">
        <v>1</v>
      </c>
      <c r="M156" s="80">
        <f t="shared" si="3"/>
        <v>0</v>
      </c>
      <c r="N156" s="79" t="b">
        <v>1</v>
      </c>
      <c r="O156" s="80">
        <f t="shared" si="2"/>
        <v>0</v>
      </c>
      <c r="P156" s="76" t="s">
        <v>1</v>
      </c>
      <c r="Q156" s="76" t="s">
        <v>11</v>
      </c>
      <c r="R156" s="76" t="b">
        <v>0</v>
      </c>
      <c r="S156" s="82" t="b">
        <v>0</v>
      </c>
      <c r="T156" s="76">
        <v>56.0</v>
      </c>
      <c r="U156" s="79" t="s">
        <v>96</v>
      </c>
      <c r="V156" s="90"/>
      <c r="W156" s="85"/>
      <c r="X156" s="74"/>
      <c r="Y156" s="74"/>
      <c r="Z156" s="74"/>
      <c r="AA156" s="74"/>
      <c r="AB156" s="74"/>
      <c r="AC156" s="74"/>
      <c r="AD156" s="74"/>
    </row>
    <row r="157">
      <c r="A157" s="75">
        <v>46051.0</v>
      </c>
      <c r="B157" s="76" t="s">
        <v>386</v>
      </c>
      <c r="C157" s="77" t="s">
        <v>387</v>
      </c>
      <c r="D157" s="76" t="s">
        <v>23</v>
      </c>
      <c r="E157" s="76"/>
      <c r="F157" s="76" t="s">
        <v>8</v>
      </c>
      <c r="G157" s="76">
        <v>150.0</v>
      </c>
      <c r="H157" s="76">
        <v>75.0</v>
      </c>
      <c r="I157" s="75">
        <v>46053.0</v>
      </c>
      <c r="J157" s="78">
        <v>9.0</v>
      </c>
      <c r="K157" s="76" t="s">
        <v>1</v>
      </c>
      <c r="L157" s="79" t="b">
        <v>1</v>
      </c>
      <c r="M157" s="80">
        <f t="shared" si="3"/>
        <v>0</v>
      </c>
      <c r="N157" s="79" t="b">
        <v>1</v>
      </c>
      <c r="O157" s="80">
        <f t="shared" si="2"/>
        <v>0</v>
      </c>
      <c r="P157" s="76" t="s">
        <v>1</v>
      </c>
      <c r="Q157" s="76" t="s">
        <v>11</v>
      </c>
      <c r="R157" s="76" t="b">
        <v>0</v>
      </c>
      <c r="S157" s="82" t="b">
        <v>0</v>
      </c>
      <c r="T157" s="76">
        <v>84.0</v>
      </c>
      <c r="U157" s="79" t="s">
        <v>96</v>
      </c>
      <c r="V157" s="90"/>
      <c r="W157" s="85"/>
      <c r="X157" s="74"/>
      <c r="Y157" s="74"/>
      <c r="Z157" s="74"/>
      <c r="AA157" s="74"/>
      <c r="AB157" s="74"/>
      <c r="AC157" s="74"/>
      <c r="AD157" s="74"/>
    </row>
    <row r="158">
      <c r="A158" s="75">
        <v>46051.0</v>
      </c>
      <c r="B158" s="76" t="s">
        <v>388</v>
      </c>
      <c r="C158" s="77" t="s">
        <v>389</v>
      </c>
      <c r="D158" s="76" t="s">
        <v>23</v>
      </c>
      <c r="E158" s="76"/>
      <c r="F158" s="76" t="s">
        <v>18</v>
      </c>
      <c r="G158" s="76">
        <v>1000.0</v>
      </c>
      <c r="H158" s="76">
        <v>250.0</v>
      </c>
      <c r="I158" s="75">
        <v>46051.0</v>
      </c>
      <c r="J158" s="78">
        <v>9.0</v>
      </c>
      <c r="K158" s="76" t="s">
        <v>101</v>
      </c>
      <c r="L158" s="79" t="b">
        <v>1</v>
      </c>
      <c r="M158" s="80">
        <f t="shared" si="3"/>
        <v>0</v>
      </c>
      <c r="N158" s="79" t="b">
        <v>1</v>
      </c>
      <c r="O158" s="80">
        <f t="shared" si="2"/>
        <v>0</v>
      </c>
      <c r="P158" s="76" t="s">
        <v>1</v>
      </c>
      <c r="Q158" s="76" t="s">
        <v>11</v>
      </c>
      <c r="R158" s="76" t="b">
        <v>0</v>
      </c>
      <c r="S158" s="82" t="b">
        <v>0</v>
      </c>
      <c r="T158" s="76">
        <v>256.0</v>
      </c>
      <c r="U158" s="79" t="s">
        <v>96</v>
      </c>
      <c r="V158" s="90"/>
      <c r="W158" s="85"/>
      <c r="X158" s="74"/>
      <c r="Y158" s="74"/>
      <c r="Z158" s="74"/>
      <c r="AA158" s="74"/>
      <c r="AB158" s="74"/>
      <c r="AC158" s="74"/>
      <c r="AD158" s="74"/>
    </row>
    <row r="159">
      <c r="A159" s="75">
        <v>46051.0</v>
      </c>
      <c r="B159" s="76" t="s">
        <v>390</v>
      </c>
      <c r="C159" s="77" t="s">
        <v>391</v>
      </c>
      <c r="D159" s="76" t="s">
        <v>16</v>
      </c>
      <c r="E159" s="76"/>
      <c r="F159" s="76" t="s">
        <v>8</v>
      </c>
      <c r="G159" s="76">
        <v>100.0</v>
      </c>
      <c r="H159" s="76">
        <v>5.0</v>
      </c>
      <c r="I159" s="75">
        <v>46026.0</v>
      </c>
      <c r="J159" s="78">
        <v>10.0</v>
      </c>
      <c r="K159" s="76" t="s">
        <v>1</v>
      </c>
      <c r="L159" s="79" t="b">
        <v>1</v>
      </c>
      <c r="M159" s="80">
        <f t="shared" si="3"/>
        <v>46051.44922</v>
      </c>
      <c r="N159" s="79" t="b">
        <v>1</v>
      </c>
      <c r="O159" s="80">
        <f t="shared" si="2"/>
        <v>46051.44922</v>
      </c>
      <c r="P159" s="76" t="s">
        <v>1</v>
      </c>
      <c r="Q159" s="76" t="s">
        <v>11</v>
      </c>
      <c r="R159" s="76" t="b">
        <v>0</v>
      </c>
      <c r="S159" s="82" t="b">
        <v>0</v>
      </c>
      <c r="T159" s="76">
        <v>12.0</v>
      </c>
      <c r="U159" s="79" t="s">
        <v>96</v>
      </c>
      <c r="V159" s="90"/>
      <c r="W159" s="85"/>
      <c r="X159" s="74"/>
      <c r="Y159" s="74"/>
      <c r="Z159" s="74"/>
      <c r="AA159" s="74"/>
      <c r="AB159" s="74"/>
      <c r="AC159" s="74"/>
      <c r="AD159" s="74"/>
    </row>
    <row r="160">
      <c r="A160" s="75">
        <v>46051.0</v>
      </c>
      <c r="B160" s="76" t="s">
        <v>392</v>
      </c>
      <c r="C160" s="77" t="s">
        <v>393</v>
      </c>
      <c r="D160" s="76" t="s">
        <v>23</v>
      </c>
      <c r="E160" s="76"/>
      <c r="F160" s="76" t="s">
        <v>18</v>
      </c>
      <c r="G160" s="76">
        <v>500.0</v>
      </c>
      <c r="H160" s="76">
        <v>250.0</v>
      </c>
      <c r="I160" s="75">
        <v>46051.0</v>
      </c>
      <c r="J160" s="78">
        <v>11.3</v>
      </c>
      <c r="K160" s="76" t="s">
        <v>1</v>
      </c>
      <c r="L160" s="79" t="b">
        <v>1</v>
      </c>
      <c r="M160" s="80">
        <f t="shared" si="3"/>
        <v>46051.55128</v>
      </c>
      <c r="N160" s="79" t="b">
        <v>1</v>
      </c>
      <c r="O160" s="80">
        <f t="shared" si="2"/>
        <v>46051.55748</v>
      </c>
      <c r="P160" s="76" t="s">
        <v>1</v>
      </c>
      <c r="Q160" s="76" t="s">
        <v>11</v>
      </c>
      <c r="R160" s="76" t="b">
        <v>0</v>
      </c>
      <c r="S160" s="82" t="b">
        <v>0</v>
      </c>
      <c r="T160" s="76">
        <v>256.0</v>
      </c>
      <c r="U160" s="79" t="s">
        <v>96</v>
      </c>
      <c r="V160" s="90"/>
      <c r="W160" s="85"/>
      <c r="X160" s="74"/>
      <c r="Y160" s="74"/>
      <c r="Z160" s="74"/>
      <c r="AA160" s="74"/>
      <c r="AB160" s="74"/>
      <c r="AC160" s="74"/>
      <c r="AD160" s="74"/>
    </row>
    <row r="161">
      <c r="A161" s="75">
        <v>46051.0</v>
      </c>
      <c r="B161" s="76" t="s">
        <v>394</v>
      </c>
      <c r="C161" s="77" t="s">
        <v>395</v>
      </c>
      <c r="D161" s="76" t="s">
        <v>23</v>
      </c>
      <c r="E161" s="76"/>
      <c r="F161" s="76" t="s">
        <v>18</v>
      </c>
      <c r="G161" s="76">
        <v>300.0</v>
      </c>
      <c r="H161" s="76">
        <v>75.0</v>
      </c>
      <c r="I161" s="75">
        <v>46052.0</v>
      </c>
      <c r="J161" s="78">
        <v>16.18</v>
      </c>
      <c r="K161" s="76" t="s">
        <v>1</v>
      </c>
      <c r="L161" s="79" t="b">
        <v>1</v>
      </c>
      <c r="M161" s="80">
        <f t="shared" si="3"/>
        <v>46051.6905</v>
      </c>
      <c r="N161" s="79" t="b">
        <v>1</v>
      </c>
      <c r="O161" s="80">
        <f t="shared" si="2"/>
        <v>46051.69396</v>
      </c>
      <c r="P161" s="76" t="s">
        <v>1</v>
      </c>
      <c r="Q161" s="76" t="s">
        <v>11</v>
      </c>
      <c r="R161" s="76" t="b">
        <v>0</v>
      </c>
      <c r="S161" s="82" t="b">
        <v>0</v>
      </c>
      <c r="T161" s="76">
        <v>80.0</v>
      </c>
      <c r="U161" s="79" t="s">
        <v>96</v>
      </c>
      <c r="V161" s="90"/>
      <c r="W161" s="85"/>
      <c r="X161" s="74"/>
      <c r="Y161" s="74"/>
      <c r="Z161" s="74"/>
      <c r="AA161" s="74"/>
      <c r="AB161" s="74"/>
      <c r="AC161" s="74"/>
      <c r="AD161" s="74"/>
    </row>
    <row r="162">
      <c r="A162" s="75">
        <v>46052.0</v>
      </c>
      <c r="B162" s="76" t="s">
        <v>396</v>
      </c>
      <c r="C162" s="77" t="s">
        <v>397</v>
      </c>
      <c r="D162" s="76" t="s">
        <v>23</v>
      </c>
      <c r="E162" s="76"/>
      <c r="F162" s="76" t="s">
        <v>18</v>
      </c>
      <c r="G162" s="76">
        <v>3000.0</v>
      </c>
      <c r="H162" s="76">
        <v>1500.0</v>
      </c>
      <c r="I162" s="75">
        <v>46052.0</v>
      </c>
      <c r="J162" s="78">
        <v>9.27</v>
      </c>
      <c r="K162" s="76" t="s">
        <v>1</v>
      </c>
      <c r="L162" s="79" t="b">
        <v>1</v>
      </c>
      <c r="M162" s="80">
        <f t="shared" si="3"/>
        <v>46052.4005</v>
      </c>
      <c r="N162" s="79" t="b">
        <v>1</v>
      </c>
      <c r="O162" s="80">
        <f t="shared" si="2"/>
        <v>46052.44235</v>
      </c>
      <c r="P162" s="76" t="s">
        <v>101</v>
      </c>
      <c r="Q162" s="76" t="s">
        <v>11</v>
      </c>
      <c r="R162" s="76" t="b">
        <v>0</v>
      </c>
      <c r="S162" s="82" t="b">
        <v>0</v>
      </c>
      <c r="T162" s="76">
        <v>1510.0</v>
      </c>
      <c r="U162" s="79" t="s">
        <v>96</v>
      </c>
      <c r="V162" s="90"/>
      <c r="W162" s="85"/>
      <c r="X162" s="74"/>
      <c r="Y162" s="74"/>
      <c r="Z162" s="74"/>
      <c r="AA162" s="74"/>
      <c r="AB162" s="74"/>
      <c r="AC162" s="74"/>
      <c r="AD162" s="74"/>
    </row>
    <row r="163">
      <c r="A163" s="75">
        <v>46052.0</v>
      </c>
      <c r="B163" s="76" t="s">
        <v>398</v>
      </c>
      <c r="C163" s="77" t="s">
        <v>399</v>
      </c>
      <c r="D163" s="76" t="s">
        <v>34</v>
      </c>
      <c r="E163" s="76"/>
      <c r="F163" s="76" t="s">
        <v>8</v>
      </c>
      <c r="G163" s="76">
        <v>134.0</v>
      </c>
      <c r="H163" s="76">
        <v>134.0</v>
      </c>
      <c r="I163" s="75">
        <v>46056.0</v>
      </c>
      <c r="J163" s="78">
        <v>14.03</v>
      </c>
      <c r="K163" s="76" t="s">
        <v>101</v>
      </c>
      <c r="L163" s="79" t="b">
        <v>1</v>
      </c>
      <c r="M163" s="80">
        <f t="shared" si="3"/>
        <v>46053.4006</v>
      </c>
      <c r="N163" s="79" t="b">
        <v>1</v>
      </c>
      <c r="O163" s="80">
        <f t="shared" si="2"/>
        <v>46053.40483</v>
      </c>
      <c r="P163" s="76" t="s">
        <v>101</v>
      </c>
      <c r="Q163" s="76" t="s">
        <v>38</v>
      </c>
      <c r="R163" s="76" t="b">
        <v>0</v>
      </c>
      <c r="S163" s="76" t="b">
        <v>0</v>
      </c>
      <c r="T163" s="76">
        <v>135.0</v>
      </c>
      <c r="U163" s="79" t="s">
        <v>28</v>
      </c>
      <c r="V163" s="90"/>
      <c r="W163" s="85"/>
      <c r="X163" s="74"/>
      <c r="Y163" s="74"/>
      <c r="Z163" s="74"/>
      <c r="AA163" s="74"/>
      <c r="AB163" s="74"/>
      <c r="AC163" s="74"/>
      <c r="AD163" s="74"/>
    </row>
    <row r="164">
      <c r="A164" s="75">
        <v>46052.0</v>
      </c>
      <c r="B164" s="76" t="s">
        <v>400</v>
      </c>
      <c r="C164" s="95" t="s">
        <v>401</v>
      </c>
      <c r="D164" s="76" t="s">
        <v>23</v>
      </c>
      <c r="E164" s="76"/>
      <c r="F164" s="76" t="s">
        <v>18</v>
      </c>
      <c r="G164" s="76">
        <v>1000.0</v>
      </c>
      <c r="H164" s="76">
        <v>500.0</v>
      </c>
      <c r="I164" s="75">
        <v>46052.0</v>
      </c>
      <c r="J164" s="78">
        <v>15.0</v>
      </c>
      <c r="K164" s="76" t="s">
        <v>1</v>
      </c>
      <c r="L164" s="79" t="b">
        <v>1</v>
      </c>
      <c r="M164" s="80">
        <f t="shared" si="3"/>
        <v>46052.63428</v>
      </c>
      <c r="N164" s="79" t="b">
        <v>1</v>
      </c>
      <c r="O164" s="80">
        <f t="shared" si="2"/>
        <v>46052.64608</v>
      </c>
      <c r="P164" s="76" t="s">
        <v>1</v>
      </c>
      <c r="Q164" s="76" t="s">
        <v>11</v>
      </c>
      <c r="R164" s="76" t="b">
        <v>0</v>
      </c>
      <c r="S164" s="76" t="b">
        <v>0</v>
      </c>
      <c r="T164" s="76">
        <v>508.0</v>
      </c>
      <c r="U164" s="79" t="s">
        <v>96</v>
      </c>
      <c r="V164" s="90"/>
      <c r="W164" s="85"/>
      <c r="X164" s="74"/>
      <c r="Y164" s="74"/>
      <c r="Z164" s="74"/>
      <c r="AA164" s="74"/>
      <c r="AB164" s="74"/>
      <c r="AC164" s="74"/>
      <c r="AD164" s="74"/>
    </row>
    <row r="165">
      <c r="A165" s="75">
        <v>46053.0</v>
      </c>
      <c r="B165" s="76" t="s">
        <v>402</v>
      </c>
      <c r="C165" s="95" t="s">
        <v>403</v>
      </c>
      <c r="D165" s="76" t="s">
        <v>23</v>
      </c>
      <c r="E165" s="76"/>
      <c r="F165" s="76" t="s">
        <v>18</v>
      </c>
      <c r="G165" s="76">
        <v>2000.0</v>
      </c>
      <c r="H165" s="76">
        <v>500.0</v>
      </c>
      <c r="I165" s="75">
        <v>46053.0</v>
      </c>
      <c r="J165" s="78">
        <v>10.27</v>
      </c>
      <c r="K165" s="76" t="s">
        <v>1</v>
      </c>
      <c r="L165" s="79" t="b">
        <v>1</v>
      </c>
      <c r="M165" s="80">
        <f t="shared" si="3"/>
        <v>46053.42717</v>
      </c>
      <c r="N165" s="79" t="b">
        <v>1</v>
      </c>
      <c r="O165" s="80">
        <f t="shared" si="2"/>
        <v>46053.43917</v>
      </c>
      <c r="P165" s="76" t="s">
        <v>101</v>
      </c>
      <c r="Q165" s="76" t="s">
        <v>11</v>
      </c>
      <c r="R165" s="76" t="b">
        <v>0</v>
      </c>
      <c r="S165" s="76" t="b">
        <v>0</v>
      </c>
      <c r="T165" s="76">
        <v>508.0</v>
      </c>
      <c r="U165" s="79" t="s">
        <v>96</v>
      </c>
      <c r="V165" s="90"/>
      <c r="W165" s="85"/>
      <c r="X165" s="74"/>
      <c r="Y165" s="74"/>
      <c r="Z165" s="74"/>
      <c r="AA165" s="74"/>
      <c r="AB165" s="74"/>
      <c r="AC165" s="74"/>
      <c r="AD165" s="74"/>
    </row>
    <row r="166">
      <c r="A166" s="75">
        <v>46053.0</v>
      </c>
      <c r="B166" s="76" t="s">
        <v>404</v>
      </c>
      <c r="C166" s="95" t="s">
        <v>405</v>
      </c>
      <c r="D166" s="76" t="s">
        <v>23</v>
      </c>
      <c r="E166" s="76"/>
      <c r="F166" s="76" t="s">
        <v>18</v>
      </c>
      <c r="G166" s="76">
        <v>100.0</v>
      </c>
      <c r="H166" s="76">
        <v>50.0</v>
      </c>
      <c r="I166" s="75">
        <v>46053.0</v>
      </c>
      <c r="J166" s="78">
        <v>10.27</v>
      </c>
      <c r="K166" s="76" t="s">
        <v>101</v>
      </c>
      <c r="L166" s="79" t="b">
        <v>1</v>
      </c>
      <c r="M166" s="80">
        <f t="shared" si="3"/>
        <v>46053.44029</v>
      </c>
      <c r="N166" s="79" t="b">
        <v>1</v>
      </c>
      <c r="O166" s="80">
        <f t="shared" si="2"/>
        <v>46053.44538</v>
      </c>
      <c r="P166" s="76" t="s">
        <v>101</v>
      </c>
      <c r="Q166" s="76" t="s">
        <v>11</v>
      </c>
      <c r="R166" s="76" t="b">
        <v>0</v>
      </c>
      <c r="S166" s="76" t="b">
        <v>0</v>
      </c>
      <c r="T166" s="76">
        <v>56.0</v>
      </c>
      <c r="U166" s="79" t="s">
        <v>96</v>
      </c>
      <c r="V166" s="90"/>
      <c r="W166" s="85"/>
      <c r="X166" s="74"/>
      <c r="Y166" s="74"/>
      <c r="Z166" s="74"/>
      <c r="AA166" s="74"/>
      <c r="AB166" s="74"/>
      <c r="AC166" s="74"/>
      <c r="AD166" s="74"/>
    </row>
    <row r="167">
      <c r="A167" s="75">
        <v>46053.0</v>
      </c>
      <c r="B167" s="76" t="s">
        <v>406</v>
      </c>
      <c r="C167" s="95" t="s">
        <v>407</v>
      </c>
      <c r="D167" s="76" t="s">
        <v>50</v>
      </c>
      <c r="E167" s="76"/>
      <c r="F167" s="76" t="s">
        <v>8</v>
      </c>
      <c r="G167" s="76">
        <v>373.0</v>
      </c>
      <c r="H167" s="76">
        <v>5.0</v>
      </c>
      <c r="I167" s="75">
        <v>46057.0</v>
      </c>
      <c r="J167" s="78">
        <v>10.27</v>
      </c>
      <c r="K167" s="76" t="s">
        <v>1</v>
      </c>
      <c r="L167" s="79" t="b">
        <v>1</v>
      </c>
      <c r="M167" s="80">
        <f t="shared" si="3"/>
        <v>46055.61542</v>
      </c>
      <c r="N167" s="79" t="b">
        <v>1</v>
      </c>
      <c r="O167" s="80">
        <f t="shared" si="2"/>
        <v>46055.61627</v>
      </c>
      <c r="P167" s="76" t="s">
        <v>1</v>
      </c>
      <c r="Q167" s="76" t="s">
        <v>38</v>
      </c>
      <c r="R167" s="76" t="b">
        <v>0</v>
      </c>
      <c r="S167" s="76" t="b">
        <v>0</v>
      </c>
      <c r="T167" s="76">
        <v>13.0</v>
      </c>
      <c r="U167" s="79" t="s">
        <v>28</v>
      </c>
      <c r="V167" s="90"/>
      <c r="W167" s="85"/>
      <c r="X167" s="74"/>
      <c r="Y167" s="74"/>
      <c r="Z167" s="74"/>
      <c r="AA167" s="74"/>
      <c r="AB167" s="74"/>
      <c r="AC167" s="74"/>
      <c r="AD167" s="74"/>
    </row>
    <row r="168">
      <c r="A168" s="75">
        <v>46053.0</v>
      </c>
      <c r="B168" s="76" t="s">
        <v>408</v>
      </c>
      <c r="C168" s="95" t="s">
        <v>409</v>
      </c>
      <c r="D168" s="76" t="s">
        <v>34</v>
      </c>
      <c r="E168" s="76"/>
      <c r="F168" s="76" t="s">
        <v>8</v>
      </c>
      <c r="G168" s="76">
        <v>44.0</v>
      </c>
      <c r="H168" s="76">
        <v>114.0</v>
      </c>
      <c r="I168" s="75">
        <v>46055.0</v>
      </c>
      <c r="J168" s="78">
        <v>10.27</v>
      </c>
      <c r="K168" s="76" t="s">
        <v>1</v>
      </c>
      <c r="L168" s="79" t="b">
        <v>1</v>
      </c>
      <c r="M168" s="80">
        <f t="shared" si="3"/>
        <v>46053.61817</v>
      </c>
      <c r="N168" s="79" t="b">
        <v>1</v>
      </c>
      <c r="O168" s="80">
        <f t="shared" si="2"/>
        <v>46053.62307</v>
      </c>
      <c r="P168" s="76" t="s">
        <v>101</v>
      </c>
      <c r="Q168" s="76" t="s">
        <v>38</v>
      </c>
      <c r="R168" s="76" t="b">
        <v>0</v>
      </c>
      <c r="S168" s="76" t="b">
        <v>0</v>
      </c>
      <c r="T168" s="76">
        <v>115.0</v>
      </c>
      <c r="U168" s="79" t="s">
        <v>28</v>
      </c>
      <c r="V168" s="90"/>
      <c r="W168" s="85"/>
      <c r="X168" s="74"/>
      <c r="Y168" s="74"/>
      <c r="Z168" s="74"/>
      <c r="AA168" s="74"/>
      <c r="AB168" s="74"/>
      <c r="AC168" s="74"/>
      <c r="AD168" s="74"/>
    </row>
    <row r="169">
      <c r="A169" s="75">
        <v>46053.0</v>
      </c>
      <c r="B169" s="76" t="s">
        <v>410</v>
      </c>
      <c r="C169" s="95" t="s">
        <v>411</v>
      </c>
      <c r="D169" s="76" t="s">
        <v>23</v>
      </c>
      <c r="E169" s="76"/>
      <c r="F169" s="76" t="s">
        <v>18</v>
      </c>
      <c r="G169" s="76">
        <v>1000.0</v>
      </c>
      <c r="H169" s="76">
        <v>500.0</v>
      </c>
      <c r="I169" s="75">
        <v>46053.0</v>
      </c>
      <c r="J169" s="78">
        <v>11.0</v>
      </c>
      <c r="K169" s="76" t="s">
        <v>1</v>
      </c>
      <c r="L169" s="79" t="b">
        <v>1</v>
      </c>
      <c r="M169" s="80">
        <f t="shared" si="3"/>
        <v>46053.46369</v>
      </c>
      <c r="N169" s="79" t="b">
        <v>1</v>
      </c>
      <c r="O169" s="80">
        <f t="shared" si="2"/>
        <v>46053.47847</v>
      </c>
      <c r="P169" s="76" t="s">
        <v>101</v>
      </c>
      <c r="Q169" s="76" t="s">
        <v>11</v>
      </c>
      <c r="R169" s="76" t="b">
        <v>0</v>
      </c>
      <c r="S169" s="76" t="b">
        <v>0</v>
      </c>
      <c r="T169" s="76">
        <v>508.0</v>
      </c>
      <c r="U169" s="79" t="s">
        <v>96</v>
      </c>
      <c r="V169" s="90"/>
      <c r="W169" s="85"/>
      <c r="X169" s="74"/>
      <c r="Y169" s="74"/>
      <c r="Z169" s="74"/>
      <c r="AA169" s="74"/>
      <c r="AB169" s="74"/>
      <c r="AC169" s="74"/>
      <c r="AD169" s="74"/>
    </row>
    <row r="170">
      <c r="A170" s="96">
        <v>46053.0</v>
      </c>
      <c r="B170" s="97" t="s">
        <v>412</v>
      </c>
      <c r="C170" s="98" t="s">
        <v>413</v>
      </c>
      <c r="D170" s="97" t="s">
        <v>23</v>
      </c>
      <c r="E170" s="97"/>
      <c r="F170" s="97" t="s">
        <v>18</v>
      </c>
      <c r="G170" s="97">
        <v>500.0</v>
      </c>
      <c r="H170" s="97">
        <v>250.0</v>
      </c>
      <c r="I170" s="96">
        <v>46055.0</v>
      </c>
      <c r="J170" s="99">
        <v>11.0</v>
      </c>
      <c r="K170" s="97" t="s">
        <v>101</v>
      </c>
      <c r="L170" s="100" t="b">
        <v>1</v>
      </c>
      <c r="M170" s="101">
        <f t="shared" si="3"/>
        <v>46053.55472</v>
      </c>
      <c r="N170" s="100" t="b">
        <v>1</v>
      </c>
      <c r="O170" s="101">
        <f t="shared" si="2"/>
        <v>46053.56161</v>
      </c>
      <c r="P170" s="97" t="s">
        <v>101</v>
      </c>
      <c r="Q170" s="97" t="s">
        <v>11</v>
      </c>
      <c r="R170" s="97" t="b">
        <v>0</v>
      </c>
      <c r="S170" s="97" t="b">
        <v>0</v>
      </c>
      <c r="T170" s="97">
        <v>256.0</v>
      </c>
      <c r="U170" s="100" t="s">
        <v>96</v>
      </c>
      <c r="V170" s="102"/>
      <c r="W170" s="85"/>
      <c r="X170" s="74"/>
      <c r="Y170" s="74"/>
      <c r="Z170" s="74"/>
      <c r="AA170" s="74"/>
      <c r="AB170" s="74"/>
      <c r="AC170" s="74"/>
      <c r="AD170" s="74"/>
    </row>
    <row r="171">
      <c r="A171" s="103"/>
      <c r="B171" s="104"/>
      <c r="C171" s="105"/>
      <c r="D171" s="104"/>
      <c r="E171" s="104"/>
      <c r="F171" s="104"/>
      <c r="G171" s="104"/>
      <c r="H171" s="104"/>
      <c r="I171" s="103"/>
      <c r="J171" s="106"/>
      <c r="K171" s="104"/>
      <c r="L171" s="107"/>
      <c r="M171" s="108"/>
      <c r="N171" s="107"/>
      <c r="O171" s="108"/>
      <c r="P171" s="104"/>
      <c r="Q171" s="104"/>
      <c r="R171" s="104"/>
      <c r="S171" s="104"/>
      <c r="T171" s="104"/>
      <c r="U171" s="107"/>
      <c r="V171" s="109"/>
      <c r="W171" s="85"/>
      <c r="X171" s="74"/>
      <c r="Y171" s="74"/>
      <c r="Z171" s="74"/>
      <c r="AA171" s="74"/>
      <c r="AB171" s="74"/>
      <c r="AC171" s="74"/>
      <c r="AD171" s="74"/>
    </row>
    <row r="172">
      <c r="A172" s="110"/>
      <c r="B172" s="111"/>
      <c r="C172" s="112"/>
      <c r="D172" s="111"/>
      <c r="E172" s="111"/>
      <c r="F172" s="111"/>
      <c r="G172" s="111"/>
      <c r="H172" s="111"/>
      <c r="I172" s="110"/>
      <c r="J172" s="113"/>
      <c r="K172" s="111"/>
      <c r="L172" s="114"/>
      <c r="M172" s="115"/>
      <c r="N172" s="114"/>
      <c r="O172" s="115"/>
      <c r="P172" s="111"/>
      <c r="Q172" s="111"/>
      <c r="R172" s="111"/>
      <c r="S172" s="111"/>
      <c r="T172" s="111"/>
      <c r="U172" s="114"/>
      <c r="V172" s="74"/>
      <c r="W172" s="85"/>
      <c r="X172" s="74"/>
      <c r="Y172" s="74"/>
      <c r="Z172" s="74"/>
      <c r="AA172" s="74"/>
      <c r="AB172" s="74"/>
      <c r="AC172" s="74"/>
      <c r="AD172" s="74"/>
    </row>
    <row r="173">
      <c r="A173" s="116"/>
      <c r="B173" s="111"/>
      <c r="C173" s="117"/>
      <c r="D173" s="111"/>
      <c r="E173" s="111"/>
      <c r="F173" s="111"/>
      <c r="G173" s="111"/>
      <c r="H173" s="111"/>
      <c r="I173" s="116"/>
      <c r="J173" s="113"/>
      <c r="K173" s="111"/>
      <c r="L173" s="114"/>
      <c r="M173" s="115"/>
      <c r="N173" s="114"/>
      <c r="O173" s="115"/>
      <c r="P173" s="111"/>
      <c r="Q173" s="111"/>
      <c r="R173" s="111"/>
      <c r="S173" s="111"/>
      <c r="T173" s="111"/>
      <c r="U173" s="114"/>
      <c r="V173" s="74"/>
      <c r="W173" s="85"/>
      <c r="X173" s="74"/>
      <c r="Y173" s="74"/>
      <c r="Z173" s="74"/>
      <c r="AA173" s="74"/>
      <c r="AB173" s="74"/>
      <c r="AC173" s="74"/>
      <c r="AD173" s="74"/>
    </row>
    <row r="174">
      <c r="A174" s="116"/>
      <c r="B174" s="111"/>
      <c r="C174" s="117"/>
      <c r="D174" s="111"/>
      <c r="E174" s="111"/>
      <c r="F174" s="111"/>
      <c r="G174" s="111"/>
      <c r="H174" s="111"/>
      <c r="I174" s="116"/>
      <c r="J174" s="113"/>
      <c r="K174" s="111"/>
      <c r="L174" s="114"/>
      <c r="M174" s="115"/>
      <c r="N174" s="114"/>
      <c r="O174" s="115"/>
      <c r="P174" s="111"/>
      <c r="Q174" s="111"/>
      <c r="R174" s="111"/>
      <c r="S174" s="111"/>
      <c r="T174" s="111"/>
      <c r="U174" s="114"/>
      <c r="V174" s="74"/>
      <c r="W174" s="85"/>
      <c r="X174" s="74"/>
      <c r="Y174" s="74"/>
      <c r="Z174" s="74"/>
      <c r="AA174" s="74"/>
      <c r="AB174" s="74"/>
      <c r="AC174" s="74"/>
      <c r="AD174" s="74"/>
    </row>
    <row r="175">
      <c r="A175" s="116"/>
      <c r="B175" s="111"/>
      <c r="C175" s="117"/>
      <c r="D175" s="111"/>
      <c r="E175" s="111"/>
      <c r="F175" s="111"/>
      <c r="G175" s="111"/>
      <c r="H175" s="111"/>
      <c r="I175" s="116"/>
      <c r="J175" s="113"/>
      <c r="K175" s="111"/>
      <c r="L175" s="114"/>
      <c r="M175" s="115"/>
      <c r="N175" s="114"/>
      <c r="O175" s="115"/>
      <c r="P175" s="111"/>
      <c r="Q175" s="111"/>
      <c r="R175" s="111"/>
      <c r="S175" s="111"/>
      <c r="T175" s="111"/>
      <c r="U175" s="114"/>
      <c r="V175" s="118"/>
      <c r="W175" s="85"/>
      <c r="X175" s="74"/>
      <c r="Y175" s="74"/>
      <c r="Z175" s="74"/>
      <c r="AA175" s="74"/>
      <c r="AB175" s="74"/>
      <c r="AC175" s="74"/>
      <c r="AD175" s="74"/>
    </row>
    <row r="176">
      <c r="A176" s="116"/>
      <c r="B176" s="111"/>
      <c r="C176" s="117"/>
      <c r="D176" s="111"/>
      <c r="E176" s="111"/>
      <c r="F176" s="111"/>
      <c r="G176" s="111"/>
      <c r="H176" s="111"/>
      <c r="I176" s="116"/>
      <c r="J176" s="113"/>
      <c r="K176" s="111"/>
      <c r="L176" s="114"/>
      <c r="M176" s="115"/>
      <c r="N176" s="114"/>
      <c r="O176" s="115"/>
      <c r="P176" s="111"/>
      <c r="Q176" s="111"/>
      <c r="R176" s="111"/>
      <c r="S176" s="111"/>
      <c r="T176" s="111"/>
      <c r="U176" s="114"/>
      <c r="V176" s="74"/>
      <c r="W176" s="85"/>
      <c r="X176" s="74"/>
      <c r="Y176" s="74"/>
      <c r="Z176" s="74"/>
      <c r="AA176" s="74"/>
      <c r="AB176" s="74"/>
      <c r="AC176" s="74"/>
      <c r="AD176" s="74"/>
    </row>
    <row r="177">
      <c r="A177" s="116"/>
      <c r="B177" s="111"/>
      <c r="C177" s="117"/>
      <c r="D177" s="111"/>
      <c r="E177" s="111"/>
      <c r="F177" s="111"/>
      <c r="G177" s="111"/>
      <c r="H177" s="111"/>
      <c r="I177" s="116"/>
      <c r="J177" s="113"/>
      <c r="K177" s="111"/>
      <c r="L177" s="114"/>
      <c r="M177" s="115"/>
      <c r="N177" s="114"/>
      <c r="O177" s="115"/>
      <c r="P177" s="111"/>
      <c r="Q177" s="111"/>
      <c r="R177" s="111"/>
      <c r="S177" s="111"/>
      <c r="T177" s="111"/>
      <c r="U177" s="114"/>
      <c r="V177" s="74"/>
      <c r="W177" s="85"/>
      <c r="X177" s="74"/>
      <c r="Y177" s="74"/>
      <c r="Z177" s="74"/>
      <c r="AA177" s="74"/>
      <c r="AB177" s="74"/>
      <c r="AC177" s="74"/>
      <c r="AD177" s="74"/>
    </row>
    <row r="178">
      <c r="A178" s="116"/>
      <c r="B178" s="111"/>
      <c r="C178" s="117"/>
      <c r="D178" s="111"/>
      <c r="E178" s="111"/>
      <c r="F178" s="111"/>
      <c r="G178" s="111"/>
      <c r="H178" s="111"/>
      <c r="I178" s="116"/>
      <c r="J178" s="113"/>
      <c r="K178" s="111"/>
      <c r="L178" s="114"/>
      <c r="M178" s="115"/>
      <c r="N178" s="114"/>
      <c r="O178" s="115"/>
      <c r="P178" s="111"/>
      <c r="Q178" s="111"/>
      <c r="R178" s="111"/>
      <c r="S178" s="111"/>
      <c r="T178" s="111"/>
      <c r="U178" s="114"/>
      <c r="V178" s="74"/>
      <c r="W178" s="85"/>
      <c r="X178" s="74"/>
      <c r="Y178" s="74"/>
      <c r="Z178" s="74"/>
      <c r="AA178" s="74"/>
      <c r="AB178" s="74"/>
      <c r="AC178" s="74"/>
      <c r="AD178" s="74"/>
    </row>
    <row r="179">
      <c r="A179" s="116"/>
      <c r="B179" s="111"/>
      <c r="C179" s="117"/>
      <c r="D179" s="111"/>
      <c r="E179" s="111"/>
      <c r="F179" s="111"/>
      <c r="G179" s="111"/>
      <c r="H179" s="111"/>
      <c r="I179" s="116"/>
      <c r="J179" s="113"/>
      <c r="K179" s="111"/>
      <c r="L179" s="114"/>
      <c r="M179" s="115"/>
      <c r="N179" s="114"/>
      <c r="O179" s="115"/>
      <c r="P179" s="111"/>
      <c r="Q179" s="111"/>
      <c r="R179" s="111"/>
      <c r="S179" s="111"/>
      <c r="T179" s="111"/>
      <c r="U179" s="114"/>
      <c r="V179" s="74"/>
      <c r="W179" s="85"/>
      <c r="X179" s="74"/>
      <c r="Y179" s="74"/>
      <c r="Z179" s="74"/>
      <c r="AA179" s="74"/>
      <c r="AB179" s="74"/>
      <c r="AC179" s="74"/>
      <c r="AD179" s="74"/>
    </row>
    <row r="180">
      <c r="A180" s="116"/>
      <c r="B180" s="111"/>
      <c r="C180" s="117"/>
      <c r="D180" s="111"/>
      <c r="E180" s="111"/>
      <c r="F180" s="111"/>
      <c r="G180" s="111"/>
      <c r="H180" s="111"/>
      <c r="I180" s="116"/>
      <c r="J180" s="113"/>
      <c r="K180" s="111"/>
      <c r="L180" s="114"/>
      <c r="M180" s="115"/>
      <c r="N180" s="114"/>
      <c r="O180" s="115"/>
      <c r="P180" s="111"/>
      <c r="Q180" s="111"/>
      <c r="R180" s="111"/>
      <c r="S180" s="111"/>
      <c r="T180" s="111"/>
      <c r="U180" s="114"/>
      <c r="V180" s="74"/>
      <c r="W180" s="85"/>
      <c r="X180" s="74"/>
      <c r="Y180" s="74"/>
      <c r="Z180" s="74"/>
      <c r="AA180" s="74"/>
      <c r="AB180" s="74"/>
      <c r="AC180" s="74"/>
      <c r="AD180" s="74"/>
    </row>
    <row r="181">
      <c r="A181" s="116"/>
      <c r="B181" s="111"/>
      <c r="C181" s="117"/>
      <c r="D181" s="111"/>
      <c r="E181" s="111"/>
      <c r="F181" s="111"/>
      <c r="G181" s="111"/>
      <c r="H181" s="111"/>
      <c r="I181" s="116"/>
      <c r="J181" s="113"/>
      <c r="K181" s="111"/>
      <c r="L181" s="114"/>
      <c r="M181" s="115"/>
      <c r="N181" s="114"/>
      <c r="O181" s="115"/>
      <c r="P181" s="111"/>
      <c r="Q181" s="111"/>
      <c r="R181" s="111"/>
      <c r="S181" s="111"/>
      <c r="T181" s="111"/>
      <c r="U181" s="114"/>
      <c r="V181" s="74"/>
      <c r="W181" s="85"/>
      <c r="X181" s="74"/>
      <c r="Y181" s="74"/>
      <c r="Z181" s="74"/>
      <c r="AA181" s="74"/>
      <c r="AB181" s="74"/>
      <c r="AC181" s="74"/>
      <c r="AD181" s="74"/>
    </row>
    <row r="182">
      <c r="A182" s="116"/>
      <c r="B182" s="111"/>
      <c r="C182" s="117"/>
      <c r="D182" s="111"/>
      <c r="E182" s="111"/>
      <c r="F182" s="111"/>
      <c r="G182" s="111"/>
      <c r="H182" s="111"/>
      <c r="I182" s="116"/>
      <c r="J182" s="113"/>
      <c r="K182" s="111"/>
      <c r="L182" s="114"/>
      <c r="M182" s="115"/>
      <c r="N182" s="114"/>
      <c r="O182" s="115"/>
      <c r="P182" s="111"/>
      <c r="Q182" s="111"/>
      <c r="R182" s="111"/>
      <c r="S182" s="111"/>
      <c r="T182" s="111"/>
      <c r="U182" s="114"/>
      <c r="V182" s="74"/>
      <c r="W182" s="85"/>
      <c r="X182" s="74"/>
      <c r="Y182" s="74"/>
      <c r="Z182" s="74"/>
      <c r="AA182" s="74"/>
      <c r="AB182" s="74"/>
      <c r="AC182" s="74"/>
      <c r="AD182" s="74"/>
    </row>
    <row r="183">
      <c r="A183" s="116"/>
      <c r="B183" s="111"/>
      <c r="C183" s="117"/>
      <c r="D183" s="111"/>
      <c r="E183" s="111"/>
      <c r="F183" s="111"/>
      <c r="G183" s="111"/>
      <c r="H183" s="111"/>
      <c r="I183" s="116"/>
      <c r="J183" s="113"/>
      <c r="K183" s="111"/>
      <c r="L183" s="114"/>
      <c r="M183" s="115"/>
      <c r="N183" s="114"/>
      <c r="O183" s="115"/>
      <c r="P183" s="111"/>
      <c r="Q183" s="111"/>
      <c r="R183" s="111"/>
      <c r="S183" s="111"/>
      <c r="T183" s="111"/>
      <c r="U183" s="114"/>
      <c r="V183" s="74"/>
      <c r="W183" s="85"/>
      <c r="X183" s="74"/>
      <c r="Y183" s="74"/>
      <c r="Z183" s="74"/>
      <c r="AA183" s="74"/>
      <c r="AB183" s="74"/>
      <c r="AC183" s="74"/>
      <c r="AD183" s="74"/>
    </row>
    <row r="184">
      <c r="A184" s="116"/>
      <c r="B184" s="111"/>
      <c r="C184" s="117"/>
      <c r="D184" s="111"/>
      <c r="E184" s="111"/>
      <c r="F184" s="111"/>
      <c r="G184" s="111"/>
      <c r="H184" s="111"/>
      <c r="I184" s="116"/>
      <c r="J184" s="113"/>
      <c r="K184" s="111"/>
      <c r="L184" s="114"/>
      <c r="M184" s="115"/>
      <c r="N184" s="114"/>
      <c r="O184" s="115"/>
      <c r="P184" s="111"/>
      <c r="Q184" s="111"/>
      <c r="R184" s="111"/>
      <c r="S184" s="111"/>
      <c r="T184" s="111"/>
      <c r="U184" s="114"/>
      <c r="V184" s="74"/>
      <c r="W184" s="85"/>
      <c r="X184" s="74"/>
      <c r="Y184" s="74"/>
      <c r="Z184" s="74"/>
      <c r="AA184" s="74"/>
      <c r="AB184" s="74"/>
      <c r="AC184" s="74"/>
      <c r="AD184" s="74"/>
    </row>
    <row r="185">
      <c r="A185" s="116"/>
      <c r="B185" s="111"/>
      <c r="C185" s="117"/>
      <c r="D185" s="111"/>
      <c r="E185" s="111"/>
      <c r="F185" s="111"/>
      <c r="G185" s="111"/>
      <c r="H185" s="111"/>
      <c r="I185" s="116"/>
      <c r="J185" s="113"/>
      <c r="K185" s="111"/>
      <c r="L185" s="114"/>
      <c r="M185" s="115"/>
      <c r="N185" s="114"/>
      <c r="O185" s="115"/>
      <c r="P185" s="111"/>
      <c r="Q185" s="111"/>
      <c r="R185" s="111"/>
      <c r="S185" s="111"/>
      <c r="T185" s="111"/>
      <c r="U185" s="114"/>
      <c r="V185" s="74"/>
      <c r="W185" s="85"/>
      <c r="X185" s="74"/>
      <c r="Y185" s="74"/>
      <c r="Z185" s="74"/>
      <c r="AA185" s="74"/>
      <c r="AB185" s="74"/>
      <c r="AC185" s="74"/>
      <c r="AD185" s="74"/>
    </row>
    <row r="186">
      <c r="A186" s="116"/>
      <c r="B186" s="111"/>
      <c r="C186" s="117"/>
      <c r="D186" s="111"/>
      <c r="E186" s="111"/>
      <c r="F186" s="111"/>
      <c r="G186" s="111"/>
      <c r="H186" s="111"/>
      <c r="I186" s="116"/>
      <c r="J186" s="113"/>
      <c r="K186" s="111"/>
      <c r="L186" s="114"/>
      <c r="M186" s="115"/>
      <c r="N186" s="114"/>
      <c r="O186" s="115"/>
      <c r="P186" s="111"/>
      <c r="Q186" s="111"/>
      <c r="R186" s="111"/>
      <c r="S186" s="111"/>
      <c r="T186" s="111"/>
      <c r="U186" s="114"/>
      <c r="V186" s="74"/>
      <c r="W186" s="85"/>
      <c r="X186" s="74"/>
      <c r="Y186" s="74"/>
      <c r="Z186" s="74"/>
      <c r="AA186" s="74"/>
      <c r="AB186" s="74"/>
      <c r="AC186" s="74"/>
      <c r="AD186" s="74"/>
    </row>
    <row r="187">
      <c r="A187" s="116"/>
      <c r="B187" s="111"/>
      <c r="C187" s="117"/>
      <c r="D187" s="111"/>
      <c r="E187" s="111"/>
      <c r="F187" s="111"/>
      <c r="G187" s="111"/>
      <c r="H187" s="111"/>
      <c r="I187" s="116"/>
      <c r="J187" s="113"/>
      <c r="K187" s="111"/>
      <c r="L187" s="114"/>
      <c r="M187" s="115"/>
      <c r="N187" s="114"/>
      <c r="O187" s="115"/>
      <c r="P187" s="111"/>
      <c r="Q187" s="111"/>
      <c r="R187" s="111"/>
      <c r="S187" s="111"/>
      <c r="T187" s="111"/>
      <c r="U187" s="114"/>
      <c r="V187" s="74"/>
      <c r="W187" s="85"/>
      <c r="X187" s="74"/>
      <c r="Y187" s="74"/>
      <c r="Z187" s="74"/>
      <c r="AA187" s="74"/>
      <c r="AB187" s="74"/>
      <c r="AC187" s="74"/>
      <c r="AD187" s="74"/>
    </row>
    <row r="188">
      <c r="A188" s="116"/>
      <c r="B188" s="111"/>
      <c r="C188" s="117"/>
      <c r="D188" s="111"/>
      <c r="E188" s="111"/>
      <c r="F188" s="111"/>
      <c r="G188" s="111"/>
      <c r="H188" s="111"/>
      <c r="I188" s="116"/>
      <c r="J188" s="113"/>
      <c r="K188" s="111"/>
      <c r="L188" s="114"/>
      <c r="M188" s="115"/>
      <c r="N188" s="114"/>
      <c r="O188" s="115"/>
      <c r="P188" s="111"/>
      <c r="Q188" s="111"/>
      <c r="R188" s="111"/>
      <c r="S188" s="111"/>
      <c r="T188" s="111"/>
      <c r="U188" s="114"/>
      <c r="V188" s="74"/>
      <c r="W188" s="85"/>
      <c r="X188" s="74"/>
      <c r="Y188" s="74"/>
      <c r="Z188" s="74"/>
      <c r="AA188" s="74"/>
      <c r="AB188" s="74"/>
      <c r="AC188" s="74"/>
      <c r="AD188" s="74"/>
    </row>
    <row r="189">
      <c r="A189" s="116"/>
      <c r="B189" s="111"/>
      <c r="C189" s="117"/>
      <c r="D189" s="111"/>
      <c r="E189" s="111"/>
      <c r="F189" s="111"/>
      <c r="G189" s="111"/>
      <c r="H189" s="111"/>
      <c r="I189" s="116"/>
      <c r="J189" s="113"/>
      <c r="K189" s="111"/>
      <c r="L189" s="114"/>
      <c r="M189" s="115"/>
      <c r="N189" s="114"/>
      <c r="O189" s="115"/>
      <c r="P189" s="111"/>
      <c r="Q189" s="111"/>
      <c r="R189" s="111"/>
      <c r="S189" s="111"/>
      <c r="T189" s="111"/>
      <c r="U189" s="114"/>
      <c r="V189" s="74"/>
      <c r="W189" s="85"/>
      <c r="X189" s="74"/>
      <c r="Y189" s="74"/>
      <c r="Z189" s="74"/>
      <c r="AA189" s="74"/>
      <c r="AB189" s="74"/>
      <c r="AC189" s="74"/>
      <c r="AD189" s="74"/>
    </row>
    <row r="190">
      <c r="A190" s="116"/>
      <c r="B190" s="111"/>
      <c r="C190" s="117"/>
      <c r="D190" s="111"/>
      <c r="E190" s="111"/>
      <c r="F190" s="111"/>
      <c r="G190" s="111"/>
      <c r="H190" s="111"/>
      <c r="I190" s="116"/>
      <c r="J190" s="113"/>
      <c r="K190" s="111"/>
      <c r="L190" s="114"/>
      <c r="M190" s="115"/>
      <c r="N190" s="114"/>
      <c r="O190" s="115"/>
      <c r="P190" s="111"/>
      <c r="Q190" s="111"/>
      <c r="R190" s="111"/>
      <c r="S190" s="111"/>
      <c r="T190" s="111"/>
      <c r="U190" s="114"/>
      <c r="V190" s="74"/>
      <c r="W190" s="85"/>
      <c r="X190" s="74"/>
      <c r="Y190" s="74"/>
      <c r="Z190" s="74"/>
      <c r="AA190" s="74"/>
      <c r="AB190" s="74"/>
      <c r="AC190" s="74"/>
      <c r="AD190" s="74"/>
    </row>
    <row r="191">
      <c r="A191" s="116"/>
      <c r="B191" s="111"/>
      <c r="C191" s="117"/>
      <c r="D191" s="111"/>
      <c r="E191" s="111"/>
      <c r="F191" s="111"/>
      <c r="G191" s="111"/>
      <c r="H191" s="111"/>
      <c r="I191" s="116"/>
      <c r="J191" s="113"/>
      <c r="K191" s="111"/>
      <c r="L191" s="114"/>
      <c r="M191" s="115"/>
      <c r="N191" s="114"/>
      <c r="O191" s="115"/>
      <c r="P191" s="111"/>
      <c r="Q191" s="111"/>
      <c r="R191" s="111"/>
      <c r="S191" s="111"/>
      <c r="T191" s="111"/>
      <c r="U191" s="114"/>
      <c r="V191" s="74"/>
      <c r="W191" s="85"/>
      <c r="X191" s="74"/>
      <c r="Y191" s="74"/>
      <c r="Z191" s="74"/>
      <c r="AA191" s="74"/>
      <c r="AB191" s="74"/>
      <c r="AC191" s="74"/>
      <c r="AD191" s="74"/>
    </row>
    <row r="192">
      <c r="A192" s="116"/>
      <c r="B192" s="111"/>
      <c r="C192" s="117"/>
      <c r="D192" s="111"/>
      <c r="E192" s="111"/>
      <c r="F192" s="111"/>
      <c r="G192" s="111"/>
      <c r="H192" s="111"/>
      <c r="I192" s="116"/>
      <c r="J192" s="113"/>
      <c r="K192" s="111"/>
      <c r="L192" s="114"/>
      <c r="M192" s="115"/>
      <c r="N192" s="114"/>
      <c r="O192" s="115"/>
      <c r="P192" s="111"/>
      <c r="Q192" s="111"/>
      <c r="R192" s="111"/>
      <c r="S192" s="111"/>
      <c r="T192" s="111"/>
      <c r="U192" s="114"/>
      <c r="V192" s="74"/>
      <c r="W192" s="85"/>
      <c r="X192" s="74"/>
      <c r="Y192" s="74"/>
      <c r="Z192" s="74"/>
      <c r="AA192" s="74"/>
      <c r="AB192" s="74"/>
      <c r="AC192" s="74"/>
      <c r="AD192" s="74"/>
    </row>
    <row r="193">
      <c r="A193" s="116"/>
      <c r="B193" s="111"/>
      <c r="C193" s="117"/>
      <c r="D193" s="111"/>
      <c r="E193" s="111"/>
      <c r="F193" s="111"/>
      <c r="G193" s="111"/>
      <c r="H193" s="111"/>
      <c r="I193" s="116"/>
      <c r="J193" s="113"/>
      <c r="K193" s="111"/>
      <c r="L193" s="114"/>
      <c r="M193" s="115"/>
      <c r="N193" s="114"/>
      <c r="O193" s="115"/>
      <c r="P193" s="111"/>
      <c r="Q193" s="111"/>
      <c r="R193" s="111"/>
      <c r="S193" s="111"/>
      <c r="T193" s="111"/>
      <c r="U193" s="114"/>
      <c r="V193" s="74"/>
      <c r="W193" s="85"/>
      <c r="X193" s="74"/>
      <c r="Y193" s="74"/>
      <c r="Z193" s="74"/>
      <c r="AA193" s="74"/>
      <c r="AB193" s="74"/>
      <c r="AC193" s="74"/>
      <c r="AD193" s="74"/>
    </row>
    <row r="194">
      <c r="A194" s="116"/>
      <c r="B194" s="111"/>
      <c r="C194" s="117"/>
      <c r="D194" s="111"/>
      <c r="E194" s="111"/>
      <c r="F194" s="111"/>
      <c r="G194" s="111"/>
      <c r="H194" s="111"/>
      <c r="I194" s="116"/>
      <c r="J194" s="113"/>
      <c r="K194" s="111"/>
      <c r="L194" s="114"/>
      <c r="M194" s="115"/>
      <c r="N194" s="114"/>
      <c r="O194" s="115"/>
      <c r="P194" s="111"/>
      <c r="Q194" s="111"/>
      <c r="R194" s="111"/>
      <c r="S194" s="111"/>
      <c r="T194" s="111"/>
      <c r="U194" s="114"/>
      <c r="V194" s="74"/>
      <c r="W194" s="85"/>
      <c r="X194" s="74"/>
      <c r="Y194" s="74"/>
      <c r="Z194" s="74"/>
      <c r="AA194" s="74"/>
      <c r="AB194" s="74"/>
      <c r="AC194" s="74"/>
      <c r="AD194" s="74"/>
    </row>
    <row r="195">
      <c r="A195" s="116"/>
      <c r="B195" s="111"/>
      <c r="C195" s="117"/>
      <c r="D195" s="111"/>
      <c r="E195" s="111"/>
      <c r="F195" s="111"/>
      <c r="G195" s="111"/>
      <c r="H195" s="111"/>
      <c r="I195" s="116"/>
      <c r="J195" s="113"/>
      <c r="K195" s="111"/>
      <c r="L195" s="114"/>
      <c r="M195" s="115"/>
      <c r="N195" s="114"/>
      <c r="O195" s="115"/>
      <c r="P195" s="111"/>
      <c r="Q195" s="111"/>
      <c r="R195" s="111"/>
      <c r="S195" s="111"/>
      <c r="T195" s="111"/>
      <c r="U195" s="114"/>
      <c r="V195" s="74"/>
      <c r="W195" s="85"/>
      <c r="X195" s="74"/>
      <c r="Y195" s="74"/>
      <c r="Z195" s="74"/>
      <c r="AA195" s="74"/>
      <c r="AB195" s="74"/>
      <c r="AC195" s="74"/>
      <c r="AD195" s="74"/>
    </row>
    <row r="196">
      <c r="A196" s="116"/>
      <c r="B196" s="111"/>
      <c r="C196" s="117"/>
      <c r="D196" s="111"/>
      <c r="E196" s="111"/>
      <c r="F196" s="111"/>
      <c r="G196" s="111"/>
      <c r="H196" s="111"/>
      <c r="I196" s="116"/>
      <c r="J196" s="113"/>
      <c r="K196" s="111"/>
      <c r="L196" s="114"/>
      <c r="M196" s="115"/>
      <c r="N196" s="114"/>
      <c r="O196" s="115"/>
      <c r="P196" s="111"/>
      <c r="Q196" s="111"/>
      <c r="R196" s="111"/>
      <c r="S196" s="111"/>
      <c r="T196" s="111"/>
      <c r="U196" s="114"/>
      <c r="V196" s="74"/>
      <c r="W196" s="85"/>
      <c r="X196" s="74"/>
      <c r="Y196" s="74"/>
      <c r="Z196" s="74"/>
      <c r="AA196" s="74"/>
      <c r="AB196" s="74"/>
      <c r="AC196" s="74"/>
      <c r="AD196" s="74"/>
    </row>
    <row r="197">
      <c r="A197" s="116"/>
      <c r="B197" s="111"/>
      <c r="C197" s="117"/>
      <c r="D197" s="111"/>
      <c r="E197" s="111"/>
      <c r="F197" s="111"/>
      <c r="G197" s="111"/>
      <c r="H197" s="111"/>
      <c r="I197" s="116"/>
      <c r="J197" s="113"/>
      <c r="K197" s="111"/>
      <c r="L197" s="114"/>
      <c r="M197" s="115"/>
      <c r="N197" s="114"/>
      <c r="O197" s="115"/>
      <c r="P197" s="111"/>
      <c r="Q197" s="111"/>
      <c r="R197" s="111"/>
      <c r="S197" s="111"/>
      <c r="T197" s="111"/>
      <c r="U197" s="114"/>
      <c r="V197" s="74"/>
      <c r="W197" s="85"/>
      <c r="X197" s="74"/>
      <c r="Y197" s="74"/>
      <c r="Z197" s="74"/>
      <c r="AA197" s="74"/>
      <c r="AB197" s="74"/>
      <c r="AC197" s="74"/>
      <c r="AD197" s="74"/>
    </row>
    <row r="198">
      <c r="A198" s="116"/>
      <c r="B198" s="111"/>
      <c r="C198" s="117"/>
      <c r="D198" s="111"/>
      <c r="E198" s="111"/>
      <c r="F198" s="111"/>
      <c r="G198" s="111"/>
      <c r="H198" s="111"/>
      <c r="I198" s="116"/>
      <c r="J198" s="113"/>
      <c r="K198" s="111"/>
      <c r="L198" s="114"/>
      <c r="M198" s="115"/>
      <c r="N198" s="114"/>
      <c r="O198" s="115"/>
      <c r="P198" s="111"/>
      <c r="Q198" s="111"/>
      <c r="R198" s="111"/>
      <c r="S198" s="111"/>
      <c r="T198" s="111"/>
      <c r="U198" s="114"/>
      <c r="V198" s="74"/>
      <c r="W198" s="85"/>
      <c r="X198" s="74"/>
      <c r="Y198" s="74"/>
      <c r="Z198" s="74"/>
      <c r="AA198" s="74"/>
      <c r="AB198" s="74"/>
      <c r="AC198" s="74"/>
      <c r="AD198" s="74"/>
    </row>
    <row r="199">
      <c r="A199" s="116"/>
      <c r="B199" s="111"/>
      <c r="C199" s="117"/>
      <c r="D199" s="111"/>
      <c r="E199" s="111"/>
      <c r="F199" s="111"/>
      <c r="G199" s="111"/>
      <c r="H199" s="111"/>
      <c r="I199" s="116"/>
      <c r="J199" s="113"/>
      <c r="K199" s="111"/>
      <c r="L199" s="114"/>
      <c r="M199" s="115"/>
      <c r="N199" s="114"/>
      <c r="O199" s="115"/>
      <c r="P199" s="111"/>
      <c r="Q199" s="111"/>
      <c r="R199" s="111"/>
      <c r="S199" s="111"/>
      <c r="T199" s="111"/>
      <c r="U199" s="114"/>
      <c r="V199" s="74"/>
      <c r="W199" s="85"/>
      <c r="X199" s="74"/>
      <c r="Y199" s="74"/>
      <c r="Z199" s="74"/>
      <c r="AA199" s="74"/>
      <c r="AB199" s="74"/>
      <c r="AC199" s="74"/>
      <c r="AD199" s="74"/>
    </row>
    <row r="200">
      <c r="A200" s="116"/>
      <c r="B200" s="111"/>
      <c r="C200" s="117"/>
      <c r="D200" s="111"/>
      <c r="E200" s="111"/>
      <c r="F200" s="111"/>
      <c r="G200" s="111"/>
      <c r="H200" s="111"/>
      <c r="I200" s="116"/>
      <c r="J200" s="113"/>
      <c r="K200" s="111"/>
      <c r="L200" s="114"/>
      <c r="M200" s="115"/>
      <c r="N200" s="114"/>
      <c r="O200" s="115"/>
      <c r="P200" s="111"/>
      <c r="Q200" s="111"/>
      <c r="R200" s="111"/>
      <c r="S200" s="111"/>
      <c r="T200" s="111"/>
      <c r="U200" s="114"/>
      <c r="V200" s="74"/>
      <c r="W200" s="85"/>
      <c r="X200" s="74"/>
      <c r="Y200" s="74"/>
      <c r="Z200" s="74"/>
      <c r="AA200" s="74"/>
      <c r="AB200" s="74"/>
      <c r="AC200" s="74"/>
      <c r="AD200" s="74"/>
    </row>
    <row r="201">
      <c r="A201" s="116"/>
      <c r="B201" s="111"/>
      <c r="C201" s="117"/>
      <c r="D201" s="111"/>
      <c r="E201" s="111"/>
      <c r="F201" s="111"/>
      <c r="G201" s="111"/>
      <c r="H201" s="111"/>
      <c r="I201" s="116"/>
      <c r="J201" s="113"/>
      <c r="K201" s="111"/>
      <c r="L201" s="114"/>
      <c r="M201" s="115"/>
      <c r="N201" s="114"/>
      <c r="O201" s="115"/>
      <c r="P201" s="111"/>
      <c r="Q201" s="111"/>
      <c r="R201" s="111"/>
      <c r="S201" s="111"/>
      <c r="T201" s="111"/>
      <c r="U201" s="114"/>
      <c r="V201" s="74"/>
      <c r="W201" s="85"/>
      <c r="X201" s="74"/>
      <c r="Y201" s="74"/>
      <c r="Z201" s="74"/>
      <c r="AA201" s="74"/>
      <c r="AB201" s="74"/>
      <c r="AC201" s="74"/>
      <c r="AD201" s="74"/>
    </row>
    <row r="202">
      <c r="A202" s="116"/>
      <c r="B202" s="111"/>
      <c r="C202" s="117"/>
      <c r="D202" s="111"/>
      <c r="E202" s="111"/>
      <c r="F202" s="111"/>
      <c r="G202" s="111"/>
      <c r="H202" s="111"/>
      <c r="I202" s="116"/>
      <c r="J202" s="113"/>
      <c r="K202" s="111"/>
      <c r="L202" s="114"/>
      <c r="M202" s="115"/>
      <c r="N202" s="114"/>
      <c r="O202" s="115"/>
      <c r="P202" s="111"/>
      <c r="Q202" s="111"/>
      <c r="R202" s="111"/>
      <c r="S202" s="111"/>
      <c r="T202" s="111"/>
      <c r="U202" s="114"/>
      <c r="V202" s="74"/>
      <c r="W202" s="85"/>
      <c r="X202" s="74"/>
      <c r="Y202" s="74"/>
      <c r="Z202" s="74"/>
      <c r="AA202" s="74"/>
      <c r="AB202" s="74"/>
      <c r="AC202" s="74"/>
      <c r="AD202" s="74"/>
    </row>
    <row r="203">
      <c r="A203" s="116"/>
      <c r="B203" s="111"/>
      <c r="C203" s="117"/>
      <c r="D203" s="111"/>
      <c r="E203" s="111"/>
      <c r="F203" s="111"/>
      <c r="G203" s="111"/>
      <c r="H203" s="111"/>
      <c r="I203" s="116"/>
      <c r="J203" s="113"/>
      <c r="K203" s="111"/>
      <c r="L203" s="114"/>
      <c r="M203" s="115"/>
      <c r="N203" s="114"/>
      <c r="O203" s="115"/>
      <c r="P203" s="111"/>
      <c r="Q203" s="111"/>
      <c r="R203" s="111"/>
      <c r="S203" s="111"/>
      <c r="T203" s="111"/>
      <c r="U203" s="114"/>
      <c r="V203" s="74"/>
      <c r="W203" s="85"/>
      <c r="X203" s="74"/>
      <c r="Y203" s="74"/>
      <c r="Z203" s="74"/>
      <c r="AA203" s="74"/>
      <c r="AB203" s="74"/>
      <c r="AC203" s="74"/>
      <c r="AD203" s="74"/>
    </row>
    <row r="204">
      <c r="A204" s="116"/>
      <c r="B204" s="111"/>
      <c r="C204" s="117"/>
      <c r="D204" s="111"/>
      <c r="E204" s="111"/>
      <c r="F204" s="111"/>
      <c r="G204" s="111"/>
      <c r="H204" s="111"/>
      <c r="I204" s="116"/>
      <c r="J204" s="113"/>
      <c r="K204" s="111"/>
      <c r="L204" s="114"/>
      <c r="M204" s="115"/>
      <c r="N204" s="114"/>
      <c r="O204" s="115"/>
      <c r="P204" s="111"/>
      <c r="Q204" s="111"/>
      <c r="R204" s="111"/>
      <c r="S204" s="111"/>
      <c r="T204" s="111"/>
      <c r="U204" s="114"/>
      <c r="V204" s="74"/>
      <c r="W204" s="85"/>
      <c r="X204" s="74"/>
      <c r="Y204" s="74"/>
      <c r="Z204" s="74"/>
      <c r="AA204" s="74"/>
      <c r="AB204" s="74"/>
      <c r="AC204" s="74"/>
      <c r="AD204" s="74"/>
    </row>
    <row r="205">
      <c r="A205" s="116"/>
      <c r="B205" s="111"/>
      <c r="C205" s="117"/>
      <c r="D205" s="111"/>
      <c r="E205" s="111"/>
      <c r="F205" s="111"/>
      <c r="G205" s="111"/>
      <c r="H205" s="111"/>
      <c r="I205" s="116"/>
      <c r="J205" s="113"/>
      <c r="K205" s="111"/>
      <c r="L205" s="114"/>
      <c r="M205" s="115"/>
      <c r="N205" s="114"/>
      <c r="O205" s="115"/>
      <c r="P205" s="111"/>
      <c r="Q205" s="111"/>
      <c r="R205" s="111"/>
      <c r="S205" s="111"/>
      <c r="T205" s="111"/>
      <c r="U205" s="114"/>
      <c r="V205" s="74"/>
      <c r="W205" s="85"/>
      <c r="X205" s="74"/>
      <c r="Y205" s="74"/>
      <c r="Z205" s="74"/>
      <c r="AA205" s="74"/>
      <c r="AB205" s="74"/>
      <c r="AC205" s="74"/>
      <c r="AD205" s="74"/>
    </row>
    <row r="206">
      <c r="A206" s="116"/>
      <c r="B206" s="111"/>
      <c r="C206" s="117"/>
      <c r="D206" s="111"/>
      <c r="E206" s="111"/>
      <c r="F206" s="111"/>
      <c r="G206" s="111"/>
      <c r="H206" s="111"/>
      <c r="I206" s="116"/>
      <c r="J206" s="113"/>
      <c r="K206" s="111"/>
      <c r="L206" s="114"/>
      <c r="M206" s="115"/>
      <c r="N206" s="114"/>
      <c r="O206" s="115"/>
      <c r="P206" s="111"/>
      <c r="Q206" s="111"/>
      <c r="R206" s="111"/>
      <c r="S206" s="111"/>
      <c r="T206" s="111"/>
      <c r="U206" s="114"/>
      <c r="V206" s="74"/>
      <c r="W206" s="85"/>
      <c r="X206" s="74"/>
      <c r="Y206" s="74"/>
      <c r="Z206" s="74"/>
      <c r="AA206" s="74"/>
      <c r="AB206" s="74"/>
      <c r="AC206" s="74"/>
      <c r="AD206" s="74"/>
    </row>
    <row r="207">
      <c r="A207" s="116"/>
      <c r="B207" s="111"/>
      <c r="C207" s="117"/>
      <c r="D207" s="111"/>
      <c r="E207" s="111"/>
      <c r="F207" s="111"/>
      <c r="G207" s="111"/>
      <c r="H207" s="111"/>
      <c r="I207" s="116"/>
      <c r="J207" s="113"/>
      <c r="K207" s="111"/>
      <c r="L207" s="114"/>
      <c r="M207" s="115"/>
      <c r="N207" s="114"/>
      <c r="O207" s="115"/>
      <c r="P207" s="111"/>
      <c r="Q207" s="111"/>
      <c r="R207" s="111"/>
      <c r="S207" s="111"/>
      <c r="T207" s="111"/>
      <c r="U207" s="114"/>
      <c r="V207" s="74"/>
      <c r="W207" s="85"/>
      <c r="X207" s="74"/>
      <c r="Y207" s="74"/>
      <c r="Z207" s="74"/>
      <c r="AA207" s="74"/>
      <c r="AB207" s="74"/>
      <c r="AC207" s="74"/>
      <c r="AD207" s="74"/>
    </row>
    <row r="208">
      <c r="A208" s="116"/>
      <c r="B208" s="111"/>
      <c r="C208" s="117"/>
      <c r="D208" s="111"/>
      <c r="E208" s="111"/>
      <c r="F208" s="111"/>
      <c r="G208" s="111"/>
      <c r="H208" s="111"/>
      <c r="I208" s="116"/>
      <c r="J208" s="113"/>
      <c r="K208" s="111"/>
      <c r="L208" s="114"/>
      <c r="M208" s="115"/>
      <c r="N208" s="114"/>
      <c r="O208" s="115"/>
      <c r="P208" s="111"/>
      <c r="Q208" s="111"/>
      <c r="R208" s="111"/>
      <c r="S208" s="111"/>
      <c r="T208" s="111"/>
      <c r="U208" s="114"/>
      <c r="V208" s="74"/>
      <c r="W208" s="85"/>
      <c r="X208" s="74"/>
      <c r="Y208" s="74"/>
      <c r="Z208" s="74"/>
      <c r="AA208" s="74"/>
      <c r="AB208" s="74"/>
      <c r="AC208" s="74"/>
      <c r="AD208" s="74"/>
    </row>
    <row r="209">
      <c r="A209" s="116"/>
      <c r="B209" s="111"/>
      <c r="C209" s="117"/>
      <c r="D209" s="111"/>
      <c r="E209" s="111"/>
      <c r="F209" s="111"/>
      <c r="G209" s="111"/>
      <c r="H209" s="111"/>
      <c r="I209" s="116"/>
      <c r="J209" s="113"/>
      <c r="K209" s="111"/>
      <c r="L209" s="114"/>
      <c r="M209" s="115"/>
      <c r="N209" s="114"/>
      <c r="O209" s="115"/>
      <c r="P209" s="111"/>
      <c r="Q209" s="111"/>
      <c r="R209" s="111"/>
      <c r="S209" s="111"/>
      <c r="T209" s="111"/>
      <c r="U209" s="114"/>
      <c r="V209" s="74"/>
      <c r="W209" s="85"/>
      <c r="X209" s="74"/>
      <c r="Y209" s="74"/>
      <c r="Z209" s="74"/>
      <c r="AA209" s="74"/>
      <c r="AB209" s="74"/>
      <c r="AC209" s="74"/>
      <c r="AD209" s="74"/>
    </row>
    <row r="210">
      <c r="A210" s="116"/>
      <c r="B210" s="111"/>
      <c r="C210" s="117"/>
      <c r="D210" s="111"/>
      <c r="E210" s="111"/>
      <c r="F210" s="111"/>
      <c r="G210" s="111"/>
      <c r="H210" s="111"/>
      <c r="I210" s="116"/>
      <c r="J210" s="113"/>
      <c r="K210" s="111"/>
      <c r="L210" s="114"/>
      <c r="M210" s="115"/>
      <c r="N210" s="114"/>
      <c r="O210" s="115"/>
      <c r="P210" s="111"/>
      <c r="Q210" s="111"/>
      <c r="R210" s="111"/>
      <c r="S210" s="111"/>
      <c r="T210" s="111"/>
      <c r="U210" s="114"/>
      <c r="V210" s="74"/>
      <c r="W210" s="85"/>
      <c r="X210" s="74"/>
      <c r="Y210" s="74"/>
      <c r="Z210" s="74"/>
      <c r="AA210" s="74"/>
      <c r="AB210" s="74"/>
      <c r="AC210" s="74"/>
      <c r="AD210" s="74"/>
    </row>
    <row r="211">
      <c r="A211" s="116"/>
      <c r="B211" s="111"/>
      <c r="C211" s="117"/>
      <c r="D211" s="111"/>
      <c r="E211" s="111"/>
      <c r="F211" s="111"/>
      <c r="G211" s="111"/>
      <c r="H211" s="111"/>
      <c r="I211" s="116"/>
      <c r="J211" s="113"/>
      <c r="K211" s="111"/>
      <c r="L211" s="114"/>
      <c r="M211" s="115"/>
      <c r="N211" s="114"/>
      <c r="O211" s="115"/>
      <c r="P211" s="111"/>
      <c r="Q211" s="111"/>
      <c r="R211" s="111"/>
      <c r="S211" s="111"/>
      <c r="T211" s="111"/>
      <c r="U211" s="114"/>
      <c r="V211" s="74"/>
      <c r="W211" s="85"/>
      <c r="X211" s="74"/>
      <c r="Y211" s="74"/>
      <c r="Z211" s="74"/>
      <c r="AA211" s="74"/>
      <c r="AB211" s="74"/>
      <c r="AC211" s="74"/>
      <c r="AD211" s="74"/>
    </row>
    <row r="212">
      <c r="A212" s="116"/>
      <c r="B212" s="111"/>
      <c r="C212" s="117"/>
      <c r="D212" s="111"/>
      <c r="E212" s="111"/>
      <c r="F212" s="111"/>
      <c r="G212" s="111"/>
      <c r="H212" s="111"/>
      <c r="I212" s="116"/>
      <c r="J212" s="113"/>
      <c r="K212" s="111"/>
      <c r="L212" s="114"/>
      <c r="M212" s="115"/>
      <c r="N212" s="114"/>
      <c r="O212" s="115"/>
      <c r="P212" s="111"/>
      <c r="Q212" s="111"/>
      <c r="R212" s="111"/>
      <c r="S212" s="111"/>
      <c r="T212" s="111"/>
      <c r="U212" s="114"/>
      <c r="V212" s="74"/>
      <c r="W212" s="85"/>
      <c r="X212" s="74"/>
      <c r="Y212" s="74"/>
      <c r="Z212" s="74"/>
      <c r="AA212" s="74"/>
      <c r="AB212" s="74"/>
      <c r="AC212" s="74"/>
      <c r="AD212" s="74"/>
    </row>
    <row r="213">
      <c r="A213" s="116"/>
      <c r="B213" s="111"/>
      <c r="C213" s="117"/>
      <c r="D213" s="111"/>
      <c r="E213" s="111"/>
      <c r="F213" s="111"/>
      <c r="G213" s="111"/>
      <c r="H213" s="111"/>
      <c r="I213" s="116"/>
      <c r="J213" s="113"/>
      <c r="K213" s="111"/>
      <c r="L213" s="114"/>
      <c r="M213" s="115"/>
      <c r="N213" s="114"/>
      <c r="O213" s="115"/>
      <c r="P213" s="111"/>
      <c r="Q213" s="111"/>
      <c r="R213" s="111"/>
      <c r="S213" s="111"/>
      <c r="T213" s="111"/>
      <c r="U213" s="114"/>
      <c r="V213" s="74"/>
      <c r="W213" s="85"/>
      <c r="X213" s="74"/>
      <c r="Y213" s="74"/>
      <c r="Z213" s="74"/>
      <c r="AA213" s="74"/>
      <c r="AB213" s="74"/>
      <c r="AC213" s="74"/>
      <c r="AD213" s="74"/>
    </row>
    <row r="214">
      <c r="A214" s="116"/>
      <c r="B214" s="111"/>
      <c r="C214" s="117"/>
      <c r="D214" s="111"/>
      <c r="E214" s="111"/>
      <c r="F214" s="111"/>
      <c r="G214" s="111"/>
      <c r="H214" s="111"/>
      <c r="I214" s="116"/>
      <c r="J214" s="113"/>
      <c r="K214" s="111"/>
      <c r="L214" s="114"/>
      <c r="M214" s="115"/>
      <c r="N214" s="114"/>
      <c r="O214" s="115"/>
      <c r="P214" s="111"/>
      <c r="Q214" s="111"/>
      <c r="R214" s="111"/>
      <c r="S214" s="111"/>
      <c r="T214" s="111"/>
      <c r="U214" s="114"/>
      <c r="V214" s="74"/>
      <c r="W214" s="85"/>
      <c r="X214" s="74"/>
      <c r="Y214" s="74"/>
      <c r="Z214" s="74"/>
      <c r="AA214" s="74"/>
      <c r="AB214" s="74"/>
      <c r="AC214" s="74"/>
      <c r="AD214" s="74"/>
    </row>
    <row r="215">
      <c r="A215" s="116"/>
      <c r="B215" s="111"/>
      <c r="C215" s="117"/>
      <c r="D215" s="111"/>
      <c r="E215" s="111"/>
      <c r="F215" s="111"/>
      <c r="G215" s="111"/>
      <c r="H215" s="111"/>
      <c r="I215" s="116"/>
      <c r="J215" s="113"/>
      <c r="K215" s="111"/>
      <c r="L215" s="114"/>
      <c r="M215" s="115"/>
      <c r="N215" s="114"/>
      <c r="O215" s="115"/>
      <c r="P215" s="111"/>
      <c r="Q215" s="111"/>
      <c r="R215" s="111"/>
      <c r="S215" s="111"/>
      <c r="T215" s="111"/>
      <c r="U215" s="114"/>
      <c r="V215" s="74"/>
      <c r="W215" s="85"/>
      <c r="X215" s="74"/>
      <c r="Y215" s="74"/>
      <c r="Z215" s="74"/>
      <c r="AA215" s="74"/>
      <c r="AB215" s="74"/>
      <c r="AC215" s="74"/>
      <c r="AD215" s="74"/>
    </row>
    <row r="216">
      <c r="A216" s="116"/>
      <c r="B216" s="111"/>
      <c r="C216" s="117"/>
      <c r="D216" s="111"/>
      <c r="E216" s="111"/>
      <c r="F216" s="111"/>
      <c r="G216" s="111"/>
      <c r="H216" s="111"/>
      <c r="I216" s="116"/>
      <c r="J216" s="113"/>
      <c r="K216" s="111"/>
      <c r="L216" s="114"/>
      <c r="M216" s="115"/>
      <c r="N216" s="114"/>
      <c r="O216" s="115"/>
      <c r="P216" s="111"/>
      <c r="Q216" s="111"/>
      <c r="R216" s="111"/>
      <c r="S216" s="111"/>
      <c r="T216" s="111"/>
      <c r="U216" s="114"/>
      <c r="V216" s="74"/>
      <c r="W216" s="85"/>
      <c r="X216" s="74"/>
      <c r="Y216" s="74"/>
      <c r="Z216" s="74"/>
      <c r="AA216" s="74"/>
      <c r="AB216" s="74"/>
      <c r="AC216" s="74"/>
      <c r="AD216" s="74"/>
    </row>
    <row r="217">
      <c r="A217" s="116"/>
      <c r="B217" s="111"/>
      <c r="C217" s="117"/>
      <c r="D217" s="111"/>
      <c r="E217" s="111"/>
      <c r="F217" s="111"/>
      <c r="G217" s="111"/>
      <c r="H217" s="111"/>
      <c r="I217" s="116"/>
      <c r="J217" s="113"/>
      <c r="K217" s="111"/>
      <c r="L217" s="114"/>
      <c r="M217" s="115"/>
      <c r="N217" s="114"/>
      <c r="O217" s="115"/>
      <c r="P217" s="111"/>
      <c r="Q217" s="111"/>
      <c r="R217" s="111"/>
      <c r="S217" s="111"/>
      <c r="T217" s="111"/>
      <c r="U217" s="114"/>
      <c r="V217" s="74"/>
      <c r="W217" s="85"/>
      <c r="X217" s="74"/>
      <c r="Y217" s="74"/>
      <c r="Z217" s="74"/>
      <c r="AA217" s="74"/>
      <c r="AB217" s="74"/>
      <c r="AC217" s="74"/>
      <c r="AD217" s="74"/>
    </row>
    <row r="218">
      <c r="A218" s="116"/>
      <c r="B218" s="111"/>
      <c r="C218" s="117"/>
      <c r="D218" s="111"/>
      <c r="E218" s="111"/>
      <c r="F218" s="111"/>
      <c r="G218" s="111"/>
      <c r="H218" s="111"/>
      <c r="I218" s="116"/>
      <c r="J218" s="113"/>
      <c r="K218" s="111"/>
      <c r="L218" s="114"/>
      <c r="M218" s="115"/>
      <c r="N218" s="114"/>
      <c r="O218" s="115"/>
      <c r="P218" s="111"/>
      <c r="Q218" s="111"/>
      <c r="R218" s="111"/>
      <c r="S218" s="111"/>
      <c r="T218" s="111"/>
      <c r="U218" s="114"/>
      <c r="V218" s="74"/>
      <c r="W218" s="85"/>
      <c r="X218" s="74"/>
      <c r="Y218" s="74"/>
      <c r="Z218" s="74"/>
      <c r="AA218" s="74"/>
      <c r="AB218" s="74"/>
      <c r="AC218" s="74"/>
      <c r="AD218" s="74"/>
    </row>
    <row r="219">
      <c r="A219" s="116"/>
      <c r="B219" s="111"/>
      <c r="C219" s="117"/>
      <c r="D219" s="111"/>
      <c r="E219" s="111"/>
      <c r="F219" s="111"/>
      <c r="G219" s="111"/>
      <c r="H219" s="111"/>
      <c r="I219" s="116"/>
      <c r="J219" s="113"/>
      <c r="K219" s="111"/>
      <c r="L219" s="114"/>
      <c r="M219" s="115"/>
      <c r="N219" s="114"/>
      <c r="O219" s="115"/>
      <c r="P219" s="111"/>
      <c r="Q219" s="111"/>
      <c r="R219" s="111"/>
      <c r="S219" s="111"/>
      <c r="T219" s="111"/>
      <c r="U219" s="114"/>
      <c r="V219" s="74"/>
      <c r="W219" s="85"/>
      <c r="X219" s="74"/>
      <c r="Y219" s="74"/>
      <c r="Z219" s="74"/>
      <c r="AA219" s="74"/>
      <c r="AB219" s="74"/>
      <c r="AC219" s="74"/>
      <c r="AD219" s="74"/>
    </row>
    <row r="220">
      <c r="A220" s="116"/>
      <c r="B220" s="111"/>
      <c r="C220" s="117"/>
      <c r="D220" s="111"/>
      <c r="E220" s="111"/>
      <c r="F220" s="111"/>
      <c r="G220" s="111"/>
      <c r="H220" s="111"/>
      <c r="I220" s="116"/>
      <c r="J220" s="113"/>
      <c r="K220" s="111"/>
      <c r="L220" s="114"/>
      <c r="M220" s="115"/>
      <c r="N220" s="114"/>
      <c r="O220" s="115"/>
      <c r="P220" s="111"/>
      <c r="Q220" s="111"/>
      <c r="R220" s="111"/>
      <c r="S220" s="111"/>
      <c r="T220" s="111"/>
      <c r="U220" s="114"/>
      <c r="V220" s="74"/>
      <c r="W220" s="85"/>
      <c r="X220" s="74"/>
      <c r="Y220" s="74"/>
      <c r="Z220" s="74"/>
      <c r="AA220" s="74"/>
      <c r="AB220" s="74"/>
      <c r="AC220" s="74"/>
      <c r="AD220" s="74"/>
    </row>
    <row r="221">
      <c r="A221" s="116"/>
      <c r="B221" s="111"/>
      <c r="C221" s="117"/>
      <c r="D221" s="111"/>
      <c r="E221" s="111"/>
      <c r="F221" s="111"/>
      <c r="G221" s="111"/>
      <c r="H221" s="111"/>
      <c r="I221" s="116"/>
      <c r="J221" s="113"/>
      <c r="K221" s="111"/>
      <c r="L221" s="114"/>
      <c r="M221" s="115"/>
      <c r="N221" s="114"/>
      <c r="O221" s="115"/>
      <c r="P221" s="111"/>
      <c r="Q221" s="111"/>
      <c r="R221" s="111"/>
      <c r="S221" s="111"/>
      <c r="T221" s="111"/>
      <c r="U221" s="114"/>
      <c r="V221" s="74"/>
      <c r="W221" s="85"/>
      <c r="X221" s="74"/>
      <c r="Y221" s="74"/>
      <c r="Z221" s="74"/>
      <c r="AA221" s="74"/>
      <c r="AB221" s="74"/>
      <c r="AC221" s="74"/>
      <c r="AD221" s="74"/>
    </row>
    <row r="222">
      <c r="A222" s="116"/>
      <c r="B222" s="111"/>
      <c r="C222" s="117"/>
      <c r="D222" s="111"/>
      <c r="E222" s="111"/>
      <c r="F222" s="111"/>
      <c r="G222" s="111"/>
      <c r="H222" s="111"/>
      <c r="I222" s="116"/>
      <c r="J222" s="113"/>
      <c r="K222" s="111"/>
      <c r="L222" s="114"/>
      <c r="M222" s="115"/>
      <c r="N222" s="114"/>
      <c r="O222" s="115"/>
      <c r="P222" s="111"/>
      <c r="Q222" s="111"/>
      <c r="R222" s="111"/>
      <c r="S222" s="111"/>
      <c r="T222" s="111"/>
      <c r="U222" s="114"/>
      <c r="V222" s="74"/>
      <c r="W222" s="85"/>
      <c r="X222" s="74"/>
      <c r="Y222" s="74"/>
      <c r="Z222" s="74"/>
      <c r="AA222" s="74"/>
      <c r="AB222" s="74"/>
      <c r="AC222" s="74"/>
      <c r="AD222" s="74"/>
    </row>
    <row r="223">
      <c r="A223" s="116"/>
      <c r="B223" s="111"/>
      <c r="C223" s="117"/>
      <c r="D223" s="111"/>
      <c r="E223" s="111"/>
      <c r="F223" s="111"/>
      <c r="G223" s="111"/>
      <c r="H223" s="111"/>
      <c r="I223" s="116"/>
      <c r="J223" s="113"/>
      <c r="K223" s="111"/>
      <c r="L223" s="114"/>
      <c r="M223" s="115"/>
      <c r="N223" s="114"/>
      <c r="O223" s="115"/>
      <c r="P223" s="111"/>
      <c r="Q223" s="111"/>
      <c r="R223" s="111"/>
      <c r="S223" s="111"/>
      <c r="T223" s="111"/>
      <c r="U223" s="114"/>
      <c r="V223" s="74"/>
      <c r="W223" s="85"/>
      <c r="X223" s="74"/>
      <c r="Y223" s="74"/>
      <c r="Z223" s="74"/>
      <c r="AA223" s="74"/>
      <c r="AB223" s="74"/>
      <c r="AC223" s="74"/>
      <c r="AD223" s="74"/>
    </row>
    <row r="224">
      <c r="A224" s="116"/>
      <c r="B224" s="111"/>
      <c r="C224" s="117"/>
      <c r="D224" s="111"/>
      <c r="E224" s="111"/>
      <c r="F224" s="111"/>
      <c r="G224" s="111"/>
      <c r="H224" s="111"/>
      <c r="I224" s="116"/>
      <c r="J224" s="113"/>
      <c r="K224" s="111"/>
      <c r="L224" s="114"/>
      <c r="M224" s="115"/>
      <c r="N224" s="114"/>
      <c r="O224" s="115"/>
      <c r="P224" s="111"/>
      <c r="Q224" s="111"/>
      <c r="R224" s="111"/>
      <c r="S224" s="111"/>
      <c r="T224" s="111"/>
      <c r="U224" s="114"/>
      <c r="V224" s="74"/>
      <c r="W224" s="85"/>
      <c r="X224" s="74"/>
      <c r="Y224" s="74"/>
      <c r="Z224" s="74"/>
      <c r="AA224" s="74"/>
      <c r="AB224" s="74"/>
      <c r="AC224" s="74"/>
      <c r="AD224" s="74"/>
    </row>
    <row r="225">
      <c r="A225" s="116"/>
      <c r="B225" s="111"/>
      <c r="C225" s="117"/>
      <c r="D225" s="111"/>
      <c r="E225" s="111"/>
      <c r="F225" s="111"/>
      <c r="G225" s="111"/>
      <c r="H225" s="111"/>
      <c r="I225" s="116"/>
      <c r="J225" s="113"/>
      <c r="K225" s="111"/>
      <c r="L225" s="114"/>
      <c r="M225" s="115"/>
      <c r="N225" s="114"/>
      <c r="O225" s="115"/>
      <c r="P225" s="111"/>
      <c r="Q225" s="111"/>
      <c r="R225" s="111"/>
      <c r="S225" s="111"/>
      <c r="T225" s="111"/>
      <c r="U225" s="114"/>
      <c r="V225" s="74"/>
      <c r="W225" s="85"/>
      <c r="X225" s="74"/>
      <c r="Y225" s="74"/>
      <c r="Z225" s="74"/>
      <c r="AA225" s="74"/>
      <c r="AB225" s="74"/>
      <c r="AC225" s="74"/>
      <c r="AD225" s="74"/>
    </row>
    <row r="226">
      <c r="A226" s="116"/>
      <c r="B226" s="111"/>
      <c r="C226" s="117"/>
      <c r="D226" s="111"/>
      <c r="E226" s="111"/>
      <c r="F226" s="111"/>
      <c r="G226" s="111"/>
      <c r="H226" s="111"/>
      <c r="I226" s="116"/>
      <c r="J226" s="113"/>
      <c r="K226" s="111"/>
      <c r="L226" s="114"/>
      <c r="M226" s="115"/>
      <c r="N226" s="114"/>
      <c r="O226" s="115"/>
      <c r="P226" s="111"/>
      <c r="Q226" s="111"/>
      <c r="R226" s="111"/>
      <c r="S226" s="111"/>
      <c r="T226" s="111"/>
      <c r="U226" s="114"/>
      <c r="V226" s="74"/>
      <c r="W226" s="85"/>
      <c r="X226" s="74"/>
      <c r="Y226" s="74"/>
      <c r="Z226" s="74"/>
      <c r="AA226" s="74"/>
      <c r="AB226" s="74"/>
      <c r="AC226" s="74"/>
      <c r="AD226" s="74"/>
    </row>
    <row r="227">
      <c r="A227" s="116"/>
      <c r="B227" s="111"/>
      <c r="C227" s="117"/>
      <c r="D227" s="111"/>
      <c r="E227" s="111"/>
      <c r="F227" s="111"/>
      <c r="G227" s="111"/>
      <c r="H227" s="111"/>
      <c r="I227" s="116"/>
      <c r="J227" s="113"/>
      <c r="K227" s="111"/>
      <c r="L227" s="114"/>
      <c r="M227" s="115"/>
      <c r="N227" s="114"/>
      <c r="O227" s="115"/>
      <c r="P227" s="111"/>
      <c r="Q227" s="111"/>
      <c r="R227" s="111"/>
      <c r="S227" s="111"/>
      <c r="T227" s="111"/>
      <c r="U227" s="114"/>
      <c r="V227" s="74"/>
      <c r="W227" s="85"/>
      <c r="X227" s="74"/>
      <c r="Y227" s="74"/>
      <c r="Z227" s="74"/>
      <c r="AA227" s="74"/>
      <c r="AB227" s="74"/>
      <c r="AC227" s="74"/>
      <c r="AD227" s="74"/>
    </row>
    <row r="228">
      <c r="A228" s="116"/>
      <c r="B228" s="111"/>
      <c r="C228" s="117"/>
      <c r="D228" s="111"/>
      <c r="E228" s="111"/>
      <c r="F228" s="111"/>
      <c r="G228" s="111"/>
      <c r="H228" s="111"/>
      <c r="I228" s="116"/>
      <c r="J228" s="113"/>
      <c r="K228" s="111"/>
      <c r="L228" s="114"/>
      <c r="M228" s="115"/>
      <c r="N228" s="114"/>
      <c r="O228" s="115"/>
      <c r="P228" s="111"/>
      <c r="Q228" s="111"/>
      <c r="R228" s="111"/>
      <c r="S228" s="111"/>
      <c r="T228" s="111"/>
      <c r="U228" s="114"/>
      <c r="V228" s="74"/>
      <c r="W228" s="85"/>
      <c r="X228" s="74"/>
      <c r="Y228" s="74"/>
      <c r="Z228" s="74"/>
      <c r="AA228" s="74"/>
      <c r="AB228" s="74"/>
      <c r="AC228" s="74"/>
      <c r="AD228" s="74"/>
    </row>
    <row r="229">
      <c r="A229" s="116"/>
      <c r="B229" s="111"/>
      <c r="C229" s="117"/>
      <c r="D229" s="111"/>
      <c r="E229" s="111"/>
      <c r="F229" s="111"/>
      <c r="G229" s="111"/>
      <c r="H229" s="111"/>
      <c r="I229" s="116"/>
      <c r="J229" s="113"/>
      <c r="K229" s="111"/>
      <c r="L229" s="114"/>
      <c r="M229" s="115"/>
      <c r="N229" s="114"/>
      <c r="O229" s="115"/>
      <c r="P229" s="111"/>
      <c r="Q229" s="111"/>
      <c r="R229" s="111"/>
      <c r="S229" s="111"/>
      <c r="T229" s="111"/>
      <c r="U229" s="114"/>
      <c r="V229" s="74"/>
      <c r="W229" s="85"/>
      <c r="X229" s="74"/>
      <c r="Y229" s="74"/>
      <c r="Z229" s="74"/>
      <c r="AA229" s="74"/>
      <c r="AB229" s="74"/>
      <c r="AC229" s="74"/>
      <c r="AD229" s="74"/>
    </row>
    <row r="230">
      <c r="A230" s="116"/>
      <c r="B230" s="111"/>
      <c r="C230" s="117"/>
      <c r="D230" s="111"/>
      <c r="E230" s="111"/>
      <c r="F230" s="111"/>
      <c r="G230" s="111"/>
      <c r="H230" s="111"/>
      <c r="I230" s="116"/>
      <c r="J230" s="113"/>
      <c r="K230" s="111"/>
      <c r="L230" s="114"/>
      <c r="M230" s="115"/>
      <c r="N230" s="114"/>
      <c r="O230" s="115"/>
      <c r="P230" s="111"/>
      <c r="Q230" s="111"/>
      <c r="R230" s="111"/>
      <c r="S230" s="111"/>
      <c r="T230" s="111"/>
      <c r="U230" s="114"/>
      <c r="V230" s="74"/>
      <c r="W230" s="85"/>
      <c r="X230" s="74"/>
      <c r="Y230" s="74"/>
      <c r="Z230" s="74"/>
      <c r="AA230" s="74"/>
      <c r="AB230" s="74"/>
      <c r="AC230" s="74"/>
      <c r="AD230" s="74"/>
    </row>
    <row r="231">
      <c r="A231" s="116"/>
      <c r="B231" s="111"/>
      <c r="C231" s="117"/>
      <c r="D231" s="111"/>
      <c r="E231" s="111"/>
      <c r="F231" s="111"/>
      <c r="G231" s="111"/>
      <c r="H231" s="111"/>
      <c r="I231" s="116"/>
      <c r="J231" s="113"/>
      <c r="K231" s="111"/>
      <c r="L231" s="114"/>
      <c r="M231" s="115"/>
      <c r="N231" s="114"/>
      <c r="O231" s="115"/>
      <c r="P231" s="111"/>
      <c r="Q231" s="111"/>
      <c r="R231" s="111"/>
      <c r="S231" s="111"/>
      <c r="T231" s="111"/>
      <c r="U231" s="114"/>
      <c r="V231" s="74"/>
      <c r="W231" s="85"/>
      <c r="X231" s="74"/>
      <c r="Y231" s="74"/>
      <c r="Z231" s="74"/>
      <c r="AA231" s="74"/>
      <c r="AB231" s="74"/>
      <c r="AC231" s="74"/>
      <c r="AD231" s="74"/>
    </row>
    <row r="232">
      <c r="A232" s="116"/>
      <c r="B232" s="111"/>
      <c r="C232" s="117"/>
      <c r="D232" s="111"/>
      <c r="E232" s="111"/>
      <c r="F232" s="111"/>
      <c r="G232" s="111"/>
      <c r="H232" s="111"/>
      <c r="I232" s="116"/>
      <c r="J232" s="113"/>
      <c r="K232" s="111"/>
      <c r="L232" s="114"/>
      <c r="M232" s="115"/>
      <c r="N232" s="114"/>
      <c r="O232" s="115"/>
      <c r="P232" s="111"/>
      <c r="Q232" s="111"/>
      <c r="R232" s="111"/>
      <c r="S232" s="111"/>
      <c r="T232" s="111"/>
      <c r="U232" s="114"/>
      <c r="V232" s="74"/>
      <c r="W232" s="85"/>
      <c r="X232" s="74"/>
      <c r="Y232" s="74"/>
      <c r="Z232" s="74"/>
      <c r="AA232" s="74"/>
      <c r="AB232" s="74"/>
      <c r="AC232" s="74"/>
      <c r="AD232" s="74"/>
    </row>
    <row r="233">
      <c r="A233" s="116"/>
      <c r="B233" s="111"/>
      <c r="C233" s="117"/>
      <c r="D233" s="111"/>
      <c r="E233" s="111"/>
      <c r="F233" s="111"/>
      <c r="G233" s="111"/>
      <c r="H233" s="111"/>
      <c r="I233" s="116"/>
      <c r="J233" s="113"/>
      <c r="K233" s="111"/>
      <c r="L233" s="114"/>
      <c r="M233" s="115"/>
      <c r="N233" s="114"/>
      <c r="O233" s="115"/>
      <c r="P233" s="111"/>
      <c r="Q233" s="111"/>
      <c r="R233" s="111"/>
      <c r="S233" s="111"/>
      <c r="T233" s="111"/>
      <c r="U233" s="114"/>
      <c r="V233" s="74"/>
      <c r="W233" s="85"/>
      <c r="X233" s="74"/>
      <c r="Y233" s="74"/>
      <c r="Z233" s="74"/>
      <c r="AA233" s="74"/>
      <c r="AB233" s="74"/>
      <c r="AC233" s="74"/>
      <c r="AD233" s="74"/>
    </row>
    <row r="234">
      <c r="A234" s="116"/>
      <c r="B234" s="111"/>
      <c r="C234" s="117"/>
      <c r="D234" s="111"/>
      <c r="E234" s="111"/>
      <c r="F234" s="111"/>
      <c r="G234" s="111"/>
      <c r="H234" s="111"/>
      <c r="I234" s="116"/>
      <c r="J234" s="113"/>
      <c r="K234" s="111"/>
      <c r="L234" s="114"/>
      <c r="M234" s="115"/>
      <c r="N234" s="114"/>
      <c r="O234" s="115"/>
      <c r="P234" s="111"/>
      <c r="Q234" s="111"/>
      <c r="R234" s="111"/>
      <c r="S234" s="111"/>
      <c r="T234" s="111"/>
      <c r="U234" s="114"/>
      <c r="V234" s="74"/>
      <c r="W234" s="85"/>
      <c r="X234" s="74"/>
      <c r="Y234" s="74"/>
      <c r="Z234" s="74"/>
      <c r="AA234" s="74"/>
      <c r="AB234" s="74"/>
      <c r="AC234" s="74"/>
      <c r="AD234" s="74"/>
    </row>
    <row r="235">
      <c r="A235" s="116"/>
      <c r="B235" s="111"/>
      <c r="C235" s="117"/>
      <c r="D235" s="111"/>
      <c r="E235" s="111"/>
      <c r="F235" s="111"/>
      <c r="G235" s="111"/>
      <c r="H235" s="111"/>
      <c r="I235" s="116"/>
      <c r="J235" s="113"/>
      <c r="K235" s="111"/>
      <c r="L235" s="114"/>
      <c r="M235" s="115"/>
      <c r="N235" s="114"/>
      <c r="O235" s="115"/>
      <c r="P235" s="111"/>
      <c r="Q235" s="111"/>
      <c r="R235" s="111"/>
      <c r="S235" s="111"/>
      <c r="T235" s="111"/>
      <c r="U235" s="114"/>
      <c r="V235" s="74"/>
      <c r="W235" s="85"/>
      <c r="X235" s="74"/>
      <c r="Y235" s="74"/>
      <c r="Z235" s="74"/>
      <c r="AA235" s="74"/>
      <c r="AB235" s="74"/>
      <c r="AC235" s="74"/>
      <c r="AD235" s="74"/>
    </row>
    <row r="236">
      <c r="A236" s="116"/>
      <c r="B236" s="111"/>
      <c r="C236" s="117"/>
      <c r="D236" s="111"/>
      <c r="E236" s="111"/>
      <c r="F236" s="111"/>
      <c r="G236" s="111"/>
      <c r="H236" s="111"/>
      <c r="I236" s="116"/>
      <c r="J236" s="113"/>
      <c r="K236" s="111"/>
      <c r="L236" s="114"/>
      <c r="M236" s="115"/>
      <c r="N236" s="114"/>
      <c r="O236" s="115"/>
      <c r="P236" s="111"/>
      <c r="Q236" s="111"/>
      <c r="R236" s="111"/>
      <c r="S236" s="111"/>
      <c r="T236" s="111"/>
      <c r="U236" s="114"/>
      <c r="V236" s="74"/>
      <c r="W236" s="85"/>
      <c r="X236" s="74"/>
      <c r="Y236" s="74"/>
      <c r="Z236" s="74"/>
      <c r="AA236" s="74"/>
      <c r="AB236" s="74"/>
      <c r="AC236" s="74"/>
      <c r="AD236" s="74"/>
    </row>
    <row r="237">
      <c r="A237" s="116"/>
      <c r="B237" s="111"/>
      <c r="C237" s="117"/>
      <c r="D237" s="111"/>
      <c r="E237" s="111"/>
      <c r="F237" s="111"/>
      <c r="G237" s="111"/>
      <c r="H237" s="111"/>
      <c r="I237" s="116"/>
      <c r="J237" s="113"/>
      <c r="K237" s="111"/>
      <c r="L237" s="114"/>
      <c r="M237" s="115"/>
      <c r="N237" s="114"/>
      <c r="O237" s="115"/>
      <c r="P237" s="111"/>
      <c r="Q237" s="111"/>
      <c r="R237" s="111"/>
      <c r="S237" s="111"/>
      <c r="T237" s="111"/>
      <c r="U237" s="114"/>
      <c r="V237" s="74"/>
      <c r="W237" s="85"/>
      <c r="X237" s="74"/>
      <c r="Y237" s="74"/>
      <c r="Z237" s="74"/>
      <c r="AA237" s="74"/>
      <c r="AB237" s="74"/>
      <c r="AC237" s="74"/>
      <c r="AD237" s="74"/>
    </row>
    <row r="238">
      <c r="A238" s="116"/>
      <c r="B238" s="111"/>
      <c r="C238" s="117"/>
      <c r="D238" s="111"/>
      <c r="E238" s="111"/>
      <c r="F238" s="111"/>
      <c r="G238" s="111"/>
      <c r="H238" s="111"/>
      <c r="I238" s="116"/>
      <c r="J238" s="113"/>
      <c r="K238" s="111"/>
      <c r="L238" s="114"/>
      <c r="M238" s="115"/>
      <c r="N238" s="114"/>
      <c r="O238" s="115"/>
      <c r="P238" s="111"/>
      <c r="Q238" s="111"/>
      <c r="R238" s="111"/>
      <c r="S238" s="111"/>
      <c r="T238" s="111"/>
      <c r="U238" s="114"/>
      <c r="V238" s="74"/>
      <c r="W238" s="85"/>
      <c r="X238" s="74"/>
      <c r="Y238" s="74"/>
      <c r="Z238" s="74"/>
      <c r="AA238" s="74"/>
      <c r="AB238" s="74"/>
      <c r="AC238" s="74"/>
      <c r="AD238" s="74"/>
    </row>
    <row r="239">
      <c r="A239" s="116"/>
      <c r="B239" s="111"/>
      <c r="C239" s="117"/>
      <c r="D239" s="111"/>
      <c r="E239" s="111"/>
      <c r="F239" s="111"/>
      <c r="G239" s="111"/>
      <c r="H239" s="111"/>
      <c r="I239" s="116"/>
      <c r="J239" s="113"/>
      <c r="K239" s="111"/>
      <c r="L239" s="114"/>
      <c r="M239" s="115"/>
      <c r="N239" s="114"/>
      <c r="O239" s="115"/>
      <c r="P239" s="111"/>
      <c r="Q239" s="111"/>
      <c r="R239" s="111"/>
      <c r="S239" s="111"/>
      <c r="T239" s="111"/>
      <c r="U239" s="114"/>
      <c r="V239" s="74"/>
      <c r="W239" s="85"/>
      <c r="X239" s="74"/>
      <c r="Y239" s="74"/>
      <c r="Z239" s="74"/>
      <c r="AA239" s="74"/>
      <c r="AB239" s="74"/>
      <c r="AC239" s="74"/>
      <c r="AD239" s="74"/>
    </row>
    <row r="240">
      <c r="A240" s="116"/>
      <c r="B240" s="111"/>
      <c r="C240" s="117"/>
      <c r="D240" s="111"/>
      <c r="E240" s="111"/>
      <c r="F240" s="111"/>
      <c r="G240" s="111"/>
      <c r="H240" s="111"/>
      <c r="I240" s="116"/>
      <c r="J240" s="113"/>
      <c r="K240" s="111"/>
      <c r="L240" s="114"/>
      <c r="M240" s="115"/>
      <c r="N240" s="114"/>
      <c r="O240" s="115"/>
      <c r="P240" s="111"/>
      <c r="Q240" s="111"/>
      <c r="R240" s="111"/>
      <c r="S240" s="111"/>
      <c r="T240" s="111"/>
      <c r="U240" s="114"/>
      <c r="V240" s="74"/>
      <c r="W240" s="85"/>
      <c r="X240" s="74"/>
      <c r="Y240" s="74"/>
      <c r="Z240" s="74"/>
      <c r="AA240" s="74"/>
      <c r="AB240" s="74"/>
      <c r="AC240" s="74"/>
      <c r="AD240" s="74"/>
    </row>
    <row r="241">
      <c r="A241" s="116"/>
      <c r="B241" s="111"/>
      <c r="C241" s="117"/>
      <c r="D241" s="111"/>
      <c r="E241" s="111"/>
      <c r="F241" s="111"/>
      <c r="G241" s="111"/>
      <c r="H241" s="111"/>
      <c r="I241" s="116"/>
      <c r="J241" s="113"/>
      <c r="K241" s="111"/>
      <c r="L241" s="114"/>
      <c r="M241" s="115"/>
      <c r="N241" s="114"/>
      <c r="O241" s="115"/>
      <c r="P241" s="111"/>
      <c r="Q241" s="111"/>
      <c r="R241" s="111"/>
      <c r="S241" s="111"/>
      <c r="T241" s="111"/>
      <c r="U241" s="114"/>
      <c r="V241" s="74"/>
      <c r="W241" s="85"/>
      <c r="X241" s="74"/>
      <c r="Y241" s="74"/>
      <c r="Z241" s="74"/>
      <c r="AA241" s="74"/>
      <c r="AB241" s="74"/>
      <c r="AC241" s="74"/>
      <c r="AD241" s="74"/>
    </row>
    <row r="242">
      <c r="A242" s="116"/>
      <c r="B242" s="111"/>
      <c r="C242" s="117"/>
      <c r="D242" s="111"/>
      <c r="E242" s="111"/>
      <c r="F242" s="111"/>
      <c r="G242" s="111"/>
      <c r="H242" s="111"/>
      <c r="I242" s="116"/>
      <c r="J242" s="113"/>
      <c r="K242" s="111"/>
      <c r="L242" s="114"/>
      <c r="M242" s="115"/>
      <c r="N242" s="114"/>
      <c r="O242" s="115"/>
      <c r="P242" s="111"/>
      <c r="Q242" s="111"/>
      <c r="R242" s="111"/>
      <c r="S242" s="111"/>
      <c r="T242" s="111"/>
      <c r="U242" s="114"/>
      <c r="V242" s="74"/>
      <c r="W242" s="85"/>
      <c r="X242" s="74"/>
      <c r="Y242" s="74"/>
      <c r="Z242" s="74"/>
      <c r="AA242" s="74"/>
      <c r="AB242" s="74"/>
      <c r="AC242" s="74"/>
      <c r="AD242" s="74"/>
    </row>
    <row r="243">
      <c r="A243" s="116"/>
      <c r="B243" s="111"/>
      <c r="C243" s="117"/>
      <c r="D243" s="111"/>
      <c r="E243" s="111"/>
      <c r="F243" s="111"/>
      <c r="G243" s="111"/>
      <c r="H243" s="111"/>
      <c r="I243" s="116"/>
      <c r="J243" s="113"/>
      <c r="K243" s="111"/>
      <c r="L243" s="114"/>
      <c r="M243" s="115"/>
      <c r="N243" s="114"/>
      <c r="O243" s="115"/>
      <c r="P243" s="111"/>
      <c r="Q243" s="111"/>
      <c r="R243" s="111"/>
      <c r="S243" s="111"/>
      <c r="T243" s="111"/>
      <c r="U243" s="114"/>
      <c r="V243" s="74"/>
      <c r="W243" s="85"/>
      <c r="X243" s="74"/>
      <c r="Y243" s="74"/>
      <c r="Z243" s="74"/>
      <c r="AA243" s="74"/>
      <c r="AB243" s="74"/>
      <c r="AC243" s="74"/>
      <c r="AD243" s="74"/>
    </row>
    <row r="244">
      <c r="A244" s="116"/>
      <c r="B244" s="111"/>
      <c r="C244" s="117"/>
      <c r="D244" s="111"/>
      <c r="E244" s="111"/>
      <c r="F244" s="111"/>
      <c r="G244" s="111"/>
      <c r="H244" s="111"/>
      <c r="I244" s="116"/>
      <c r="J244" s="113"/>
      <c r="K244" s="111"/>
      <c r="L244" s="114"/>
      <c r="M244" s="115"/>
      <c r="N244" s="114"/>
      <c r="O244" s="115"/>
      <c r="P244" s="111"/>
      <c r="Q244" s="111"/>
      <c r="R244" s="111"/>
      <c r="S244" s="111"/>
      <c r="T244" s="111"/>
      <c r="U244" s="114"/>
      <c r="V244" s="74"/>
      <c r="W244" s="85"/>
      <c r="X244" s="74"/>
      <c r="Y244" s="74"/>
      <c r="Z244" s="74"/>
      <c r="AA244" s="74"/>
      <c r="AB244" s="74"/>
      <c r="AC244" s="74"/>
      <c r="AD244" s="74"/>
    </row>
    <row r="245">
      <c r="A245" s="116"/>
      <c r="B245" s="111"/>
      <c r="C245" s="117"/>
      <c r="D245" s="111"/>
      <c r="E245" s="111"/>
      <c r="F245" s="111"/>
      <c r="G245" s="111"/>
      <c r="H245" s="111"/>
      <c r="I245" s="116"/>
      <c r="J245" s="113"/>
      <c r="K245" s="111"/>
      <c r="L245" s="114"/>
      <c r="M245" s="115"/>
      <c r="N245" s="114"/>
      <c r="O245" s="115"/>
      <c r="P245" s="111"/>
      <c r="Q245" s="111"/>
      <c r="R245" s="111"/>
      <c r="S245" s="111"/>
      <c r="T245" s="111"/>
      <c r="U245" s="114"/>
      <c r="V245" s="74"/>
      <c r="W245" s="85"/>
      <c r="X245" s="74"/>
      <c r="Y245" s="74"/>
      <c r="Z245" s="74"/>
      <c r="AA245" s="74"/>
      <c r="AB245" s="74"/>
      <c r="AC245" s="74"/>
      <c r="AD245" s="74"/>
    </row>
    <row r="246">
      <c r="A246" s="116"/>
      <c r="B246" s="111"/>
      <c r="C246" s="117"/>
      <c r="D246" s="111"/>
      <c r="E246" s="111"/>
      <c r="F246" s="111"/>
      <c r="G246" s="111"/>
      <c r="H246" s="111"/>
      <c r="I246" s="116"/>
      <c r="J246" s="113"/>
      <c r="K246" s="111"/>
      <c r="L246" s="114"/>
      <c r="M246" s="115"/>
      <c r="N246" s="114"/>
      <c r="O246" s="115"/>
      <c r="P246" s="111"/>
      <c r="Q246" s="111"/>
      <c r="R246" s="111"/>
      <c r="S246" s="111"/>
      <c r="T246" s="111"/>
      <c r="U246" s="114"/>
      <c r="V246" s="74"/>
      <c r="W246" s="85"/>
      <c r="X246" s="74"/>
      <c r="Y246" s="74"/>
      <c r="Z246" s="74"/>
      <c r="AA246" s="74"/>
      <c r="AB246" s="74"/>
      <c r="AC246" s="74"/>
      <c r="AD246" s="74"/>
    </row>
    <row r="247">
      <c r="A247" s="116"/>
      <c r="B247" s="111"/>
      <c r="C247" s="117"/>
      <c r="D247" s="111"/>
      <c r="E247" s="111"/>
      <c r="F247" s="111"/>
      <c r="G247" s="111"/>
      <c r="H247" s="111"/>
      <c r="I247" s="116"/>
      <c r="J247" s="113"/>
      <c r="K247" s="111"/>
      <c r="L247" s="114"/>
      <c r="M247" s="115"/>
      <c r="N247" s="114"/>
      <c r="O247" s="115"/>
      <c r="P247" s="111"/>
      <c r="Q247" s="111"/>
      <c r="R247" s="111"/>
      <c r="S247" s="111"/>
      <c r="T247" s="111"/>
      <c r="U247" s="114"/>
      <c r="V247" s="74"/>
      <c r="W247" s="85"/>
      <c r="X247" s="74"/>
      <c r="Y247" s="74"/>
      <c r="Z247" s="74"/>
      <c r="AA247" s="74"/>
      <c r="AB247" s="74"/>
      <c r="AC247" s="74"/>
      <c r="AD247" s="74"/>
    </row>
    <row r="248">
      <c r="A248" s="116"/>
      <c r="B248" s="111"/>
      <c r="C248" s="117"/>
      <c r="D248" s="111"/>
      <c r="E248" s="111"/>
      <c r="F248" s="111"/>
      <c r="G248" s="111"/>
      <c r="H248" s="111"/>
      <c r="I248" s="116"/>
      <c r="J248" s="113"/>
      <c r="K248" s="111"/>
      <c r="L248" s="114"/>
      <c r="M248" s="115"/>
      <c r="N248" s="114"/>
      <c r="O248" s="115"/>
      <c r="P248" s="111"/>
      <c r="Q248" s="111"/>
      <c r="R248" s="111"/>
      <c r="S248" s="111"/>
      <c r="T248" s="111"/>
      <c r="U248" s="114"/>
      <c r="V248" s="74"/>
      <c r="W248" s="85"/>
      <c r="X248" s="74"/>
      <c r="Y248" s="74"/>
      <c r="Z248" s="74"/>
      <c r="AA248" s="74"/>
      <c r="AB248" s="74"/>
      <c r="AC248" s="74"/>
      <c r="AD248" s="74"/>
    </row>
    <row r="249">
      <c r="A249" s="116"/>
      <c r="B249" s="111"/>
      <c r="C249" s="117"/>
      <c r="D249" s="111"/>
      <c r="E249" s="111"/>
      <c r="F249" s="111"/>
      <c r="G249" s="111"/>
      <c r="H249" s="111"/>
      <c r="I249" s="116"/>
      <c r="J249" s="113"/>
      <c r="K249" s="111"/>
      <c r="L249" s="114"/>
      <c r="M249" s="115"/>
      <c r="N249" s="114"/>
      <c r="O249" s="115"/>
      <c r="P249" s="111"/>
      <c r="Q249" s="111"/>
      <c r="R249" s="111"/>
      <c r="S249" s="111"/>
      <c r="T249" s="111"/>
      <c r="U249" s="114"/>
      <c r="V249" s="74"/>
      <c r="W249" s="85"/>
      <c r="X249" s="74"/>
      <c r="Y249" s="74"/>
      <c r="Z249" s="74"/>
      <c r="AA249" s="74"/>
      <c r="AB249" s="74"/>
      <c r="AC249" s="74"/>
      <c r="AD249" s="74"/>
    </row>
    <row r="250">
      <c r="A250" s="116"/>
      <c r="B250" s="111"/>
      <c r="C250" s="117"/>
      <c r="D250" s="111"/>
      <c r="E250" s="111"/>
      <c r="F250" s="111"/>
      <c r="G250" s="111"/>
      <c r="H250" s="111"/>
      <c r="I250" s="116"/>
      <c r="J250" s="113"/>
      <c r="K250" s="111"/>
      <c r="L250" s="114"/>
      <c r="M250" s="115"/>
      <c r="N250" s="114"/>
      <c r="O250" s="115"/>
      <c r="P250" s="111"/>
      <c r="Q250" s="111"/>
      <c r="R250" s="111"/>
      <c r="S250" s="111"/>
      <c r="T250" s="111"/>
      <c r="U250" s="114"/>
      <c r="V250" s="74"/>
      <c r="W250" s="85"/>
      <c r="X250" s="74"/>
      <c r="Y250" s="74"/>
      <c r="Z250" s="74"/>
      <c r="AA250" s="74"/>
      <c r="AB250" s="74"/>
      <c r="AC250" s="74"/>
      <c r="AD250" s="74"/>
    </row>
    <row r="251">
      <c r="A251" s="116"/>
      <c r="B251" s="111"/>
      <c r="C251" s="117"/>
      <c r="D251" s="111"/>
      <c r="E251" s="111"/>
      <c r="F251" s="111"/>
      <c r="G251" s="111"/>
      <c r="H251" s="111"/>
      <c r="I251" s="116"/>
      <c r="J251" s="113"/>
      <c r="K251" s="111"/>
      <c r="L251" s="114"/>
      <c r="M251" s="115"/>
      <c r="N251" s="114"/>
      <c r="O251" s="115"/>
      <c r="P251" s="111"/>
      <c r="Q251" s="111"/>
      <c r="R251" s="111"/>
      <c r="S251" s="111"/>
      <c r="T251" s="111"/>
      <c r="U251" s="114"/>
      <c r="V251" s="74"/>
      <c r="W251" s="85"/>
      <c r="X251" s="74"/>
      <c r="Y251" s="74"/>
      <c r="Z251" s="74"/>
      <c r="AA251" s="74"/>
      <c r="AB251" s="74"/>
      <c r="AC251" s="74"/>
      <c r="AD251" s="74"/>
    </row>
    <row r="252">
      <c r="A252" s="116"/>
      <c r="B252" s="111"/>
      <c r="C252" s="117"/>
      <c r="D252" s="111"/>
      <c r="E252" s="111"/>
      <c r="F252" s="111"/>
      <c r="G252" s="111"/>
      <c r="H252" s="111"/>
      <c r="I252" s="116"/>
      <c r="J252" s="113"/>
      <c r="K252" s="111"/>
      <c r="L252" s="114"/>
      <c r="M252" s="115"/>
      <c r="N252" s="114"/>
      <c r="O252" s="115"/>
      <c r="P252" s="111"/>
      <c r="Q252" s="111"/>
      <c r="R252" s="111"/>
      <c r="S252" s="111"/>
      <c r="T252" s="111"/>
      <c r="U252" s="114"/>
      <c r="V252" s="74"/>
      <c r="W252" s="85"/>
      <c r="X252" s="74"/>
      <c r="Y252" s="74"/>
      <c r="Z252" s="74"/>
      <c r="AA252" s="74"/>
      <c r="AB252" s="74"/>
      <c r="AC252" s="74"/>
      <c r="AD252" s="74"/>
    </row>
    <row r="253">
      <c r="A253" s="116"/>
      <c r="B253" s="111"/>
      <c r="C253" s="117"/>
      <c r="D253" s="111"/>
      <c r="E253" s="111"/>
      <c r="F253" s="111"/>
      <c r="G253" s="111"/>
      <c r="H253" s="111"/>
      <c r="I253" s="116"/>
      <c r="J253" s="113"/>
      <c r="K253" s="111"/>
      <c r="L253" s="114"/>
      <c r="M253" s="115"/>
      <c r="N253" s="114"/>
      <c r="O253" s="115"/>
      <c r="P253" s="111"/>
      <c r="Q253" s="111"/>
      <c r="R253" s="111"/>
      <c r="S253" s="111"/>
      <c r="T253" s="111"/>
      <c r="U253" s="114"/>
      <c r="V253" s="74"/>
      <c r="W253" s="85"/>
      <c r="X253" s="74"/>
      <c r="Y253" s="74"/>
      <c r="Z253" s="74"/>
      <c r="AA253" s="74"/>
      <c r="AB253" s="74"/>
      <c r="AC253" s="74"/>
      <c r="AD253" s="74"/>
    </row>
    <row r="254">
      <c r="A254" s="116"/>
      <c r="B254" s="111"/>
      <c r="C254" s="117"/>
      <c r="D254" s="111"/>
      <c r="E254" s="111"/>
      <c r="F254" s="111"/>
      <c r="G254" s="111"/>
      <c r="H254" s="111"/>
      <c r="I254" s="116"/>
      <c r="J254" s="113"/>
      <c r="K254" s="111"/>
      <c r="L254" s="114"/>
      <c r="M254" s="115"/>
      <c r="N254" s="114"/>
      <c r="O254" s="115"/>
      <c r="P254" s="111"/>
      <c r="Q254" s="111"/>
      <c r="R254" s="111"/>
      <c r="S254" s="111"/>
      <c r="T254" s="111"/>
      <c r="U254" s="114"/>
      <c r="V254" s="74"/>
      <c r="W254" s="85"/>
      <c r="X254" s="74"/>
      <c r="Y254" s="74"/>
      <c r="Z254" s="74"/>
      <c r="AA254" s="74"/>
      <c r="AB254" s="74"/>
      <c r="AC254" s="74"/>
      <c r="AD254" s="74"/>
    </row>
    <row r="255">
      <c r="A255" s="116"/>
      <c r="B255" s="111"/>
      <c r="C255" s="117"/>
      <c r="D255" s="111"/>
      <c r="E255" s="111"/>
      <c r="F255" s="111"/>
      <c r="G255" s="111"/>
      <c r="H255" s="111"/>
      <c r="I255" s="116"/>
      <c r="J255" s="113"/>
      <c r="K255" s="111"/>
      <c r="L255" s="114"/>
      <c r="M255" s="115"/>
      <c r="N255" s="114"/>
      <c r="O255" s="115"/>
      <c r="P255" s="111"/>
      <c r="Q255" s="111"/>
      <c r="R255" s="111"/>
      <c r="S255" s="111"/>
      <c r="T255" s="111"/>
      <c r="U255" s="114"/>
      <c r="V255" s="74"/>
      <c r="W255" s="85"/>
      <c r="X255" s="74"/>
      <c r="Y255" s="74"/>
      <c r="Z255" s="74"/>
      <c r="AA255" s="74"/>
      <c r="AB255" s="74"/>
      <c r="AC255" s="74"/>
      <c r="AD255" s="74"/>
    </row>
    <row r="256">
      <c r="A256" s="116"/>
      <c r="B256" s="111"/>
      <c r="C256" s="117"/>
      <c r="D256" s="111"/>
      <c r="E256" s="111"/>
      <c r="F256" s="111"/>
      <c r="G256" s="111"/>
      <c r="H256" s="111"/>
      <c r="I256" s="116"/>
      <c r="J256" s="113"/>
      <c r="K256" s="111"/>
      <c r="L256" s="114"/>
      <c r="M256" s="115"/>
      <c r="N256" s="114"/>
      <c r="O256" s="115"/>
      <c r="P256" s="111"/>
      <c r="Q256" s="111"/>
      <c r="R256" s="111"/>
      <c r="S256" s="111"/>
      <c r="T256" s="111"/>
      <c r="U256" s="114"/>
      <c r="V256" s="74"/>
      <c r="W256" s="85"/>
      <c r="X256" s="74"/>
      <c r="Y256" s="74"/>
      <c r="Z256" s="74"/>
      <c r="AA256" s="74"/>
      <c r="AB256" s="74"/>
      <c r="AC256" s="74"/>
      <c r="AD256" s="74"/>
    </row>
    <row r="257">
      <c r="A257" s="116"/>
      <c r="B257" s="111"/>
      <c r="C257" s="117"/>
      <c r="D257" s="111"/>
      <c r="E257" s="111"/>
      <c r="F257" s="111"/>
      <c r="G257" s="111"/>
      <c r="H257" s="111"/>
      <c r="I257" s="116"/>
      <c r="J257" s="113"/>
      <c r="K257" s="111"/>
      <c r="L257" s="114"/>
      <c r="M257" s="115"/>
      <c r="N257" s="114"/>
      <c r="O257" s="115"/>
      <c r="P257" s="111"/>
      <c r="Q257" s="111"/>
      <c r="R257" s="111"/>
      <c r="S257" s="111"/>
      <c r="T257" s="111"/>
      <c r="U257" s="114"/>
      <c r="V257" s="74"/>
      <c r="W257" s="85"/>
      <c r="X257" s="74"/>
      <c r="Y257" s="74"/>
      <c r="Z257" s="74"/>
      <c r="AA257" s="74"/>
      <c r="AB257" s="74"/>
      <c r="AC257" s="74"/>
      <c r="AD257" s="74"/>
    </row>
    <row r="258">
      <c r="A258" s="116"/>
      <c r="B258" s="111"/>
      <c r="C258" s="117"/>
      <c r="D258" s="111"/>
      <c r="E258" s="111"/>
      <c r="F258" s="111"/>
      <c r="G258" s="111"/>
      <c r="H258" s="111"/>
      <c r="I258" s="116"/>
      <c r="J258" s="113"/>
      <c r="K258" s="111"/>
      <c r="L258" s="114"/>
      <c r="M258" s="115"/>
      <c r="N258" s="114"/>
      <c r="O258" s="115"/>
      <c r="P258" s="111"/>
      <c r="Q258" s="111"/>
      <c r="R258" s="111"/>
      <c r="S258" s="111"/>
      <c r="T258" s="111"/>
      <c r="U258" s="114"/>
      <c r="V258" s="74"/>
      <c r="W258" s="85"/>
      <c r="X258" s="74"/>
      <c r="Y258" s="74"/>
      <c r="Z258" s="74"/>
      <c r="AA258" s="74"/>
      <c r="AB258" s="74"/>
      <c r="AC258" s="74"/>
      <c r="AD258" s="74"/>
    </row>
    <row r="259">
      <c r="A259" s="116"/>
      <c r="B259" s="111"/>
      <c r="C259" s="117"/>
      <c r="D259" s="111"/>
      <c r="E259" s="111"/>
      <c r="F259" s="111"/>
      <c r="G259" s="111"/>
      <c r="H259" s="111"/>
      <c r="I259" s="116"/>
      <c r="J259" s="113"/>
      <c r="K259" s="111"/>
      <c r="L259" s="114"/>
      <c r="M259" s="115"/>
      <c r="N259" s="114"/>
      <c r="O259" s="115"/>
      <c r="P259" s="111"/>
      <c r="Q259" s="111"/>
      <c r="R259" s="111"/>
      <c r="S259" s="111"/>
      <c r="T259" s="111"/>
      <c r="U259" s="114"/>
      <c r="V259" s="74"/>
      <c r="W259" s="85"/>
      <c r="X259" s="74"/>
      <c r="Y259" s="74"/>
      <c r="Z259" s="74"/>
      <c r="AA259" s="74"/>
      <c r="AB259" s="74"/>
      <c r="AC259" s="74"/>
      <c r="AD259" s="74"/>
    </row>
    <row r="260">
      <c r="A260" s="116"/>
      <c r="B260" s="111"/>
      <c r="C260" s="117"/>
      <c r="D260" s="111"/>
      <c r="E260" s="111"/>
      <c r="F260" s="111"/>
      <c r="G260" s="111"/>
      <c r="H260" s="111"/>
      <c r="I260" s="116"/>
      <c r="J260" s="113"/>
      <c r="K260" s="111"/>
      <c r="L260" s="114"/>
      <c r="M260" s="115"/>
      <c r="N260" s="114"/>
      <c r="O260" s="115"/>
      <c r="P260" s="111"/>
      <c r="Q260" s="111"/>
      <c r="R260" s="111"/>
      <c r="S260" s="111"/>
      <c r="T260" s="111"/>
      <c r="U260" s="114"/>
      <c r="V260" s="74"/>
      <c r="W260" s="85"/>
      <c r="X260" s="74"/>
      <c r="Y260" s="74"/>
      <c r="Z260" s="74"/>
      <c r="AA260" s="74"/>
      <c r="AB260" s="74"/>
      <c r="AC260" s="74"/>
      <c r="AD260" s="74"/>
    </row>
    <row r="261">
      <c r="A261" s="116"/>
      <c r="B261" s="111"/>
      <c r="C261" s="117"/>
      <c r="D261" s="111"/>
      <c r="E261" s="111"/>
      <c r="F261" s="111"/>
      <c r="G261" s="111"/>
      <c r="H261" s="111"/>
      <c r="I261" s="116"/>
      <c r="J261" s="113"/>
      <c r="K261" s="111"/>
      <c r="L261" s="114"/>
      <c r="M261" s="115"/>
      <c r="N261" s="114"/>
      <c r="O261" s="115"/>
      <c r="P261" s="111"/>
      <c r="Q261" s="111"/>
      <c r="R261" s="111"/>
      <c r="S261" s="111"/>
      <c r="T261" s="111"/>
      <c r="U261" s="114"/>
      <c r="V261" s="74"/>
      <c r="W261" s="85"/>
      <c r="X261" s="74"/>
      <c r="Y261" s="74"/>
      <c r="Z261" s="74"/>
      <c r="AA261" s="74"/>
      <c r="AB261" s="74"/>
      <c r="AC261" s="74"/>
      <c r="AD261" s="74"/>
    </row>
    <row r="262">
      <c r="A262" s="116"/>
      <c r="B262" s="111"/>
      <c r="C262" s="117"/>
      <c r="D262" s="111"/>
      <c r="E262" s="111"/>
      <c r="F262" s="111"/>
      <c r="G262" s="111"/>
      <c r="H262" s="111"/>
      <c r="I262" s="116"/>
      <c r="J262" s="113"/>
      <c r="K262" s="111"/>
      <c r="L262" s="114"/>
      <c r="M262" s="115"/>
      <c r="N262" s="114"/>
      <c r="O262" s="115"/>
      <c r="P262" s="111"/>
      <c r="Q262" s="111"/>
      <c r="R262" s="111"/>
      <c r="S262" s="111"/>
      <c r="T262" s="111"/>
      <c r="U262" s="114"/>
      <c r="V262" s="74"/>
      <c r="W262" s="85"/>
      <c r="X262" s="74"/>
      <c r="Y262" s="74"/>
      <c r="Z262" s="74"/>
      <c r="AA262" s="74"/>
      <c r="AB262" s="74"/>
      <c r="AC262" s="74"/>
      <c r="AD262" s="74"/>
    </row>
    <row r="263">
      <c r="A263" s="116"/>
      <c r="B263" s="111"/>
      <c r="C263" s="117"/>
      <c r="D263" s="111"/>
      <c r="E263" s="111"/>
      <c r="F263" s="111"/>
      <c r="G263" s="111"/>
      <c r="H263" s="111"/>
      <c r="I263" s="116"/>
      <c r="J263" s="113"/>
      <c r="K263" s="111"/>
      <c r="L263" s="114"/>
      <c r="M263" s="115"/>
      <c r="N263" s="114"/>
      <c r="O263" s="115"/>
      <c r="P263" s="111"/>
      <c r="Q263" s="111"/>
      <c r="R263" s="111"/>
      <c r="S263" s="111"/>
      <c r="T263" s="111"/>
      <c r="U263" s="114"/>
      <c r="V263" s="74"/>
      <c r="W263" s="85"/>
      <c r="X263" s="74"/>
      <c r="Y263" s="74"/>
      <c r="Z263" s="74"/>
      <c r="AA263" s="74"/>
      <c r="AB263" s="74"/>
      <c r="AC263" s="74"/>
      <c r="AD263" s="74"/>
    </row>
    <row r="264">
      <c r="A264" s="116"/>
      <c r="B264" s="111"/>
      <c r="C264" s="117"/>
      <c r="D264" s="111"/>
      <c r="E264" s="111"/>
      <c r="F264" s="111"/>
      <c r="G264" s="111"/>
      <c r="H264" s="111"/>
      <c r="I264" s="116"/>
      <c r="J264" s="113"/>
      <c r="K264" s="111"/>
      <c r="L264" s="114"/>
      <c r="M264" s="115"/>
      <c r="N264" s="114"/>
      <c r="O264" s="115"/>
      <c r="P264" s="111"/>
      <c r="Q264" s="111"/>
      <c r="R264" s="111"/>
      <c r="S264" s="111"/>
      <c r="T264" s="111"/>
      <c r="U264" s="114"/>
      <c r="V264" s="74"/>
      <c r="W264" s="85"/>
      <c r="X264" s="74"/>
      <c r="Y264" s="74"/>
      <c r="Z264" s="74"/>
      <c r="AA264" s="74"/>
      <c r="AB264" s="74"/>
      <c r="AC264" s="74"/>
      <c r="AD264" s="74"/>
    </row>
    <row r="265">
      <c r="A265" s="116"/>
      <c r="B265" s="111"/>
      <c r="C265" s="117"/>
      <c r="D265" s="111"/>
      <c r="E265" s="111"/>
      <c r="F265" s="111"/>
      <c r="G265" s="111"/>
      <c r="H265" s="111"/>
      <c r="I265" s="116"/>
      <c r="J265" s="113"/>
      <c r="K265" s="111"/>
      <c r="L265" s="114"/>
      <c r="M265" s="115"/>
      <c r="N265" s="114"/>
      <c r="O265" s="115"/>
      <c r="P265" s="111"/>
      <c r="Q265" s="111"/>
      <c r="R265" s="111"/>
      <c r="S265" s="111"/>
      <c r="T265" s="111"/>
      <c r="U265" s="114"/>
      <c r="V265" s="74"/>
      <c r="W265" s="85"/>
      <c r="X265" s="74"/>
      <c r="Y265" s="74"/>
      <c r="Z265" s="74"/>
      <c r="AA265" s="74"/>
      <c r="AB265" s="74"/>
      <c r="AC265" s="74"/>
      <c r="AD265" s="74"/>
    </row>
    <row r="266">
      <c r="A266" s="116"/>
      <c r="B266" s="111"/>
      <c r="C266" s="117"/>
      <c r="D266" s="111"/>
      <c r="E266" s="111"/>
      <c r="F266" s="111"/>
      <c r="G266" s="111"/>
      <c r="H266" s="111"/>
      <c r="I266" s="116"/>
      <c r="J266" s="113"/>
      <c r="K266" s="111"/>
      <c r="L266" s="114"/>
      <c r="M266" s="115"/>
      <c r="N266" s="114"/>
      <c r="O266" s="115"/>
      <c r="P266" s="111"/>
      <c r="Q266" s="111"/>
      <c r="R266" s="111"/>
      <c r="S266" s="111"/>
      <c r="T266" s="111"/>
      <c r="U266" s="114"/>
      <c r="V266" s="74"/>
      <c r="W266" s="85"/>
      <c r="X266" s="74"/>
      <c r="Y266" s="74"/>
      <c r="Z266" s="74"/>
      <c r="AA266" s="74"/>
      <c r="AB266" s="74"/>
      <c r="AC266" s="74"/>
      <c r="AD266" s="74"/>
    </row>
    <row r="267">
      <c r="A267" s="116"/>
      <c r="B267" s="111"/>
      <c r="C267" s="117"/>
      <c r="D267" s="111"/>
      <c r="E267" s="111"/>
      <c r="F267" s="111"/>
      <c r="G267" s="111"/>
      <c r="H267" s="111"/>
      <c r="I267" s="116"/>
      <c r="J267" s="113"/>
      <c r="K267" s="111"/>
      <c r="L267" s="114"/>
      <c r="M267" s="115"/>
      <c r="N267" s="114"/>
      <c r="O267" s="115"/>
      <c r="P267" s="111"/>
      <c r="Q267" s="111"/>
      <c r="R267" s="111"/>
      <c r="S267" s="111"/>
      <c r="T267" s="111"/>
      <c r="U267" s="114"/>
      <c r="V267" s="74"/>
      <c r="W267" s="85"/>
      <c r="X267" s="74"/>
      <c r="Y267" s="74"/>
      <c r="Z267" s="74"/>
      <c r="AA267" s="74"/>
      <c r="AB267" s="74"/>
      <c r="AC267" s="74"/>
      <c r="AD267" s="74"/>
    </row>
    <row r="268">
      <c r="A268" s="116"/>
      <c r="B268" s="111"/>
      <c r="C268" s="117"/>
      <c r="D268" s="111"/>
      <c r="E268" s="111"/>
      <c r="F268" s="111"/>
      <c r="G268" s="111"/>
      <c r="H268" s="111"/>
      <c r="I268" s="116"/>
      <c r="J268" s="113"/>
      <c r="K268" s="111"/>
      <c r="L268" s="114"/>
      <c r="M268" s="115"/>
      <c r="N268" s="114"/>
      <c r="O268" s="115"/>
      <c r="P268" s="111"/>
      <c r="Q268" s="111"/>
      <c r="R268" s="111"/>
      <c r="S268" s="111"/>
      <c r="T268" s="111"/>
      <c r="U268" s="114"/>
      <c r="V268" s="74"/>
      <c r="W268" s="85"/>
      <c r="X268" s="74"/>
      <c r="Y268" s="74"/>
      <c r="Z268" s="74"/>
      <c r="AA268" s="74"/>
      <c r="AB268" s="74"/>
      <c r="AC268" s="74"/>
      <c r="AD268" s="74"/>
    </row>
    <row r="269">
      <c r="A269" s="116"/>
      <c r="B269" s="111"/>
      <c r="C269" s="117"/>
      <c r="D269" s="111"/>
      <c r="E269" s="111"/>
      <c r="F269" s="111"/>
      <c r="G269" s="111"/>
      <c r="H269" s="111"/>
      <c r="I269" s="116"/>
      <c r="J269" s="113"/>
      <c r="K269" s="111"/>
      <c r="L269" s="114"/>
      <c r="M269" s="115"/>
      <c r="N269" s="114"/>
      <c r="O269" s="115"/>
      <c r="P269" s="111"/>
      <c r="Q269" s="111"/>
      <c r="R269" s="111"/>
      <c r="S269" s="111"/>
      <c r="T269" s="111"/>
      <c r="U269" s="114"/>
      <c r="V269" s="74"/>
      <c r="W269" s="85"/>
      <c r="X269" s="74"/>
      <c r="Y269" s="74"/>
      <c r="Z269" s="74"/>
      <c r="AA269" s="74"/>
      <c r="AB269" s="74"/>
      <c r="AC269" s="74"/>
      <c r="AD269" s="74"/>
    </row>
    <row r="270">
      <c r="A270" s="116"/>
      <c r="B270" s="111"/>
      <c r="C270" s="117"/>
      <c r="D270" s="111"/>
      <c r="E270" s="111"/>
      <c r="F270" s="111"/>
      <c r="G270" s="111"/>
      <c r="H270" s="111"/>
      <c r="I270" s="116"/>
      <c r="J270" s="113"/>
      <c r="K270" s="111"/>
      <c r="L270" s="114"/>
      <c r="M270" s="115"/>
      <c r="N270" s="114"/>
      <c r="O270" s="115"/>
      <c r="P270" s="111"/>
      <c r="Q270" s="111"/>
      <c r="R270" s="111"/>
      <c r="S270" s="111"/>
      <c r="T270" s="111"/>
      <c r="U270" s="114"/>
      <c r="V270" s="74"/>
      <c r="W270" s="85"/>
      <c r="X270" s="74"/>
      <c r="Y270" s="74"/>
      <c r="Z270" s="74"/>
      <c r="AA270" s="74"/>
      <c r="AB270" s="74"/>
      <c r="AC270" s="74"/>
      <c r="AD270" s="74"/>
    </row>
    <row r="271">
      <c r="A271" s="116"/>
      <c r="B271" s="111"/>
      <c r="C271" s="117"/>
      <c r="D271" s="111"/>
      <c r="E271" s="111"/>
      <c r="F271" s="111"/>
      <c r="G271" s="111"/>
      <c r="H271" s="111"/>
      <c r="I271" s="116"/>
      <c r="J271" s="113"/>
      <c r="K271" s="111"/>
      <c r="L271" s="114"/>
      <c r="M271" s="115"/>
      <c r="N271" s="114"/>
      <c r="O271" s="115"/>
      <c r="P271" s="111"/>
      <c r="Q271" s="111"/>
      <c r="R271" s="111"/>
      <c r="S271" s="111"/>
      <c r="T271" s="111"/>
      <c r="U271" s="114"/>
      <c r="V271" s="74"/>
      <c r="W271" s="85"/>
      <c r="X271" s="74"/>
      <c r="Y271" s="74"/>
      <c r="Z271" s="74"/>
      <c r="AA271" s="74"/>
      <c r="AB271" s="74"/>
      <c r="AC271" s="74"/>
      <c r="AD271" s="74"/>
    </row>
    <row r="272">
      <c r="A272" s="116"/>
      <c r="B272" s="111"/>
      <c r="C272" s="117"/>
      <c r="D272" s="111"/>
      <c r="E272" s="111"/>
      <c r="F272" s="111"/>
      <c r="G272" s="111"/>
      <c r="H272" s="111"/>
      <c r="I272" s="116"/>
      <c r="J272" s="113"/>
      <c r="K272" s="111"/>
      <c r="L272" s="114"/>
      <c r="M272" s="115"/>
      <c r="N272" s="114"/>
      <c r="O272" s="115"/>
      <c r="P272" s="111"/>
      <c r="Q272" s="111"/>
      <c r="R272" s="111"/>
      <c r="S272" s="111"/>
      <c r="T272" s="111"/>
      <c r="U272" s="114"/>
      <c r="V272" s="74"/>
      <c r="W272" s="85"/>
      <c r="X272" s="74"/>
      <c r="Y272" s="74"/>
      <c r="Z272" s="74"/>
      <c r="AA272" s="74"/>
      <c r="AB272" s="74"/>
      <c r="AC272" s="74"/>
      <c r="AD272" s="74"/>
    </row>
    <row r="273">
      <c r="A273" s="116"/>
      <c r="B273" s="111"/>
      <c r="C273" s="117"/>
      <c r="D273" s="111"/>
      <c r="E273" s="111"/>
      <c r="F273" s="111"/>
      <c r="G273" s="111"/>
      <c r="H273" s="111"/>
      <c r="I273" s="116"/>
      <c r="J273" s="113"/>
      <c r="K273" s="111"/>
      <c r="L273" s="114"/>
      <c r="M273" s="115"/>
      <c r="N273" s="114"/>
      <c r="O273" s="115"/>
      <c r="P273" s="111"/>
      <c r="Q273" s="111"/>
      <c r="R273" s="111"/>
      <c r="S273" s="111"/>
      <c r="T273" s="111"/>
      <c r="U273" s="114"/>
      <c r="V273" s="74"/>
      <c r="W273" s="85"/>
      <c r="X273" s="74"/>
      <c r="Y273" s="74"/>
      <c r="Z273" s="74"/>
      <c r="AA273" s="74"/>
      <c r="AB273" s="74"/>
      <c r="AC273" s="74"/>
      <c r="AD273" s="74"/>
    </row>
    <row r="274">
      <c r="A274" s="116"/>
      <c r="B274" s="111"/>
      <c r="C274" s="117"/>
      <c r="D274" s="111"/>
      <c r="E274" s="111"/>
      <c r="F274" s="111"/>
      <c r="G274" s="111"/>
      <c r="H274" s="111"/>
      <c r="I274" s="116"/>
      <c r="J274" s="113"/>
      <c r="K274" s="111"/>
      <c r="L274" s="114"/>
      <c r="M274" s="115"/>
      <c r="N274" s="114"/>
      <c r="O274" s="115"/>
      <c r="P274" s="111"/>
      <c r="Q274" s="111"/>
      <c r="R274" s="111"/>
      <c r="S274" s="111"/>
      <c r="T274" s="111"/>
      <c r="U274" s="114"/>
      <c r="V274" s="74"/>
      <c r="W274" s="85"/>
      <c r="X274" s="74"/>
      <c r="Y274" s="74"/>
      <c r="Z274" s="74"/>
      <c r="AA274" s="74"/>
      <c r="AB274" s="74"/>
      <c r="AC274" s="74"/>
      <c r="AD274" s="74"/>
    </row>
    <row r="275">
      <c r="A275" s="116"/>
      <c r="B275" s="111"/>
      <c r="C275" s="117"/>
      <c r="D275" s="111"/>
      <c r="E275" s="111"/>
      <c r="F275" s="111"/>
      <c r="G275" s="111"/>
      <c r="H275" s="111"/>
      <c r="I275" s="116"/>
      <c r="J275" s="113"/>
      <c r="K275" s="111"/>
      <c r="L275" s="114"/>
      <c r="M275" s="115"/>
      <c r="N275" s="114"/>
      <c r="O275" s="115"/>
      <c r="P275" s="111"/>
      <c r="Q275" s="111"/>
      <c r="R275" s="111"/>
      <c r="S275" s="111"/>
      <c r="T275" s="111"/>
      <c r="U275" s="114"/>
      <c r="V275" s="74"/>
      <c r="W275" s="85"/>
      <c r="X275" s="74"/>
      <c r="Y275" s="74"/>
      <c r="Z275" s="74"/>
      <c r="AA275" s="74"/>
      <c r="AB275" s="74"/>
      <c r="AC275" s="74"/>
      <c r="AD275" s="74"/>
    </row>
    <row r="276">
      <c r="A276" s="116"/>
      <c r="B276" s="111"/>
      <c r="C276" s="117"/>
      <c r="D276" s="111"/>
      <c r="E276" s="111"/>
      <c r="F276" s="111"/>
      <c r="G276" s="111"/>
      <c r="H276" s="111"/>
      <c r="I276" s="116"/>
      <c r="J276" s="113"/>
      <c r="K276" s="111"/>
      <c r="L276" s="114"/>
      <c r="M276" s="115"/>
      <c r="N276" s="114"/>
      <c r="O276" s="115"/>
      <c r="P276" s="111"/>
      <c r="Q276" s="111"/>
      <c r="R276" s="111"/>
      <c r="S276" s="111"/>
      <c r="T276" s="111"/>
      <c r="U276" s="114"/>
      <c r="V276" s="74"/>
      <c r="W276" s="85"/>
      <c r="X276" s="74"/>
      <c r="Y276" s="74"/>
      <c r="Z276" s="74"/>
      <c r="AA276" s="74"/>
      <c r="AB276" s="74"/>
      <c r="AC276" s="74"/>
      <c r="AD276" s="74"/>
    </row>
    <row r="277">
      <c r="A277" s="116"/>
      <c r="B277" s="111"/>
      <c r="C277" s="117"/>
      <c r="D277" s="111"/>
      <c r="E277" s="111"/>
      <c r="F277" s="111"/>
      <c r="G277" s="111"/>
      <c r="H277" s="111"/>
      <c r="I277" s="116"/>
      <c r="J277" s="113"/>
      <c r="K277" s="111"/>
      <c r="L277" s="114"/>
      <c r="M277" s="115"/>
      <c r="N277" s="114"/>
      <c r="O277" s="115"/>
      <c r="P277" s="111"/>
      <c r="Q277" s="111"/>
      <c r="R277" s="111"/>
      <c r="S277" s="111"/>
      <c r="T277" s="111"/>
      <c r="U277" s="114"/>
      <c r="V277" s="74"/>
      <c r="W277" s="85"/>
      <c r="X277" s="74"/>
      <c r="Y277" s="74"/>
      <c r="Z277" s="74"/>
      <c r="AA277" s="74"/>
      <c r="AB277" s="74"/>
      <c r="AC277" s="74"/>
      <c r="AD277" s="74"/>
    </row>
    <row r="278">
      <c r="A278" s="116"/>
      <c r="B278" s="111"/>
      <c r="C278" s="117"/>
      <c r="D278" s="111"/>
      <c r="E278" s="111"/>
      <c r="F278" s="111"/>
      <c r="G278" s="111"/>
      <c r="H278" s="111"/>
      <c r="I278" s="116"/>
      <c r="J278" s="113"/>
      <c r="K278" s="111"/>
      <c r="L278" s="114"/>
      <c r="M278" s="115"/>
      <c r="N278" s="114"/>
      <c r="O278" s="115"/>
      <c r="P278" s="111"/>
      <c r="Q278" s="111"/>
      <c r="R278" s="111"/>
      <c r="S278" s="111"/>
      <c r="T278" s="111"/>
      <c r="U278" s="114"/>
      <c r="V278" s="74"/>
      <c r="W278" s="85"/>
      <c r="X278" s="74"/>
      <c r="Y278" s="74"/>
      <c r="Z278" s="74"/>
      <c r="AA278" s="74"/>
      <c r="AB278" s="74"/>
      <c r="AC278" s="74"/>
      <c r="AD278" s="74"/>
    </row>
    <row r="279">
      <c r="A279" s="116"/>
      <c r="B279" s="111"/>
      <c r="C279" s="117"/>
      <c r="D279" s="111"/>
      <c r="E279" s="111"/>
      <c r="F279" s="111"/>
      <c r="G279" s="111"/>
      <c r="H279" s="111"/>
      <c r="I279" s="116"/>
      <c r="J279" s="113"/>
      <c r="K279" s="111"/>
      <c r="L279" s="114"/>
      <c r="M279" s="115"/>
      <c r="N279" s="114"/>
      <c r="O279" s="115"/>
      <c r="P279" s="111"/>
      <c r="Q279" s="111"/>
      <c r="R279" s="111"/>
      <c r="S279" s="111"/>
      <c r="T279" s="111"/>
      <c r="U279" s="114"/>
      <c r="V279" s="74"/>
      <c r="W279" s="85"/>
      <c r="X279" s="74"/>
      <c r="Y279" s="74"/>
      <c r="Z279" s="74"/>
      <c r="AA279" s="74"/>
      <c r="AB279" s="74"/>
      <c r="AC279" s="74"/>
      <c r="AD279" s="74"/>
    </row>
    <row r="280">
      <c r="A280" s="116"/>
      <c r="B280" s="111"/>
      <c r="C280" s="117"/>
      <c r="D280" s="111"/>
      <c r="E280" s="111"/>
      <c r="F280" s="111"/>
      <c r="G280" s="111"/>
      <c r="H280" s="111"/>
      <c r="I280" s="116"/>
      <c r="J280" s="113"/>
      <c r="K280" s="111"/>
      <c r="L280" s="114"/>
      <c r="M280" s="115"/>
      <c r="N280" s="114"/>
      <c r="O280" s="115"/>
      <c r="P280" s="111"/>
      <c r="Q280" s="111"/>
      <c r="R280" s="111"/>
      <c r="S280" s="111"/>
      <c r="T280" s="111"/>
      <c r="U280" s="114"/>
      <c r="V280" s="74"/>
      <c r="W280" s="85"/>
      <c r="X280" s="74"/>
      <c r="Y280" s="74"/>
      <c r="Z280" s="74"/>
      <c r="AA280" s="74"/>
      <c r="AB280" s="74"/>
      <c r="AC280" s="74"/>
      <c r="AD280" s="74"/>
    </row>
    <row r="281">
      <c r="A281" s="116"/>
      <c r="B281" s="111"/>
      <c r="C281" s="117"/>
      <c r="D281" s="111"/>
      <c r="E281" s="111"/>
      <c r="F281" s="111"/>
      <c r="G281" s="111"/>
      <c r="H281" s="111"/>
      <c r="I281" s="116"/>
      <c r="J281" s="113"/>
      <c r="K281" s="111"/>
      <c r="L281" s="114"/>
      <c r="M281" s="115"/>
      <c r="N281" s="114"/>
      <c r="O281" s="115"/>
      <c r="P281" s="111"/>
      <c r="Q281" s="111"/>
      <c r="R281" s="111"/>
      <c r="S281" s="111"/>
      <c r="T281" s="111"/>
      <c r="U281" s="114"/>
      <c r="V281" s="74"/>
      <c r="W281" s="85"/>
      <c r="X281" s="74"/>
      <c r="Y281" s="74"/>
      <c r="Z281" s="74"/>
      <c r="AA281" s="74"/>
      <c r="AB281" s="74"/>
      <c r="AC281" s="74"/>
      <c r="AD281" s="74"/>
    </row>
    <row r="282">
      <c r="A282" s="116"/>
      <c r="B282" s="111"/>
      <c r="C282" s="117"/>
      <c r="D282" s="111"/>
      <c r="E282" s="111"/>
      <c r="F282" s="111"/>
      <c r="G282" s="111"/>
      <c r="H282" s="111"/>
      <c r="I282" s="116"/>
      <c r="J282" s="113"/>
      <c r="K282" s="111"/>
      <c r="L282" s="114"/>
      <c r="M282" s="115"/>
      <c r="N282" s="114"/>
      <c r="O282" s="115"/>
      <c r="P282" s="111"/>
      <c r="Q282" s="111"/>
      <c r="R282" s="111"/>
      <c r="S282" s="111"/>
      <c r="T282" s="111"/>
      <c r="U282" s="114"/>
      <c r="V282" s="74"/>
      <c r="W282" s="85"/>
      <c r="X282" s="74"/>
      <c r="Y282" s="74"/>
      <c r="Z282" s="74"/>
      <c r="AA282" s="74"/>
      <c r="AB282" s="74"/>
      <c r="AC282" s="74"/>
      <c r="AD282" s="74"/>
    </row>
    <row r="283">
      <c r="A283" s="116"/>
      <c r="B283" s="111"/>
      <c r="C283" s="117"/>
      <c r="D283" s="111"/>
      <c r="E283" s="111"/>
      <c r="F283" s="111"/>
      <c r="G283" s="111"/>
      <c r="H283" s="111"/>
      <c r="I283" s="116"/>
      <c r="J283" s="113"/>
      <c r="K283" s="111"/>
      <c r="L283" s="114"/>
      <c r="M283" s="115"/>
      <c r="N283" s="114"/>
      <c r="O283" s="115"/>
      <c r="P283" s="111"/>
      <c r="Q283" s="111"/>
      <c r="R283" s="111"/>
      <c r="S283" s="111"/>
      <c r="T283" s="111"/>
      <c r="U283" s="114"/>
      <c r="V283" s="74"/>
      <c r="W283" s="85"/>
      <c r="X283" s="74"/>
      <c r="Y283" s="74"/>
      <c r="Z283" s="74"/>
      <c r="AA283" s="74"/>
      <c r="AB283" s="74"/>
      <c r="AC283" s="74"/>
      <c r="AD283" s="74"/>
    </row>
    <row r="284">
      <c r="A284" s="116"/>
      <c r="B284" s="111"/>
      <c r="C284" s="117"/>
      <c r="D284" s="111"/>
      <c r="E284" s="111"/>
      <c r="F284" s="111"/>
      <c r="G284" s="111"/>
      <c r="H284" s="111"/>
      <c r="I284" s="116"/>
      <c r="J284" s="113"/>
      <c r="K284" s="111"/>
      <c r="L284" s="114"/>
      <c r="M284" s="115"/>
      <c r="N284" s="114"/>
      <c r="O284" s="115"/>
      <c r="P284" s="111"/>
      <c r="Q284" s="111"/>
      <c r="R284" s="111"/>
      <c r="S284" s="111"/>
      <c r="T284" s="111"/>
      <c r="U284" s="114"/>
      <c r="V284" s="74"/>
      <c r="W284" s="85"/>
      <c r="X284" s="74"/>
      <c r="Y284" s="74"/>
      <c r="Z284" s="74"/>
      <c r="AA284" s="74"/>
      <c r="AB284" s="74"/>
      <c r="AC284" s="74"/>
      <c r="AD284" s="74"/>
    </row>
    <row r="285">
      <c r="A285" s="116"/>
      <c r="B285" s="111"/>
      <c r="C285" s="117"/>
      <c r="D285" s="111"/>
      <c r="E285" s="111"/>
      <c r="F285" s="111"/>
      <c r="G285" s="111"/>
      <c r="H285" s="111"/>
      <c r="I285" s="116"/>
      <c r="J285" s="113"/>
      <c r="K285" s="111"/>
      <c r="L285" s="114"/>
      <c r="M285" s="115"/>
      <c r="N285" s="114"/>
      <c r="O285" s="115"/>
      <c r="P285" s="111"/>
      <c r="Q285" s="111"/>
      <c r="R285" s="111"/>
      <c r="S285" s="111"/>
      <c r="T285" s="111"/>
      <c r="U285" s="114"/>
      <c r="V285" s="74"/>
      <c r="W285" s="85"/>
      <c r="X285" s="74"/>
      <c r="Y285" s="74"/>
      <c r="Z285" s="74"/>
      <c r="AA285" s="74"/>
      <c r="AB285" s="74"/>
      <c r="AC285" s="74"/>
      <c r="AD285" s="74"/>
    </row>
    <row r="286">
      <c r="A286" s="116"/>
      <c r="B286" s="111"/>
      <c r="C286" s="117"/>
      <c r="D286" s="111"/>
      <c r="E286" s="111"/>
      <c r="F286" s="111"/>
      <c r="G286" s="111"/>
      <c r="H286" s="111"/>
      <c r="I286" s="116"/>
      <c r="J286" s="113"/>
      <c r="K286" s="111"/>
      <c r="L286" s="114"/>
      <c r="M286" s="115"/>
      <c r="N286" s="114"/>
      <c r="O286" s="115"/>
      <c r="P286" s="111"/>
      <c r="Q286" s="111"/>
      <c r="R286" s="111"/>
      <c r="S286" s="111"/>
      <c r="T286" s="111"/>
      <c r="U286" s="114"/>
      <c r="V286" s="74"/>
      <c r="W286" s="85"/>
      <c r="X286" s="74"/>
      <c r="Y286" s="74"/>
      <c r="Z286" s="74"/>
      <c r="AA286" s="74"/>
      <c r="AB286" s="74"/>
      <c r="AC286" s="74"/>
      <c r="AD286" s="74"/>
    </row>
    <row r="287">
      <c r="A287" s="116"/>
      <c r="B287" s="111"/>
      <c r="C287" s="117"/>
      <c r="D287" s="111"/>
      <c r="E287" s="111"/>
      <c r="F287" s="111"/>
      <c r="G287" s="111"/>
      <c r="H287" s="111"/>
      <c r="I287" s="116"/>
      <c r="J287" s="113"/>
      <c r="K287" s="111"/>
      <c r="L287" s="114"/>
      <c r="M287" s="115"/>
      <c r="N287" s="114"/>
      <c r="O287" s="115"/>
      <c r="P287" s="111"/>
      <c r="Q287" s="111"/>
      <c r="R287" s="111"/>
      <c r="S287" s="111"/>
      <c r="T287" s="111"/>
      <c r="U287" s="114"/>
      <c r="V287" s="74"/>
      <c r="W287" s="85"/>
      <c r="X287" s="74"/>
      <c r="Y287" s="74"/>
      <c r="Z287" s="74"/>
      <c r="AA287" s="74"/>
      <c r="AB287" s="74"/>
      <c r="AC287" s="74"/>
      <c r="AD287" s="74"/>
    </row>
    <row r="288">
      <c r="A288" s="116"/>
      <c r="B288" s="111"/>
      <c r="C288" s="117"/>
      <c r="D288" s="111"/>
      <c r="E288" s="111"/>
      <c r="F288" s="111"/>
      <c r="G288" s="111"/>
      <c r="H288" s="111"/>
      <c r="I288" s="116"/>
      <c r="J288" s="113"/>
      <c r="K288" s="111"/>
      <c r="L288" s="114"/>
      <c r="M288" s="115"/>
      <c r="N288" s="114"/>
      <c r="O288" s="115"/>
      <c r="P288" s="111"/>
      <c r="Q288" s="111"/>
      <c r="R288" s="111"/>
      <c r="S288" s="111"/>
      <c r="T288" s="111"/>
      <c r="U288" s="114"/>
      <c r="V288" s="74"/>
      <c r="W288" s="85"/>
      <c r="X288" s="74"/>
      <c r="Y288" s="74"/>
      <c r="Z288" s="74"/>
      <c r="AA288" s="74"/>
      <c r="AB288" s="74"/>
      <c r="AC288" s="74"/>
      <c r="AD288" s="74"/>
    </row>
    <row r="289">
      <c r="A289" s="116"/>
      <c r="B289" s="111"/>
      <c r="C289" s="117"/>
      <c r="D289" s="111"/>
      <c r="E289" s="111"/>
      <c r="F289" s="111"/>
      <c r="G289" s="111"/>
      <c r="H289" s="111"/>
      <c r="I289" s="116"/>
      <c r="J289" s="113"/>
      <c r="K289" s="111"/>
      <c r="L289" s="114"/>
      <c r="M289" s="115"/>
      <c r="N289" s="114"/>
      <c r="O289" s="115"/>
      <c r="P289" s="111"/>
      <c r="Q289" s="111"/>
      <c r="R289" s="111"/>
      <c r="S289" s="111"/>
      <c r="T289" s="111"/>
      <c r="U289" s="114"/>
      <c r="V289" s="74"/>
      <c r="W289" s="85"/>
      <c r="X289" s="74"/>
      <c r="Y289" s="74"/>
      <c r="Z289" s="74"/>
      <c r="AA289" s="74"/>
      <c r="AB289" s="74"/>
      <c r="AC289" s="74"/>
      <c r="AD289" s="74"/>
    </row>
    <row r="290">
      <c r="A290" s="116"/>
      <c r="B290" s="111"/>
      <c r="C290" s="117"/>
      <c r="D290" s="111"/>
      <c r="E290" s="111"/>
      <c r="F290" s="111"/>
      <c r="G290" s="111"/>
      <c r="H290" s="111"/>
      <c r="I290" s="116"/>
      <c r="J290" s="113"/>
      <c r="K290" s="111"/>
      <c r="L290" s="114"/>
      <c r="M290" s="115"/>
      <c r="N290" s="114"/>
      <c r="O290" s="115"/>
      <c r="P290" s="111"/>
      <c r="Q290" s="111"/>
      <c r="R290" s="111"/>
      <c r="S290" s="111"/>
      <c r="T290" s="111"/>
      <c r="U290" s="114"/>
      <c r="V290" s="74"/>
      <c r="W290" s="85"/>
      <c r="X290" s="74"/>
      <c r="Y290" s="74"/>
      <c r="Z290" s="74"/>
      <c r="AA290" s="74"/>
      <c r="AB290" s="74"/>
      <c r="AC290" s="74"/>
      <c r="AD290" s="74"/>
    </row>
    <row r="291">
      <c r="A291" s="116"/>
      <c r="B291" s="111"/>
      <c r="C291" s="117"/>
      <c r="D291" s="111"/>
      <c r="E291" s="111"/>
      <c r="F291" s="111"/>
      <c r="G291" s="111"/>
      <c r="H291" s="111"/>
      <c r="I291" s="116"/>
      <c r="J291" s="113"/>
      <c r="K291" s="111"/>
      <c r="L291" s="114"/>
      <c r="M291" s="115"/>
      <c r="N291" s="114"/>
      <c r="O291" s="115"/>
      <c r="P291" s="111"/>
      <c r="Q291" s="111"/>
      <c r="R291" s="111"/>
      <c r="S291" s="111"/>
      <c r="T291" s="111"/>
      <c r="U291" s="114"/>
      <c r="V291" s="74"/>
      <c r="W291" s="85"/>
      <c r="X291" s="74"/>
      <c r="Y291" s="74"/>
      <c r="Z291" s="74"/>
      <c r="AA291" s="74"/>
      <c r="AB291" s="74"/>
      <c r="AC291" s="74"/>
      <c r="AD291" s="74"/>
    </row>
    <row r="292">
      <c r="A292" s="116"/>
      <c r="B292" s="111"/>
      <c r="C292" s="117"/>
      <c r="D292" s="111"/>
      <c r="E292" s="111"/>
      <c r="F292" s="111"/>
      <c r="G292" s="111"/>
      <c r="H292" s="111"/>
      <c r="I292" s="116"/>
      <c r="J292" s="113"/>
      <c r="K292" s="111"/>
      <c r="L292" s="114"/>
      <c r="M292" s="115"/>
      <c r="N292" s="114"/>
      <c r="O292" s="115"/>
      <c r="P292" s="111"/>
      <c r="Q292" s="111"/>
      <c r="R292" s="111"/>
      <c r="S292" s="111"/>
      <c r="T292" s="111"/>
      <c r="U292" s="114"/>
      <c r="V292" s="74"/>
      <c r="W292" s="85"/>
      <c r="X292" s="74"/>
      <c r="Y292" s="74"/>
      <c r="Z292" s="74"/>
      <c r="AA292" s="74"/>
      <c r="AB292" s="74"/>
      <c r="AC292" s="74"/>
      <c r="AD292" s="74"/>
    </row>
    <row r="293">
      <c r="A293" s="116"/>
      <c r="B293" s="111"/>
      <c r="C293" s="117"/>
      <c r="D293" s="111"/>
      <c r="E293" s="111"/>
      <c r="F293" s="111"/>
      <c r="G293" s="111"/>
      <c r="H293" s="111"/>
      <c r="I293" s="116"/>
      <c r="J293" s="113"/>
      <c r="K293" s="111"/>
      <c r="L293" s="114"/>
      <c r="M293" s="115"/>
      <c r="N293" s="114"/>
      <c r="O293" s="115"/>
      <c r="P293" s="111"/>
      <c r="Q293" s="111"/>
      <c r="R293" s="111"/>
      <c r="S293" s="111"/>
      <c r="T293" s="111"/>
      <c r="U293" s="114"/>
      <c r="V293" s="74"/>
      <c r="W293" s="85"/>
      <c r="X293" s="74"/>
      <c r="Y293" s="74"/>
      <c r="Z293" s="74"/>
      <c r="AA293" s="74"/>
      <c r="AB293" s="74"/>
      <c r="AC293" s="74"/>
      <c r="AD293" s="74"/>
    </row>
    <row r="294">
      <c r="A294" s="116"/>
      <c r="B294" s="111"/>
      <c r="C294" s="117"/>
      <c r="D294" s="111"/>
      <c r="E294" s="111"/>
      <c r="F294" s="111"/>
      <c r="G294" s="111"/>
      <c r="H294" s="111"/>
      <c r="I294" s="116"/>
      <c r="J294" s="113"/>
      <c r="K294" s="111"/>
      <c r="L294" s="114"/>
      <c r="M294" s="115"/>
      <c r="N294" s="114"/>
      <c r="O294" s="115"/>
      <c r="P294" s="111"/>
      <c r="Q294" s="111"/>
      <c r="R294" s="111"/>
      <c r="S294" s="111"/>
      <c r="T294" s="111"/>
      <c r="U294" s="114"/>
      <c r="V294" s="74"/>
      <c r="W294" s="85"/>
      <c r="X294" s="74"/>
      <c r="Y294" s="74"/>
      <c r="Z294" s="74"/>
      <c r="AA294" s="74"/>
      <c r="AB294" s="74"/>
      <c r="AC294" s="74"/>
      <c r="AD294" s="74"/>
    </row>
    <row r="295">
      <c r="A295" s="116"/>
      <c r="B295" s="111"/>
      <c r="C295" s="117"/>
      <c r="D295" s="111"/>
      <c r="E295" s="111"/>
      <c r="F295" s="111"/>
      <c r="G295" s="111"/>
      <c r="H295" s="111"/>
      <c r="I295" s="116"/>
      <c r="J295" s="113"/>
      <c r="K295" s="111"/>
      <c r="L295" s="114"/>
      <c r="M295" s="115"/>
      <c r="N295" s="114"/>
      <c r="O295" s="115"/>
      <c r="P295" s="111"/>
      <c r="Q295" s="111"/>
      <c r="R295" s="111"/>
      <c r="S295" s="111"/>
      <c r="T295" s="111"/>
      <c r="U295" s="114"/>
      <c r="V295" s="74"/>
      <c r="W295" s="85"/>
      <c r="X295" s="74"/>
      <c r="Y295" s="74"/>
      <c r="Z295" s="74"/>
      <c r="AA295" s="74"/>
      <c r="AB295" s="74"/>
      <c r="AC295" s="74"/>
      <c r="AD295" s="74"/>
    </row>
    <row r="296">
      <c r="A296" s="116"/>
      <c r="B296" s="111"/>
      <c r="C296" s="117"/>
      <c r="D296" s="111"/>
      <c r="E296" s="111"/>
      <c r="F296" s="111"/>
      <c r="G296" s="111"/>
      <c r="H296" s="111"/>
      <c r="I296" s="116"/>
      <c r="J296" s="113"/>
      <c r="K296" s="111"/>
      <c r="L296" s="114"/>
      <c r="M296" s="115"/>
      <c r="N296" s="114"/>
      <c r="O296" s="115"/>
      <c r="P296" s="111"/>
      <c r="Q296" s="111"/>
      <c r="R296" s="111"/>
      <c r="S296" s="111"/>
      <c r="T296" s="111"/>
      <c r="U296" s="114"/>
      <c r="V296" s="74"/>
      <c r="W296" s="85"/>
      <c r="X296" s="74"/>
      <c r="Y296" s="74"/>
      <c r="Z296" s="74"/>
      <c r="AA296" s="74"/>
      <c r="AB296" s="74"/>
      <c r="AC296" s="74"/>
      <c r="AD296" s="74"/>
    </row>
    <row r="297">
      <c r="A297" s="116"/>
      <c r="B297" s="111"/>
      <c r="C297" s="117"/>
      <c r="D297" s="111"/>
      <c r="E297" s="111"/>
      <c r="F297" s="111"/>
      <c r="G297" s="111"/>
      <c r="H297" s="111"/>
      <c r="I297" s="116"/>
      <c r="J297" s="113"/>
      <c r="K297" s="111"/>
      <c r="L297" s="114"/>
      <c r="M297" s="115"/>
      <c r="N297" s="114"/>
      <c r="O297" s="115"/>
      <c r="P297" s="111"/>
      <c r="Q297" s="111"/>
      <c r="R297" s="111"/>
      <c r="S297" s="111"/>
      <c r="T297" s="111"/>
      <c r="U297" s="114"/>
      <c r="V297" s="74"/>
      <c r="W297" s="85"/>
      <c r="X297" s="74"/>
      <c r="Y297" s="74"/>
      <c r="Z297" s="74"/>
      <c r="AA297" s="74"/>
      <c r="AB297" s="74"/>
      <c r="AC297" s="74"/>
      <c r="AD297" s="74"/>
    </row>
    <row r="298">
      <c r="A298" s="116"/>
      <c r="B298" s="111"/>
      <c r="C298" s="117"/>
      <c r="D298" s="111"/>
      <c r="E298" s="111"/>
      <c r="F298" s="111"/>
      <c r="G298" s="111"/>
      <c r="H298" s="111"/>
      <c r="I298" s="116"/>
      <c r="J298" s="113"/>
      <c r="K298" s="111"/>
      <c r="L298" s="114"/>
      <c r="M298" s="115"/>
      <c r="N298" s="114"/>
      <c r="O298" s="115"/>
      <c r="P298" s="111"/>
      <c r="Q298" s="111"/>
      <c r="R298" s="111"/>
      <c r="S298" s="111"/>
      <c r="T298" s="111"/>
      <c r="U298" s="114"/>
      <c r="V298" s="74"/>
      <c r="W298" s="85"/>
      <c r="X298" s="74"/>
      <c r="Y298" s="74"/>
      <c r="Z298" s="74"/>
      <c r="AA298" s="74"/>
      <c r="AB298" s="74"/>
      <c r="AC298" s="74"/>
      <c r="AD298" s="74"/>
    </row>
    <row r="299">
      <c r="A299" s="116"/>
      <c r="B299" s="111"/>
      <c r="C299" s="117"/>
      <c r="D299" s="111"/>
      <c r="E299" s="111"/>
      <c r="F299" s="111"/>
      <c r="G299" s="111"/>
      <c r="H299" s="111"/>
      <c r="I299" s="116"/>
      <c r="J299" s="113"/>
      <c r="K299" s="111"/>
      <c r="L299" s="114"/>
      <c r="M299" s="115"/>
      <c r="N299" s="114"/>
      <c r="O299" s="115"/>
      <c r="P299" s="111"/>
      <c r="Q299" s="111"/>
      <c r="R299" s="111"/>
      <c r="S299" s="111"/>
      <c r="T299" s="111"/>
      <c r="U299" s="114"/>
      <c r="V299" s="74"/>
      <c r="W299" s="85"/>
      <c r="X299" s="74"/>
      <c r="Y299" s="74"/>
      <c r="Z299" s="74"/>
      <c r="AA299" s="74"/>
      <c r="AB299" s="74"/>
      <c r="AC299" s="74"/>
      <c r="AD299" s="74"/>
    </row>
    <row r="300">
      <c r="A300" s="116"/>
      <c r="B300" s="111"/>
      <c r="C300" s="117"/>
      <c r="D300" s="111"/>
      <c r="E300" s="111"/>
      <c r="F300" s="111"/>
      <c r="G300" s="111"/>
      <c r="H300" s="111"/>
      <c r="I300" s="116"/>
      <c r="J300" s="113"/>
      <c r="K300" s="111"/>
      <c r="L300" s="114"/>
      <c r="M300" s="115"/>
      <c r="N300" s="114"/>
      <c r="O300" s="115"/>
      <c r="P300" s="111"/>
      <c r="Q300" s="111"/>
      <c r="R300" s="111"/>
      <c r="S300" s="111"/>
      <c r="T300" s="111"/>
      <c r="U300" s="114"/>
      <c r="V300" s="74"/>
      <c r="W300" s="85"/>
      <c r="X300" s="74"/>
      <c r="Y300" s="74"/>
      <c r="Z300" s="74"/>
      <c r="AA300" s="74"/>
      <c r="AB300" s="74"/>
      <c r="AC300" s="74"/>
      <c r="AD300" s="74"/>
    </row>
    <row r="301">
      <c r="A301" s="116"/>
      <c r="B301" s="111"/>
      <c r="C301" s="117"/>
      <c r="D301" s="111"/>
      <c r="E301" s="111"/>
      <c r="F301" s="111"/>
      <c r="G301" s="111"/>
      <c r="H301" s="111"/>
      <c r="I301" s="116"/>
      <c r="J301" s="113"/>
      <c r="K301" s="111"/>
      <c r="L301" s="114"/>
      <c r="M301" s="115"/>
      <c r="N301" s="114"/>
      <c r="O301" s="115"/>
      <c r="P301" s="111"/>
      <c r="Q301" s="111"/>
      <c r="R301" s="111"/>
      <c r="S301" s="111"/>
      <c r="T301" s="111"/>
      <c r="U301" s="114"/>
      <c r="V301" s="74"/>
      <c r="W301" s="85"/>
      <c r="X301" s="74"/>
      <c r="Y301" s="74"/>
      <c r="Z301" s="74"/>
      <c r="AA301" s="74"/>
      <c r="AB301" s="74"/>
      <c r="AC301" s="74"/>
      <c r="AD301" s="74"/>
    </row>
    <row r="302">
      <c r="A302" s="116"/>
      <c r="B302" s="111"/>
      <c r="C302" s="117"/>
      <c r="D302" s="111"/>
      <c r="E302" s="111"/>
      <c r="F302" s="111"/>
      <c r="G302" s="111"/>
      <c r="H302" s="111"/>
      <c r="I302" s="116"/>
      <c r="J302" s="113"/>
      <c r="K302" s="111"/>
      <c r="L302" s="114"/>
      <c r="M302" s="115"/>
      <c r="N302" s="114"/>
      <c r="O302" s="115"/>
      <c r="P302" s="111"/>
      <c r="Q302" s="111"/>
      <c r="R302" s="111"/>
      <c r="S302" s="111"/>
      <c r="T302" s="111"/>
      <c r="U302" s="114"/>
      <c r="V302" s="74"/>
      <c r="W302" s="85"/>
      <c r="X302" s="74"/>
      <c r="Y302" s="74"/>
      <c r="Z302" s="74"/>
      <c r="AA302" s="74"/>
      <c r="AB302" s="74"/>
      <c r="AC302" s="74"/>
      <c r="AD302" s="74"/>
    </row>
    <row r="303">
      <c r="A303" s="116"/>
      <c r="B303" s="111"/>
      <c r="C303" s="117"/>
      <c r="D303" s="111"/>
      <c r="E303" s="111"/>
      <c r="F303" s="111"/>
      <c r="G303" s="111"/>
      <c r="H303" s="111"/>
      <c r="I303" s="116"/>
      <c r="J303" s="113"/>
      <c r="K303" s="111"/>
      <c r="L303" s="114"/>
      <c r="M303" s="115"/>
      <c r="N303" s="114"/>
      <c r="O303" s="115"/>
      <c r="P303" s="111"/>
      <c r="Q303" s="111"/>
      <c r="R303" s="111"/>
      <c r="S303" s="111"/>
      <c r="T303" s="111"/>
      <c r="U303" s="114"/>
      <c r="V303" s="74"/>
      <c r="W303" s="85"/>
      <c r="X303" s="74"/>
      <c r="Y303" s="74"/>
      <c r="Z303" s="74"/>
      <c r="AA303" s="74"/>
      <c r="AB303" s="74"/>
      <c r="AC303" s="74"/>
      <c r="AD303" s="74"/>
    </row>
    <row r="304">
      <c r="A304" s="116"/>
      <c r="B304" s="111"/>
      <c r="C304" s="117"/>
      <c r="D304" s="111"/>
      <c r="E304" s="111"/>
      <c r="F304" s="111"/>
      <c r="G304" s="111"/>
      <c r="H304" s="111"/>
      <c r="I304" s="116"/>
      <c r="J304" s="113"/>
      <c r="K304" s="111"/>
      <c r="L304" s="114"/>
      <c r="M304" s="115"/>
      <c r="N304" s="114"/>
      <c r="O304" s="115"/>
      <c r="P304" s="111"/>
      <c r="Q304" s="111"/>
      <c r="R304" s="111"/>
      <c r="S304" s="111"/>
      <c r="T304" s="111"/>
      <c r="U304" s="114"/>
      <c r="V304" s="74"/>
      <c r="W304" s="85"/>
      <c r="X304" s="74"/>
      <c r="Y304" s="74"/>
      <c r="Z304" s="74"/>
      <c r="AA304" s="74"/>
      <c r="AB304" s="74"/>
      <c r="AC304" s="74"/>
      <c r="AD304" s="74"/>
    </row>
    <row r="305">
      <c r="A305" s="116"/>
      <c r="B305" s="111"/>
      <c r="C305" s="117"/>
      <c r="D305" s="111"/>
      <c r="E305" s="111"/>
      <c r="F305" s="111"/>
      <c r="G305" s="111"/>
      <c r="H305" s="111"/>
      <c r="I305" s="116"/>
      <c r="J305" s="113"/>
      <c r="K305" s="111"/>
      <c r="L305" s="114"/>
      <c r="M305" s="115"/>
      <c r="N305" s="114"/>
      <c r="O305" s="115"/>
      <c r="P305" s="111"/>
      <c r="Q305" s="111"/>
      <c r="R305" s="111"/>
      <c r="S305" s="111"/>
      <c r="T305" s="111"/>
      <c r="U305" s="114"/>
      <c r="V305" s="74"/>
      <c r="W305" s="85"/>
      <c r="X305" s="74"/>
      <c r="Y305" s="74"/>
      <c r="Z305" s="74"/>
      <c r="AA305" s="74"/>
      <c r="AB305" s="74"/>
      <c r="AC305" s="74"/>
      <c r="AD305" s="74"/>
    </row>
    <row r="306">
      <c r="A306" s="116"/>
      <c r="B306" s="111"/>
      <c r="C306" s="117"/>
      <c r="D306" s="111"/>
      <c r="E306" s="111"/>
      <c r="F306" s="111"/>
      <c r="G306" s="111"/>
      <c r="H306" s="111"/>
      <c r="I306" s="116"/>
      <c r="J306" s="113"/>
      <c r="K306" s="111"/>
      <c r="L306" s="114"/>
      <c r="M306" s="115"/>
      <c r="N306" s="114"/>
      <c r="O306" s="115"/>
      <c r="P306" s="111"/>
      <c r="Q306" s="111"/>
      <c r="R306" s="111"/>
      <c r="S306" s="111"/>
      <c r="T306" s="111"/>
      <c r="U306" s="114"/>
      <c r="V306" s="74"/>
      <c r="W306" s="85"/>
      <c r="X306" s="74"/>
      <c r="Y306" s="74"/>
      <c r="Z306" s="74"/>
      <c r="AA306" s="74"/>
      <c r="AB306" s="74"/>
      <c r="AC306" s="74"/>
      <c r="AD306" s="74"/>
    </row>
    <row r="307">
      <c r="A307" s="116"/>
      <c r="B307" s="111"/>
      <c r="C307" s="117"/>
      <c r="D307" s="111"/>
      <c r="E307" s="111"/>
      <c r="F307" s="111"/>
      <c r="G307" s="111"/>
      <c r="H307" s="111"/>
      <c r="I307" s="116"/>
      <c r="J307" s="113"/>
      <c r="K307" s="111"/>
      <c r="L307" s="114"/>
      <c r="M307" s="115"/>
      <c r="N307" s="114"/>
      <c r="O307" s="115"/>
      <c r="P307" s="111"/>
      <c r="Q307" s="111"/>
      <c r="R307" s="111"/>
      <c r="S307" s="111"/>
      <c r="T307" s="111"/>
      <c r="U307" s="114"/>
      <c r="V307" s="74"/>
      <c r="W307" s="85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19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19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19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19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19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19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19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19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19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19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19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19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19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19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19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19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19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19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19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19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19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19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19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19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19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19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19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19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19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19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19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19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19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19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19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19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19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19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19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19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19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19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19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19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19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19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19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19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19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19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19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19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19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19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19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19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19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19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19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19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19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19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19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19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19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19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19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19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19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19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19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19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19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19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19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19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19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19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19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19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19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19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19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19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19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19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19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19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19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19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19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19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19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19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19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19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19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19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19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19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19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19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19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19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19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19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19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19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19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19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19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19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19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19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19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19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19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19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19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19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19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19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19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19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19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19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19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19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19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19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19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19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19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19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19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19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19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19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19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19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19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19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19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19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19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19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19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19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19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19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19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19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19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19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19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19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19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19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19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19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19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19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19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19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19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19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19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19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19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19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19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19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19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19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19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19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19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19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19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19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19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19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19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19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19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19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19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19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19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19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19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19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19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19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19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19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19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19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19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19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19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19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19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19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19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19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19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19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19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19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19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19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19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19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19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19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19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19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19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19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19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19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19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19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19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19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19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19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19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19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19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19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19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19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19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19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19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19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19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19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19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19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19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19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19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19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19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19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19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19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19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19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19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19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19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19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19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19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19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19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19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19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19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19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19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19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19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19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19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19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19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19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19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19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19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19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19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19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19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19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19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19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19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19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19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19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19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19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19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19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19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19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19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19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19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19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19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19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19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19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19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19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19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19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19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19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19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19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19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19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19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19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19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19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19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19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19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19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19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19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19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19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19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19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19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19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19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19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19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19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19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19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19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19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19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19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19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19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19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19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19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19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19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19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19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19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19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19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19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19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19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19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19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19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19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19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19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19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19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19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19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19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19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19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19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19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19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19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19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19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19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19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19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19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19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19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19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19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19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19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19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19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19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19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19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19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19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19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19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19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19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19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19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19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19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19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19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19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19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19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19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19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19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19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19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19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19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19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19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19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19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19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19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19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19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19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19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19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19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19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19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19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19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19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19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19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19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19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19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19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19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19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19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19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19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19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19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19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19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19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19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19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19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19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19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19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19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19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19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19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19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19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19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19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19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19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19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19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19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19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19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19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19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19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19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19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19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19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19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19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19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19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19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19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19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19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19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19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19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19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19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19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19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19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19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19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19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19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19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19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19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19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19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19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19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19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19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19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19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19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19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19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19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19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19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19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19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19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19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19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19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19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19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19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19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19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19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19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19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19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19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19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19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19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19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19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19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19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19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19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19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19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19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19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19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19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19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19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19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19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19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19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19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19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19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19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19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19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19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19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19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19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19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19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19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19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19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19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19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19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19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19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19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19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19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19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19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19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19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19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19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19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19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19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19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19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19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19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19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19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19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19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19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19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19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19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19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19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19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19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19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19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19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19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19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19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19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19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19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19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19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19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19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19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19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19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19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19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19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19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19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19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19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19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19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19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19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19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19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19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19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19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19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19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19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19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19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19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19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19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19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19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19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19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19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19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19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19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19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19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19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19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19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19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19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19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19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19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19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19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19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19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19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19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19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19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19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19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19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19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19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19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19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19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19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19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19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19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19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19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19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19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19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19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19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19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19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19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19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19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19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19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19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19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19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19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19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19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19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19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19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19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19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B21 C21:C22 D21:F21 G21:H22 I21:S21 T21:T22 U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$U11="รอปรุกระดาษก่อนพิมพ์"</formula>
    </cfRule>
  </conditionalFormatting>
  <conditionalFormatting sqref="A11:V307">
    <cfRule type="expression" dxfId="0" priority="9">
      <formula>$U11="รอ maintenance"</formula>
    </cfRule>
  </conditionalFormatting>
  <conditionalFormatting sqref="A11:V307">
    <cfRule type="expression" dxfId="0" priority="10">
      <formula>$U11="รอคอนเฟิร์ม"</formula>
    </cfRule>
  </conditionalFormatting>
  <conditionalFormatting sqref="A11:V307">
    <cfRule type="expression" dxfId="0" priority="11">
      <formula>$U11="รอดูสี"</formula>
    </cfRule>
  </conditionalFormatting>
  <conditionalFormatting sqref="A11:V307">
    <cfRule type="expression" dxfId="0" priority="12">
      <formula>$U11="กระดาษชื้น"</formula>
    </cfRule>
  </conditionalFormatting>
  <conditionalFormatting sqref="A11:V307">
    <cfRule type="expression" dxfId="4" priority="13">
      <formula>$L11=True</formula>
    </cfRule>
  </conditionalFormatting>
  <conditionalFormatting sqref="A11:V307">
    <cfRule type="expression" dxfId="5" priority="14">
      <formula>$F11="VIP"</formula>
    </cfRule>
  </conditionalFormatting>
  <conditionalFormatting sqref="A11:V307">
    <cfRule type="expression" dxfId="6" priority="15">
      <formula>$F11="ตามคิว"</formula>
    </cfRule>
  </conditionalFormatting>
  <conditionalFormatting sqref="A11:V307">
    <cfRule type="expression" dxfId="7" priority="16">
      <formula>$F11="Same Day"</formula>
    </cfRule>
  </conditionalFormatting>
  <conditionalFormatting sqref="A11:V307">
    <cfRule type="expression" dxfId="6" priority="17">
      <formula>$F11="ตัวอย่าง Mockup"</formula>
    </cfRule>
  </conditionalFormatting>
  <conditionalFormatting sqref="D17:F17">
    <cfRule type="notContainsBlanks" dxfId="8" priority="18">
      <formula>LEN(TRIM(D17))&gt;0</formula>
    </cfRule>
  </conditionalFormatting>
  <conditionalFormatting sqref="D17:F17">
    <cfRule type="notContainsBlanks" dxfId="8" priority="19">
      <formula>LEN(TRIM(D17))&gt;0</formula>
    </cfRule>
  </conditionalFormatting>
  <conditionalFormatting sqref="U400:W400">
    <cfRule type="expression" dxfId="9" priority="20">
      <formula>"D11"</formula>
    </cfRule>
  </conditionalFormatting>
  <conditionalFormatting sqref="A1:B1">
    <cfRule type="notContainsBlanks" dxfId="8" priority="21">
      <formula>LEN(TRIM(A1))&gt;0</formula>
    </cfRule>
  </conditionalFormatting>
  <conditionalFormatting sqref="A11:V307">
    <cfRule type="expression" dxfId="10" priority="22">
      <formula>$F11="งานซ่อม"</formula>
    </cfRule>
  </conditionalFormatting>
  <conditionalFormatting sqref="A11:V307">
    <cfRule type="expression" dxfId="10" priority="23">
      <formula>$F11="ซ่อมไม่มีใบสั่ง"</formula>
    </cfRule>
  </conditionalFormatting>
  <dataValidations>
    <dataValidation type="list" allowBlank="1" showErrorMessage="1" sqref="Q11:Q170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170 P11:P170">
      <formula1>"Fluke,Sunney"</formula1>
    </dataValidation>
    <dataValidation type="list" allowBlank="1" showErrorMessage="1" sqref="V11:V170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170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117</v>
      </c>
      <c r="D2" s="13" t="s">
        <v>8</v>
      </c>
      <c r="E2" s="14">
        <f>COUNTIFS(F11:F1000,"ตามคิว")</f>
        <v>101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2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6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132</v>
      </c>
      <c r="D3" s="13" t="s">
        <v>18</v>
      </c>
      <c r="E3" s="14">
        <f>COUNTIFS(F11:F1000,"Same Day")</f>
        <v>35</v>
      </c>
      <c r="F3" s="15" t="s">
        <v>9</v>
      </c>
      <c r="G3" s="27" t="s">
        <v>19</v>
      </c>
      <c r="H3" s="28">
        <f>COUNTIFS(U11:U1000,"Dicut Jwei")</f>
        <v>4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77</v>
      </c>
      <c r="Y3" s="25" t="s">
        <v>9</v>
      </c>
      <c r="Z3" s="25" t="s">
        <v>24</v>
      </c>
      <c r="AA3" s="25">
        <f>COUNTIFS(D11:E1000,"ปอนด์ 80g (โกดัง)")</f>
        <v>1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4</v>
      </c>
      <c r="F4" s="15" t="s">
        <v>9</v>
      </c>
      <c r="G4" s="27" t="s">
        <v>28</v>
      </c>
      <c r="H4" s="28">
        <f>COUNTIFS(U11:U1000,"Dicut Graptech")</f>
        <v>23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11</v>
      </c>
      <c r="Y4" s="25" t="s">
        <v>9</v>
      </c>
      <c r="Z4" s="25" t="s">
        <v>32</v>
      </c>
      <c r="AA4" s="25">
        <f>COUNTIFS(D11:E1000,"ปอนด์ 100g (โกดัง)")</f>
        <v>2</v>
      </c>
      <c r="AB4" s="25" t="s">
        <v>9</v>
      </c>
      <c r="AC4" s="25" t="s">
        <v>33</v>
      </c>
      <c r="AD4" s="25">
        <f>COUNTIFS(D11:E1000,"อาร์ตการ์ด 1/S 260g (โกดัง)")</f>
        <v>1</v>
      </c>
      <c r="AE4" s="25" t="s">
        <v>9</v>
      </c>
      <c r="AF4" s="26" t="s">
        <v>34</v>
      </c>
      <c r="AG4" s="26">
        <f>COUNTIFS(D11:E1000,"Stk PP ขาวเงา (ODM)")</f>
        <v>14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3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2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15</v>
      </c>
      <c r="AH5" s="26" t="s">
        <v>9</v>
      </c>
    </row>
    <row r="6" ht="21.75" customHeight="1">
      <c r="A6" s="11">
        <f>COUNTIFS(N11:N1000,True,B11:B1000,"*",K11:K1000,"*")</f>
        <v>144</v>
      </c>
      <c r="B6" s="2"/>
      <c r="C6" s="12" t="s">
        <v>9</v>
      </c>
      <c r="D6" s="13" t="s">
        <v>44</v>
      </c>
      <c r="E6" s="14">
        <f>COUNTIFS(F11:F1000,"ซ่อมไม่มีใบสั่ง")</f>
        <v>1</v>
      </c>
      <c r="F6" s="15" t="s">
        <v>9</v>
      </c>
      <c r="G6" s="42" t="s">
        <v>11</v>
      </c>
      <c r="H6" s="19">
        <f>COUNTIFS(Q11:Q1000,"C12000")</f>
        <v>114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2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5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30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1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144</v>
      </c>
      <c r="I8" s="51" t="s">
        <v>59</v>
      </c>
      <c r="J8" s="2"/>
      <c r="K8" s="53">
        <f>SUM(H3+H4)</f>
        <v>27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5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>
        <v>46055.0</v>
      </c>
      <c r="B11" s="76" t="s">
        <v>414</v>
      </c>
      <c r="C11" s="77" t="s">
        <v>415</v>
      </c>
      <c r="D11" s="76" t="s">
        <v>60</v>
      </c>
      <c r="E11" s="76"/>
      <c r="F11" s="76" t="s">
        <v>8</v>
      </c>
      <c r="G11" s="76">
        <v>1.0</v>
      </c>
      <c r="H11" s="76">
        <v>1.0</v>
      </c>
      <c r="I11" s="75">
        <v>46057.0</v>
      </c>
      <c r="J11" s="78">
        <v>8.59</v>
      </c>
      <c r="K11" s="76" t="s">
        <v>101</v>
      </c>
      <c r="L11" s="79" t="b">
        <v>1</v>
      </c>
      <c r="M11" s="80">
        <f t="shared" ref="M11:M154" si="1">IFS(L11=FALSE,"",M11="",NOW(),TRUE,M11)</f>
        <v>46055.43766</v>
      </c>
      <c r="N11" s="81" t="b">
        <v>1</v>
      </c>
      <c r="O11" s="80">
        <f t="shared" ref="O11:O154" si="2">IFS(N11=FALSE,"",O11="",NOW(),TRUE,O11)</f>
        <v>46055.43956</v>
      </c>
      <c r="P11" s="76" t="s">
        <v>101</v>
      </c>
      <c r="Q11" s="76" t="s">
        <v>11</v>
      </c>
      <c r="R11" s="76" t="b">
        <v>0</v>
      </c>
      <c r="S11" s="82" t="b">
        <v>0</v>
      </c>
      <c r="T11" s="76">
        <v>1.0</v>
      </c>
      <c r="U11" s="79" t="s">
        <v>19</v>
      </c>
      <c r="V11" s="83"/>
      <c r="W11" s="118"/>
    </row>
    <row r="12">
      <c r="A12" s="75">
        <v>46055.0</v>
      </c>
      <c r="B12" s="76" t="s">
        <v>200</v>
      </c>
      <c r="C12" s="77" t="s">
        <v>201</v>
      </c>
      <c r="D12" s="76" t="s">
        <v>34</v>
      </c>
      <c r="E12" s="76"/>
      <c r="F12" s="76" t="s">
        <v>416</v>
      </c>
      <c r="G12" s="76">
        <v>10.0</v>
      </c>
      <c r="H12" s="76">
        <v>10.0</v>
      </c>
      <c r="I12" s="75">
        <v>46056.0</v>
      </c>
      <c r="J12" s="78">
        <v>9.42</v>
      </c>
      <c r="K12" s="76" t="s">
        <v>101</v>
      </c>
      <c r="L12" s="79" t="b">
        <v>1</v>
      </c>
      <c r="M12" s="80">
        <f t="shared" si="1"/>
        <v>46055.40852</v>
      </c>
      <c r="N12" s="81" t="b">
        <v>1</v>
      </c>
      <c r="O12" s="80">
        <f t="shared" si="2"/>
        <v>46055.40969</v>
      </c>
      <c r="P12" s="76" t="s">
        <v>101</v>
      </c>
      <c r="Q12" s="76" t="s">
        <v>38</v>
      </c>
      <c r="R12" s="76" t="b">
        <v>0</v>
      </c>
      <c r="S12" s="82" t="b">
        <v>0</v>
      </c>
      <c r="T12" s="76">
        <v>12.0</v>
      </c>
      <c r="U12" s="79" t="s">
        <v>28</v>
      </c>
      <c r="V12" s="83"/>
      <c r="W12" s="74"/>
    </row>
    <row r="13">
      <c r="A13" s="75">
        <v>46055.0</v>
      </c>
      <c r="B13" s="76" t="s">
        <v>417</v>
      </c>
      <c r="C13" s="77" t="s">
        <v>418</v>
      </c>
      <c r="D13" s="76" t="s">
        <v>23</v>
      </c>
      <c r="E13" s="76"/>
      <c r="F13" s="76" t="s">
        <v>18</v>
      </c>
      <c r="G13" s="76">
        <v>1000.0</v>
      </c>
      <c r="H13" s="76">
        <v>500.0</v>
      </c>
      <c r="I13" s="75">
        <v>46055.0</v>
      </c>
      <c r="J13" s="78">
        <v>11.02</v>
      </c>
      <c r="K13" s="76" t="s">
        <v>101</v>
      </c>
      <c r="L13" s="79" t="b">
        <v>1</v>
      </c>
      <c r="M13" s="80">
        <f t="shared" si="1"/>
        <v>46055.46025</v>
      </c>
      <c r="N13" s="81" t="b">
        <v>1</v>
      </c>
      <c r="O13" s="80">
        <f t="shared" si="2"/>
        <v>46055.48954</v>
      </c>
      <c r="P13" s="76" t="s">
        <v>101</v>
      </c>
      <c r="Q13" s="76" t="s">
        <v>11</v>
      </c>
      <c r="R13" s="76" t="b">
        <v>0</v>
      </c>
      <c r="S13" s="82" t="b">
        <v>0</v>
      </c>
      <c r="T13" s="76">
        <v>508.0</v>
      </c>
      <c r="U13" s="79" t="s">
        <v>96</v>
      </c>
      <c r="V13" s="83" t="s">
        <v>160</v>
      </c>
      <c r="W13" s="74"/>
    </row>
    <row r="14">
      <c r="A14" s="75">
        <v>46055.0</v>
      </c>
      <c r="B14" s="76" t="s">
        <v>419</v>
      </c>
      <c r="C14" s="77" t="s">
        <v>420</v>
      </c>
      <c r="D14" s="76" t="s">
        <v>16</v>
      </c>
      <c r="E14" s="76"/>
      <c r="F14" s="76" t="s">
        <v>8</v>
      </c>
      <c r="G14" s="76">
        <v>200.0</v>
      </c>
      <c r="H14" s="76">
        <v>10.0</v>
      </c>
      <c r="I14" s="75">
        <v>46060.0</v>
      </c>
      <c r="J14" s="78">
        <v>13.47</v>
      </c>
      <c r="K14" s="76" t="s">
        <v>101</v>
      </c>
      <c r="L14" s="79" t="b">
        <v>1</v>
      </c>
      <c r="M14" s="80">
        <f t="shared" si="1"/>
        <v>46056.40807</v>
      </c>
      <c r="N14" s="81" t="b">
        <v>1</v>
      </c>
      <c r="O14" s="80">
        <f t="shared" si="2"/>
        <v>46056.40952</v>
      </c>
      <c r="P14" s="76" t="s">
        <v>101</v>
      </c>
      <c r="Q14" s="76" t="s">
        <v>11</v>
      </c>
      <c r="R14" s="76" t="b">
        <v>0</v>
      </c>
      <c r="S14" s="82" t="b">
        <v>0</v>
      </c>
      <c r="T14" s="76">
        <v>20.0</v>
      </c>
      <c r="U14" s="79" t="s">
        <v>96</v>
      </c>
      <c r="V14" s="83"/>
      <c r="W14" s="74"/>
    </row>
    <row r="15">
      <c r="A15" s="75">
        <v>46055.0</v>
      </c>
      <c r="B15" s="76" t="s">
        <v>421</v>
      </c>
      <c r="C15" s="77" t="s">
        <v>422</v>
      </c>
      <c r="D15" s="76" t="s">
        <v>16</v>
      </c>
      <c r="E15" s="76"/>
      <c r="F15" s="76" t="s">
        <v>8</v>
      </c>
      <c r="G15" s="76">
        <v>200.0</v>
      </c>
      <c r="H15" s="76">
        <v>10.0</v>
      </c>
      <c r="I15" s="75">
        <v>46059.0</v>
      </c>
      <c r="J15" s="78">
        <v>13.47</v>
      </c>
      <c r="K15" s="76" t="s">
        <v>1</v>
      </c>
      <c r="L15" s="79" t="b">
        <v>1</v>
      </c>
      <c r="M15" s="80">
        <f t="shared" si="1"/>
        <v>46056.41329</v>
      </c>
      <c r="N15" s="81" t="b">
        <v>1</v>
      </c>
      <c r="O15" s="80">
        <f t="shared" si="2"/>
        <v>46056.41756</v>
      </c>
      <c r="P15" s="76" t="s">
        <v>101</v>
      </c>
      <c r="Q15" s="76" t="s">
        <v>11</v>
      </c>
      <c r="R15" s="76" t="b">
        <v>0</v>
      </c>
      <c r="S15" s="82" t="b">
        <v>0</v>
      </c>
      <c r="T15" s="76">
        <v>20.0</v>
      </c>
      <c r="U15" s="79" t="s">
        <v>96</v>
      </c>
      <c r="V15" s="83"/>
      <c r="W15" s="118"/>
    </row>
    <row r="16">
      <c r="A16" s="75">
        <v>46055.0</v>
      </c>
      <c r="B16" s="76" t="s">
        <v>423</v>
      </c>
      <c r="C16" s="77" t="s">
        <v>424</v>
      </c>
      <c r="D16" s="76" t="s">
        <v>23</v>
      </c>
      <c r="E16" s="76"/>
      <c r="F16" s="76" t="s">
        <v>18</v>
      </c>
      <c r="G16" s="76">
        <v>100.0</v>
      </c>
      <c r="H16" s="76">
        <v>50.0</v>
      </c>
      <c r="I16" s="75">
        <v>46056.0</v>
      </c>
      <c r="J16" s="78">
        <v>15.31</v>
      </c>
      <c r="K16" s="76" t="s">
        <v>1</v>
      </c>
      <c r="L16" s="79" t="b">
        <v>1</v>
      </c>
      <c r="M16" s="80">
        <f t="shared" si="1"/>
        <v>46055.66159</v>
      </c>
      <c r="N16" s="81" t="b">
        <v>1</v>
      </c>
      <c r="O16" s="80">
        <f t="shared" si="2"/>
        <v>46055.66283</v>
      </c>
      <c r="P16" s="76" t="s">
        <v>1</v>
      </c>
      <c r="Q16" s="76" t="s">
        <v>11</v>
      </c>
      <c r="R16" s="76" t="b">
        <v>0</v>
      </c>
      <c r="S16" s="82" t="b">
        <v>0</v>
      </c>
      <c r="T16" s="76">
        <v>56.0</v>
      </c>
      <c r="U16" s="79" t="s">
        <v>96</v>
      </c>
      <c r="V16" s="83"/>
      <c r="W16" s="118"/>
    </row>
    <row r="17">
      <c r="A17" s="75">
        <v>46055.0</v>
      </c>
      <c r="B17" s="76" t="s">
        <v>425</v>
      </c>
      <c r="C17" s="77" t="s">
        <v>426</v>
      </c>
      <c r="D17" s="76" t="s">
        <v>60</v>
      </c>
      <c r="E17" s="76"/>
      <c r="F17" s="76" t="s">
        <v>8</v>
      </c>
      <c r="G17" s="76">
        <v>300.0</v>
      </c>
      <c r="H17" s="76">
        <v>15.0</v>
      </c>
      <c r="I17" s="75">
        <v>46059.0</v>
      </c>
      <c r="J17" s="78">
        <v>17.08</v>
      </c>
      <c r="K17" s="76" t="s">
        <v>1</v>
      </c>
      <c r="L17" s="79" t="b">
        <v>1</v>
      </c>
      <c r="M17" s="80">
        <f t="shared" si="1"/>
        <v>46056.44259</v>
      </c>
      <c r="N17" s="81" t="b">
        <v>1</v>
      </c>
      <c r="O17" s="80">
        <f t="shared" si="2"/>
        <v>46056.44424</v>
      </c>
      <c r="P17" s="76" t="s">
        <v>101</v>
      </c>
      <c r="Q17" s="76" t="s">
        <v>11</v>
      </c>
      <c r="R17" s="76" t="b">
        <v>0</v>
      </c>
      <c r="S17" s="82" t="b">
        <v>0</v>
      </c>
      <c r="T17" s="76">
        <v>32.0</v>
      </c>
      <c r="U17" s="79" t="s">
        <v>96</v>
      </c>
      <c r="V17" s="83"/>
      <c r="W17" s="74"/>
    </row>
    <row r="18">
      <c r="A18" s="75">
        <v>46056.0</v>
      </c>
      <c r="B18" s="76" t="s">
        <v>427</v>
      </c>
      <c r="C18" s="77" t="s">
        <v>428</v>
      </c>
      <c r="D18" s="76" t="s">
        <v>31</v>
      </c>
      <c r="E18" s="76"/>
      <c r="F18" s="76" t="s">
        <v>8</v>
      </c>
      <c r="G18" s="76">
        <v>200.0</v>
      </c>
      <c r="H18" s="76">
        <v>100.0</v>
      </c>
      <c r="I18" s="75">
        <v>46058.0</v>
      </c>
      <c r="J18" s="78">
        <v>8.47</v>
      </c>
      <c r="K18" s="76" t="s">
        <v>101</v>
      </c>
      <c r="L18" s="79" t="b">
        <v>1</v>
      </c>
      <c r="M18" s="80">
        <f t="shared" si="1"/>
        <v>46056.43306</v>
      </c>
      <c r="N18" s="81" t="b">
        <v>1</v>
      </c>
      <c r="O18" s="80">
        <f t="shared" si="2"/>
        <v>46056.43843</v>
      </c>
      <c r="P18" s="76" t="s">
        <v>101</v>
      </c>
      <c r="Q18" s="76" t="s">
        <v>11</v>
      </c>
      <c r="R18" s="76" t="b">
        <v>0</v>
      </c>
      <c r="S18" s="82" t="b">
        <v>0</v>
      </c>
      <c r="T18" s="76">
        <v>108.0</v>
      </c>
      <c r="U18" s="79" t="s">
        <v>96</v>
      </c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>
        <v>46056.0</v>
      </c>
      <c r="B19" s="76" t="s">
        <v>429</v>
      </c>
      <c r="C19" s="77" t="s">
        <v>430</v>
      </c>
      <c r="D19" s="76" t="s">
        <v>23</v>
      </c>
      <c r="E19" s="76"/>
      <c r="F19" s="76" t="s">
        <v>8</v>
      </c>
      <c r="G19" s="76">
        <v>200.0</v>
      </c>
      <c r="H19" s="76">
        <v>100.0</v>
      </c>
      <c r="I19" s="75">
        <v>46058.0</v>
      </c>
      <c r="J19" s="78">
        <v>8.47</v>
      </c>
      <c r="K19" s="76" t="s">
        <v>101</v>
      </c>
      <c r="L19" s="79" t="b">
        <v>1</v>
      </c>
      <c r="M19" s="80">
        <f t="shared" si="1"/>
        <v>46056.38961</v>
      </c>
      <c r="N19" s="81" t="b">
        <v>1</v>
      </c>
      <c r="O19" s="80">
        <f t="shared" si="2"/>
        <v>46056.39297</v>
      </c>
      <c r="P19" s="76" t="s">
        <v>101</v>
      </c>
      <c r="Q19" s="76" t="s">
        <v>11</v>
      </c>
      <c r="R19" s="76" t="b">
        <v>0</v>
      </c>
      <c r="S19" s="82" t="b">
        <v>0</v>
      </c>
      <c r="T19" s="76">
        <v>108.0</v>
      </c>
      <c r="U19" s="79" t="s">
        <v>96</v>
      </c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>
        <v>46056.0</v>
      </c>
      <c r="B20" s="76" t="s">
        <v>431</v>
      </c>
      <c r="C20" s="77" t="s">
        <v>432</v>
      </c>
      <c r="D20" s="76" t="s">
        <v>23</v>
      </c>
      <c r="E20" s="76"/>
      <c r="F20" s="76" t="s">
        <v>8</v>
      </c>
      <c r="G20" s="76">
        <v>100.0</v>
      </c>
      <c r="H20" s="76">
        <v>50.0</v>
      </c>
      <c r="I20" s="75">
        <v>46060.0</v>
      </c>
      <c r="J20" s="78">
        <v>10.27</v>
      </c>
      <c r="K20" s="76" t="s">
        <v>101</v>
      </c>
      <c r="L20" s="79" t="b">
        <v>1</v>
      </c>
      <c r="M20" s="80">
        <f t="shared" si="1"/>
        <v>46056.45105</v>
      </c>
      <c r="N20" s="81" t="b">
        <v>1</v>
      </c>
      <c r="O20" s="80">
        <f t="shared" si="2"/>
        <v>46056.45253</v>
      </c>
      <c r="P20" s="76" t="s">
        <v>101</v>
      </c>
      <c r="Q20" s="76" t="s">
        <v>11</v>
      </c>
      <c r="R20" s="76" t="b">
        <v>0</v>
      </c>
      <c r="S20" s="82" t="b">
        <v>0</v>
      </c>
      <c r="T20" s="76">
        <v>60.0</v>
      </c>
      <c r="U20" s="79" t="s">
        <v>96</v>
      </c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>
        <v>46056.0</v>
      </c>
      <c r="B21" s="76" t="s">
        <v>433</v>
      </c>
      <c r="C21" s="77" t="s">
        <v>434</v>
      </c>
      <c r="D21" s="76" t="s">
        <v>43</v>
      </c>
      <c r="E21" s="76"/>
      <c r="F21" s="76" t="s">
        <v>8</v>
      </c>
      <c r="G21" s="76">
        <v>500.0</v>
      </c>
      <c r="H21" s="76">
        <v>63.0</v>
      </c>
      <c r="I21" s="75">
        <v>46058.0</v>
      </c>
      <c r="J21" s="78">
        <v>11.14</v>
      </c>
      <c r="K21" s="76" t="s">
        <v>101</v>
      </c>
      <c r="L21" s="79" t="b">
        <v>1</v>
      </c>
      <c r="M21" s="80">
        <f t="shared" si="1"/>
        <v>46057.36694</v>
      </c>
      <c r="N21" s="81" t="b">
        <v>1</v>
      </c>
      <c r="O21" s="80">
        <f t="shared" si="2"/>
        <v>46057.36987</v>
      </c>
      <c r="P21" s="76" t="s">
        <v>101</v>
      </c>
      <c r="Q21" s="76" t="s">
        <v>38</v>
      </c>
      <c r="R21" s="76" t="b">
        <v>0</v>
      </c>
      <c r="S21" s="82" t="b">
        <v>0</v>
      </c>
      <c r="T21" s="76">
        <v>64.0</v>
      </c>
      <c r="U21" s="79" t="s">
        <v>28</v>
      </c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>
        <v>46056.0</v>
      </c>
      <c r="B22" s="76" t="s">
        <v>435</v>
      </c>
      <c r="C22" s="77" t="s">
        <v>436</v>
      </c>
      <c r="D22" s="76" t="s">
        <v>31</v>
      </c>
      <c r="E22" s="76"/>
      <c r="F22" s="76" t="s">
        <v>27</v>
      </c>
      <c r="G22" s="76">
        <v>100.0</v>
      </c>
      <c r="H22" s="76">
        <v>100.0</v>
      </c>
      <c r="I22" s="75">
        <v>46057.0</v>
      </c>
      <c r="J22" s="78">
        <v>13.04</v>
      </c>
      <c r="K22" s="76" t="s">
        <v>1</v>
      </c>
      <c r="L22" s="79" t="b">
        <v>1</v>
      </c>
      <c r="M22" s="80">
        <f t="shared" si="1"/>
        <v>46056.60727</v>
      </c>
      <c r="N22" s="81" t="b">
        <v>1</v>
      </c>
      <c r="O22" s="80">
        <f t="shared" si="2"/>
        <v>46056.65066</v>
      </c>
      <c r="P22" s="76" t="s">
        <v>1</v>
      </c>
      <c r="Q22" s="76" t="s">
        <v>11</v>
      </c>
      <c r="R22" s="76" t="b">
        <v>0</v>
      </c>
      <c r="S22" s="82" t="b">
        <v>0</v>
      </c>
      <c r="T22" s="76">
        <v>110.0</v>
      </c>
      <c r="U22" s="79" t="s">
        <v>96</v>
      </c>
      <c r="V22" s="83" t="s">
        <v>437</v>
      </c>
      <c r="W22" s="74"/>
      <c r="X22" s="74"/>
      <c r="AB22" s="74"/>
      <c r="AC22" s="74"/>
      <c r="AD22" s="74"/>
    </row>
    <row r="23">
      <c r="A23" s="75">
        <v>46056.0</v>
      </c>
      <c r="B23" s="76" t="s">
        <v>438</v>
      </c>
      <c r="C23" s="77" t="s">
        <v>439</v>
      </c>
      <c r="D23" s="76" t="s">
        <v>23</v>
      </c>
      <c r="E23" s="76"/>
      <c r="F23" s="76" t="s">
        <v>18</v>
      </c>
      <c r="G23" s="76">
        <v>1000.0</v>
      </c>
      <c r="H23" s="76">
        <v>500.0</v>
      </c>
      <c r="I23" s="75">
        <v>46056.0</v>
      </c>
      <c r="J23" s="78">
        <v>13.42</v>
      </c>
      <c r="K23" s="76" t="s">
        <v>101</v>
      </c>
      <c r="L23" s="79" t="b">
        <v>1</v>
      </c>
      <c r="M23" s="80">
        <f t="shared" si="1"/>
        <v>46056.58177</v>
      </c>
      <c r="N23" s="81" t="b">
        <v>1</v>
      </c>
      <c r="O23" s="80">
        <f t="shared" si="2"/>
        <v>46056.59672</v>
      </c>
      <c r="P23" s="76" t="s">
        <v>101</v>
      </c>
      <c r="Q23" s="76" t="s">
        <v>11</v>
      </c>
      <c r="R23" s="76" t="b">
        <v>0</v>
      </c>
      <c r="S23" s="82" t="b">
        <v>0</v>
      </c>
      <c r="T23" s="76">
        <v>508.0</v>
      </c>
      <c r="U23" s="79" t="s">
        <v>96</v>
      </c>
      <c r="V23" s="83"/>
      <c r="W23" s="74"/>
      <c r="X23" s="74"/>
      <c r="AB23" s="74"/>
      <c r="AC23" s="74"/>
      <c r="AD23" s="74"/>
    </row>
    <row r="24">
      <c r="A24" s="75">
        <v>46057.0</v>
      </c>
      <c r="B24" s="76" t="s">
        <v>440</v>
      </c>
      <c r="C24" s="77" t="s">
        <v>441</v>
      </c>
      <c r="D24" s="76" t="s">
        <v>23</v>
      </c>
      <c r="E24" s="76"/>
      <c r="F24" s="76" t="s">
        <v>18</v>
      </c>
      <c r="G24" s="76">
        <v>100.0</v>
      </c>
      <c r="H24" s="76">
        <v>50.0</v>
      </c>
      <c r="I24" s="75">
        <v>46057.0</v>
      </c>
      <c r="J24" s="78" t="s">
        <v>151</v>
      </c>
      <c r="K24" s="76" t="s">
        <v>101</v>
      </c>
      <c r="L24" s="79" t="b">
        <v>1</v>
      </c>
      <c r="M24" s="80">
        <f t="shared" si="1"/>
        <v>46057.43919</v>
      </c>
      <c r="N24" s="81" t="b">
        <v>1</v>
      </c>
      <c r="O24" s="80">
        <f t="shared" si="2"/>
        <v>46057.44035</v>
      </c>
      <c r="P24" s="76" t="s">
        <v>101</v>
      </c>
      <c r="Q24" s="76" t="s">
        <v>11</v>
      </c>
      <c r="R24" s="76" t="b">
        <v>0</v>
      </c>
      <c r="S24" s="82" t="b">
        <v>0</v>
      </c>
      <c r="T24" s="76">
        <v>56.0</v>
      </c>
      <c r="U24" s="79" t="s">
        <v>96</v>
      </c>
      <c r="V24" s="83"/>
      <c r="W24" s="74"/>
      <c r="X24" s="74"/>
    </row>
    <row r="25">
      <c r="A25" s="75">
        <v>46057.0</v>
      </c>
      <c r="B25" s="76" t="s">
        <v>442</v>
      </c>
      <c r="C25" s="77" t="s">
        <v>443</v>
      </c>
      <c r="D25" s="76" t="s">
        <v>23</v>
      </c>
      <c r="E25" s="76"/>
      <c r="F25" s="76" t="s">
        <v>18</v>
      </c>
      <c r="G25" s="76">
        <v>600.0</v>
      </c>
      <c r="H25" s="76">
        <v>300.0</v>
      </c>
      <c r="I25" s="75">
        <v>46057.0</v>
      </c>
      <c r="J25" s="78" t="s">
        <v>151</v>
      </c>
      <c r="K25" s="76" t="s">
        <v>101</v>
      </c>
      <c r="L25" s="79" t="b">
        <v>1</v>
      </c>
      <c r="M25" s="80">
        <f t="shared" si="1"/>
        <v>46057.4414</v>
      </c>
      <c r="N25" s="81" t="b">
        <v>1</v>
      </c>
      <c r="O25" s="80">
        <f t="shared" si="2"/>
        <v>46057.47565</v>
      </c>
      <c r="P25" s="76" t="s">
        <v>101</v>
      </c>
      <c r="Q25" s="76" t="s">
        <v>11</v>
      </c>
      <c r="R25" s="76" t="b">
        <v>0</v>
      </c>
      <c r="S25" s="82" t="b">
        <v>0</v>
      </c>
      <c r="T25" s="76">
        <v>302.0</v>
      </c>
      <c r="U25" s="79" t="s">
        <v>96</v>
      </c>
      <c r="V25" s="83"/>
      <c r="W25" s="74"/>
      <c r="X25" s="74"/>
    </row>
    <row r="26">
      <c r="A26" s="75">
        <v>46057.0</v>
      </c>
      <c r="B26" s="76" t="s">
        <v>444</v>
      </c>
      <c r="C26" s="77" t="s">
        <v>445</v>
      </c>
      <c r="D26" s="76" t="s">
        <v>23</v>
      </c>
      <c r="E26" s="76"/>
      <c r="F26" s="76" t="s">
        <v>18</v>
      </c>
      <c r="G26" s="76">
        <v>1000.0</v>
      </c>
      <c r="H26" s="76">
        <v>500.0</v>
      </c>
      <c r="I26" s="75">
        <v>46057.0</v>
      </c>
      <c r="J26" s="78">
        <v>11.31</v>
      </c>
      <c r="K26" s="76" t="s">
        <v>101</v>
      </c>
      <c r="L26" s="79" t="b">
        <v>1</v>
      </c>
      <c r="M26" s="80">
        <f t="shared" si="1"/>
        <v>46057.56196</v>
      </c>
      <c r="N26" s="81" t="b">
        <v>1</v>
      </c>
      <c r="O26" s="80">
        <f t="shared" si="2"/>
        <v>46057.5659</v>
      </c>
      <c r="P26" s="76" t="s">
        <v>101</v>
      </c>
      <c r="Q26" s="76" t="s">
        <v>11</v>
      </c>
      <c r="R26" s="76" t="b">
        <v>0</v>
      </c>
      <c r="S26" s="82" t="b">
        <v>0</v>
      </c>
      <c r="T26" s="76">
        <v>508.0</v>
      </c>
      <c r="U26" s="79" t="s">
        <v>96</v>
      </c>
      <c r="V26" s="83"/>
      <c r="W26" s="74"/>
      <c r="X26" s="74"/>
    </row>
    <row r="27">
      <c r="A27" s="75">
        <v>46057.0</v>
      </c>
      <c r="B27" s="76" t="s">
        <v>446</v>
      </c>
      <c r="C27" s="77" t="s">
        <v>447</v>
      </c>
      <c r="D27" s="76" t="s">
        <v>23</v>
      </c>
      <c r="E27" s="76"/>
      <c r="F27" s="76" t="s">
        <v>8</v>
      </c>
      <c r="G27" s="76">
        <v>200.0</v>
      </c>
      <c r="H27" s="76">
        <v>100.0</v>
      </c>
      <c r="I27" s="75">
        <v>46060.0</v>
      </c>
      <c r="J27" s="78">
        <v>11.31</v>
      </c>
      <c r="K27" s="76" t="s">
        <v>101</v>
      </c>
      <c r="L27" s="79" t="b">
        <v>1</v>
      </c>
      <c r="M27" s="80">
        <f t="shared" si="1"/>
        <v>46057.56591</v>
      </c>
      <c r="N27" s="81" t="b">
        <v>1</v>
      </c>
      <c r="O27" s="80">
        <f t="shared" si="2"/>
        <v>46057.57288</v>
      </c>
      <c r="P27" s="76" t="s">
        <v>101</v>
      </c>
      <c r="Q27" s="76" t="s">
        <v>11</v>
      </c>
      <c r="R27" s="76" t="b">
        <v>0</v>
      </c>
      <c r="S27" s="82" t="b">
        <v>0</v>
      </c>
      <c r="T27" s="76">
        <v>108.0</v>
      </c>
      <c r="U27" s="79" t="s">
        <v>96</v>
      </c>
      <c r="V27" s="83"/>
      <c r="W27" s="74"/>
      <c r="X27" s="86"/>
    </row>
    <row r="28">
      <c r="A28" s="75">
        <v>46057.0</v>
      </c>
      <c r="B28" s="76" t="s">
        <v>448</v>
      </c>
      <c r="C28" s="77" t="s">
        <v>449</v>
      </c>
      <c r="D28" s="76" t="s">
        <v>23</v>
      </c>
      <c r="E28" s="76"/>
      <c r="F28" s="76" t="s">
        <v>8</v>
      </c>
      <c r="G28" s="76">
        <v>100.0</v>
      </c>
      <c r="H28" s="76">
        <v>100.0</v>
      </c>
      <c r="I28" s="75">
        <v>46062.0</v>
      </c>
      <c r="J28" s="78">
        <v>11.38</v>
      </c>
      <c r="K28" s="76" t="s">
        <v>101</v>
      </c>
      <c r="L28" s="79" t="b">
        <v>1</v>
      </c>
      <c r="M28" s="80">
        <f t="shared" si="1"/>
        <v>46057.57988</v>
      </c>
      <c r="N28" s="81" t="b">
        <v>1</v>
      </c>
      <c r="O28" s="80">
        <f t="shared" si="2"/>
        <v>46057.6014</v>
      </c>
      <c r="P28" s="76" t="s">
        <v>101</v>
      </c>
      <c r="Q28" s="76" t="s">
        <v>11</v>
      </c>
      <c r="R28" s="76" t="b">
        <v>0</v>
      </c>
      <c r="S28" s="82" t="b">
        <v>0</v>
      </c>
      <c r="T28" s="76">
        <v>108.0</v>
      </c>
      <c r="U28" s="79" t="s">
        <v>96</v>
      </c>
      <c r="V28" s="83"/>
      <c r="W28" s="74"/>
      <c r="X28" s="86"/>
    </row>
    <row r="29">
      <c r="A29" s="75">
        <v>46057.0</v>
      </c>
      <c r="B29" s="76" t="s">
        <v>450</v>
      </c>
      <c r="C29" s="77" t="s">
        <v>451</v>
      </c>
      <c r="D29" s="76" t="s">
        <v>23</v>
      </c>
      <c r="E29" s="76"/>
      <c r="F29" s="76" t="s">
        <v>8</v>
      </c>
      <c r="G29" s="76">
        <v>100.0</v>
      </c>
      <c r="H29" s="76">
        <v>50.0</v>
      </c>
      <c r="I29" s="75">
        <v>46062.0</v>
      </c>
      <c r="J29" s="78">
        <v>13.52</v>
      </c>
      <c r="K29" s="76" t="s">
        <v>101</v>
      </c>
      <c r="L29" s="79" t="b">
        <v>1</v>
      </c>
      <c r="M29" s="80">
        <f t="shared" si="1"/>
        <v>46057.62195</v>
      </c>
      <c r="N29" s="81" t="b">
        <v>1</v>
      </c>
      <c r="O29" s="80">
        <f t="shared" si="2"/>
        <v>46057.62773</v>
      </c>
      <c r="P29" s="76" t="s">
        <v>101</v>
      </c>
      <c r="Q29" s="76" t="s">
        <v>11</v>
      </c>
      <c r="R29" s="76" t="b">
        <v>0</v>
      </c>
      <c r="S29" s="82" t="b">
        <v>0</v>
      </c>
      <c r="T29" s="76">
        <v>54.0</v>
      </c>
      <c r="U29" s="79" t="s">
        <v>96</v>
      </c>
      <c r="V29" s="83"/>
      <c r="W29" s="74"/>
      <c r="X29" s="86"/>
      <c r="AE29" s="87"/>
      <c r="AF29" s="87"/>
      <c r="AG29" s="87"/>
      <c r="AH29" s="87"/>
    </row>
    <row r="30">
      <c r="A30" s="75">
        <v>46058.0</v>
      </c>
      <c r="B30" s="76" t="s">
        <v>452</v>
      </c>
      <c r="C30" s="77" t="s">
        <v>453</v>
      </c>
      <c r="D30" s="76" t="s">
        <v>40</v>
      </c>
      <c r="E30" s="76"/>
      <c r="F30" s="76" t="s">
        <v>8</v>
      </c>
      <c r="G30" s="76">
        <v>100.0</v>
      </c>
      <c r="H30" s="76">
        <v>50.0</v>
      </c>
      <c r="I30" s="75">
        <v>46064.0</v>
      </c>
      <c r="J30" s="78">
        <v>9.21</v>
      </c>
      <c r="K30" s="76" t="s">
        <v>101</v>
      </c>
      <c r="L30" s="79" t="b">
        <v>1</v>
      </c>
      <c r="M30" s="80">
        <f t="shared" si="1"/>
        <v>46058.42769</v>
      </c>
      <c r="N30" s="81" t="b">
        <v>1</v>
      </c>
      <c r="O30" s="80">
        <f t="shared" si="2"/>
        <v>46058.43909</v>
      </c>
      <c r="P30" s="76" t="s">
        <v>101</v>
      </c>
      <c r="Q30" s="76" t="s">
        <v>11</v>
      </c>
      <c r="R30" s="76" t="b">
        <v>0</v>
      </c>
      <c r="S30" s="82" t="b">
        <v>0</v>
      </c>
      <c r="T30" s="76">
        <v>60.0</v>
      </c>
      <c r="U30" s="79" t="s">
        <v>96</v>
      </c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>
        <v>46058.0</v>
      </c>
      <c r="B31" s="76" t="s">
        <v>454</v>
      </c>
      <c r="C31" s="77" t="s">
        <v>455</v>
      </c>
      <c r="D31" s="76" t="s">
        <v>23</v>
      </c>
      <c r="E31" s="76"/>
      <c r="F31" s="76" t="s">
        <v>8</v>
      </c>
      <c r="G31" s="76">
        <v>100.0</v>
      </c>
      <c r="H31" s="76">
        <v>50.0</v>
      </c>
      <c r="I31" s="75">
        <v>46060.0</v>
      </c>
      <c r="J31" s="78">
        <v>9.21</v>
      </c>
      <c r="K31" s="76" t="s">
        <v>101</v>
      </c>
      <c r="L31" s="79" t="b">
        <v>1</v>
      </c>
      <c r="M31" s="80">
        <f t="shared" si="1"/>
        <v>46058.42017</v>
      </c>
      <c r="N31" s="81" t="b">
        <v>1</v>
      </c>
      <c r="O31" s="80">
        <f t="shared" si="2"/>
        <v>46058.42182</v>
      </c>
      <c r="P31" s="76" t="s">
        <v>101</v>
      </c>
      <c r="Q31" s="76" t="s">
        <v>11</v>
      </c>
      <c r="R31" s="76" t="b">
        <v>0</v>
      </c>
      <c r="S31" s="82" t="b">
        <v>0</v>
      </c>
      <c r="T31" s="76">
        <v>56.0</v>
      </c>
      <c r="U31" s="79" t="s">
        <v>96</v>
      </c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>
        <v>46058.0</v>
      </c>
      <c r="B32" s="76" t="s">
        <v>456</v>
      </c>
      <c r="C32" s="77" t="s">
        <v>457</v>
      </c>
      <c r="D32" s="76" t="s">
        <v>40</v>
      </c>
      <c r="E32" s="76"/>
      <c r="F32" s="76" t="s">
        <v>8</v>
      </c>
      <c r="G32" s="76">
        <v>500.0</v>
      </c>
      <c r="H32" s="76">
        <v>500.0</v>
      </c>
      <c r="I32" s="75">
        <v>46067.0</v>
      </c>
      <c r="J32" s="78">
        <v>10.43</v>
      </c>
      <c r="K32" s="76" t="s">
        <v>1</v>
      </c>
      <c r="L32" s="79" t="b">
        <v>1</v>
      </c>
      <c r="M32" s="80">
        <f t="shared" si="1"/>
        <v>46059.46374</v>
      </c>
      <c r="N32" s="81" t="b">
        <v>1</v>
      </c>
      <c r="O32" s="80">
        <f t="shared" si="2"/>
        <v>46059.59679</v>
      </c>
      <c r="P32" s="76" t="s">
        <v>1</v>
      </c>
      <c r="Q32" s="76" t="s">
        <v>11</v>
      </c>
      <c r="R32" s="76" t="b">
        <v>1</v>
      </c>
      <c r="S32" s="82" t="b">
        <v>0</v>
      </c>
      <c r="T32" s="76">
        <v>510.0</v>
      </c>
      <c r="U32" s="79" t="s">
        <v>96</v>
      </c>
      <c r="V32" s="83" t="s">
        <v>458</v>
      </c>
      <c r="W32" s="74"/>
      <c r="X32" s="86"/>
      <c r="Y32" s="88"/>
      <c r="Z32" s="88"/>
      <c r="AA32" s="88"/>
      <c r="AB32" s="74"/>
      <c r="AC32" s="74"/>
      <c r="AD32" s="74"/>
    </row>
    <row r="33">
      <c r="A33" s="75">
        <v>46058.0</v>
      </c>
      <c r="B33" s="76" t="s">
        <v>459</v>
      </c>
      <c r="C33" s="77" t="s">
        <v>460</v>
      </c>
      <c r="D33" s="76" t="s">
        <v>34</v>
      </c>
      <c r="E33" s="76"/>
      <c r="F33" s="76" t="s">
        <v>8</v>
      </c>
      <c r="G33" s="76">
        <v>4.0</v>
      </c>
      <c r="H33" s="76">
        <v>13.0</v>
      </c>
      <c r="I33" s="75">
        <v>46062.0</v>
      </c>
      <c r="J33" s="78">
        <v>11.43</v>
      </c>
      <c r="K33" s="76" t="s">
        <v>101</v>
      </c>
      <c r="L33" s="79" t="b">
        <v>1</v>
      </c>
      <c r="M33" s="80">
        <f t="shared" si="1"/>
        <v>46058.59225</v>
      </c>
      <c r="N33" s="81" t="b">
        <v>1</v>
      </c>
      <c r="O33" s="80">
        <f t="shared" si="2"/>
        <v>46058.59234</v>
      </c>
      <c r="P33" s="76" t="s">
        <v>101</v>
      </c>
      <c r="Q33" s="76" t="s">
        <v>38</v>
      </c>
      <c r="R33" s="76" t="b">
        <v>0</v>
      </c>
      <c r="S33" s="82" t="b">
        <v>0</v>
      </c>
      <c r="T33" s="76">
        <v>14.0</v>
      </c>
      <c r="U33" s="79" t="s">
        <v>28</v>
      </c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>
        <v>46058.0</v>
      </c>
      <c r="B34" s="76" t="s">
        <v>461</v>
      </c>
      <c r="C34" s="77" t="s">
        <v>460</v>
      </c>
      <c r="D34" s="76" t="s">
        <v>34</v>
      </c>
      <c r="E34" s="76"/>
      <c r="F34" s="76" t="s">
        <v>8</v>
      </c>
      <c r="G34" s="76">
        <v>4.0</v>
      </c>
      <c r="H34" s="76">
        <v>13.0</v>
      </c>
      <c r="I34" s="75">
        <v>46062.0</v>
      </c>
      <c r="J34" s="78">
        <v>11.43</v>
      </c>
      <c r="K34" s="76" t="s">
        <v>101</v>
      </c>
      <c r="L34" s="79" t="b">
        <v>1</v>
      </c>
      <c r="M34" s="80">
        <f t="shared" si="1"/>
        <v>46058.59282</v>
      </c>
      <c r="N34" s="81" t="b">
        <v>1</v>
      </c>
      <c r="O34" s="80">
        <f t="shared" si="2"/>
        <v>46058.59364</v>
      </c>
      <c r="P34" s="76" t="s">
        <v>101</v>
      </c>
      <c r="Q34" s="76" t="s">
        <v>38</v>
      </c>
      <c r="R34" s="76" t="b">
        <v>0</v>
      </c>
      <c r="S34" s="82" t="b">
        <v>0</v>
      </c>
      <c r="T34" s="76">
        <v>14.0</v>
      </c>
      <c r="U34" s="79" t="s">
        <v>28</v>
      </c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>
        <v>46058.0</v>
      </c>
      <c r="B35" s="76" t="s">
        <v>461</v>
      </c>
      <c r="C35" s="77" t="s">
        <v>460</v>
      </c>
      <c r="D35" s="76" t="s">
        <v>34</v>
      </c>
      <c r="E35" s="76"/>
      <c r="F35" s="76" t="s">
        <v>8</v>
      </c>
      <c r="G35" s="76">
        <v>4.0</v>
      </c>
      <c r="H35" s="76">
        <v>13.0</v>
      </c>
      <c r="I35" s="75">
        <v>46062.0</v>
      </c>
      <c r="J35" s="78">
        <v>13.25</v>
      </c>
      <c r="K35" s="76" t="s">
        <v>101</v>
      </c>
      <c r="L35" s="79" t="b">
        <v>1</v>
      </c>
      <c r="M35" s="80">
        <f t="shared" si="1"/>
        <v>46058.59365</v>
      </c>
      <c r="N35" s="81" t="b">
        <v>1</v>
      </c>
      <c r="O35" s="80">
        <f t="shared" si="2"/>
        <v>46058.59494</v>
      </c>
      <c r="P35" s="76" t="s">
        <v>101</v>
      </c>
      <c r="Q35" s="76" t="s">
        <v>38</v>
      </c>
      <c r="R35" s="76" t="b">
        <v>0</v>
      </c>
      <c r="S35" s="82" t="b">
        <v>0</v>
      </c>
      <c r="T35" s="76">
        <v>14.0</v>
      </c>
      <c r="U35" s="79" t="s">
        <v>28</v>
      </c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>
        <v>46058.0</v>
      </c>
      <c r="B36" s="76" t="s">
        <v>462</v>
      </c>
      <c r="C36" s="77" t="s">
        <v>463</v>
      </c>
      <c r="D36" s="76" t="s">
        <v>33</v>
      </c>
      <c r="E36" s="76"/>
      <c r="F36" s="76" t="s">
        <v>8</v>
      </c>
      <c r="G36" s="76">
        <v>135.0</v>
      </c>
      <c r="H36" s="76">
        <v>135.0</v>
      </c>
      <c r="I36" s="75">
        <v>46065.0</v>
      </c>
      <c r="J36" s="78">
        <v>14.24</v>
      </c>
      <c r="K36" s="76" t="s">
        <v>101</v>
      </c>
      <c r="L36" s="79" t="b">
        <v>1</v>
      </c>
      <c r="M36" s="80">
        <f t="shared" si="1"/>
        <v>46058.67076</v>
      </c>
      <c r="N36" s="81" t="b">
        <v>1</v>
      </c>
      <c r="O36" s="80">
        <f t="shared" si="2"/>
        <v>46058.68231</v>
      </c>
      <c r="P36" s="76" t="s">
        <v>101</v>
      </c>
      <c r="Q36" s="76" t="s">
        <v>11</v>
      </c>
      <c r="R36" s="76" t="b">
        <v>0</v>
      </c>
      <c r="S36" s="82" t="b">
        <v>0</v>
      </c>
      <c r="T36" s="76">
        <v>145.0</v>
      </c>
      <c r="U36" s="79" t="s">
        <v>96</v>
      </c>
      <c r="V36" s="83" t="s">
        <v>458</v>
      </c>
      <c r="W36" s="74"/>
      <c r="X36" s="74"/>
      <c r="Y36" s="74"/>
      <c r="Z36" s="74"/>
      <c r="AA36" s="74"/>
      <c r="AB36" s="74"/>
      <c r="AC36" s="74"/>
      <c r="AD36" s="74"/>
    </row>
    <row r="37">
      <c r="A37" s="75">
        <v>46058.0</v>
      </c>
      <c r="B37" s="76" t="s">
        <v>464</v>
      </c>
      <c r="C37" s="77" t="s">
        <v>465</v>
      </c>
      <c r="D37" s="76" t="s">
        <v>23</v>
      </c>
      <c r="E37" s="76"/>
      <c r="F37" s="76" t="s">
        <v>18</v>
      </c>
      <c r="G37" s="76">
        <v>200.0</v>
      </c>
      <c r="H37" s="76">
        <v>5.0</v>
      </c>
      <c r="I37" s="75">
        <v>46059.0</v>
      </c>
      <c r="J37" s="78">
        <v>16.47</v>
      </c>
      <c r="K37" s="76" t="s">
        <v>101</v>
      </c>
      <c r="L37" s="79" t="b">
        <v>1</v>
      </c>
      <c r="M37" s="80">
        <f t="shared" si="1"/>
        <v>46059.38475</v>
      </c>
      <c r="N37" s="81" t="b">
        <v>1</v>
      </c>
      <c r="O37" s="80">
        <f t="shared" si="2"/>
        <v>46059.38616</v>
      </c>
      <c r="P37" s="76" t="s">
        <v>101</v>
      </c>
      <c r="Q37" s="76" t="s">
        <v>11</v>
      </c>
      <c r="R37" s="76" t="b">
        <v>0</v>
      </c>
      <c r="S37" s="82" t="b">
        <v>0</v>
      </c>
      <c r="T37" s="76">
        <v>8.0</v>
      </c>
      <c r="U37" s="79" t="s">
        <v>96</v>
      </c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>
        <v>46058.0</v>
      </c>
      <c r="B38" s="76" t="s">
        <v>466</v>
      </c>
      <c r="C38" s="77" t="s">
        <v>467</v>
      </c>
      <c r="D38" s="76" t="s">
        <v>43</v>
      </c>
      <c r="E38" s="76"/>
      <c r="F38" s="76" t="s">
        <v>8</v>
      </c>
      <c r="G38" s="76">
        <v>3010.0</v>
      </c>
      <c r="H38" s="76">
        <v>228.0</v>
      </c>
      <c r="I38" s="75">
        <v>46071.0</v>
      </c>
      <c r="J38" s="78">
        <v>16.47</v>
      </c>
      <c r="K38" s="76" t="s">
        <v>1</v>
      </c>
      <c r="L38" s="79" t="b">
        <v>1</v>
      </c>
      <c r="M38" s="80">
        <f t="shared" si="1"/>
        <v>46059.42432</v>
      </c>
      <c r="N38" s="81" t="b">
        <v>1</v>
      </c>
      <c r="O38" s="80">
        <f t="shared" si="2"/>
        <v>46059.43471</v>
      </c>
      <c r="P38" s="76" t="s">
        <v>1</v>
      </c>
      <c r="Q38" s="76" t="s">
        <v>38</v>
      </c>
      <c r="R38" s="76" t="b">
        <v>0</v>
      </c>
      <c r="S38" s="82" t="b">
        <v>0</v>
      </c>
      <c r="T38" s="76">
        <v>231.0</v>
      </c>
      <c r="U38" s="79" t="s">
        <v>28</v>
      </c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>
        <v>46059.0</v>
      </c>
      <c r="B39" s="76" t="s">
        <v>468</v>
      </c>
      <c r="C39" s="77" t="s">
        <v>469</v>
      </c>
      <c r="D39" s="76" t="s">
        <v>23</v>
      </c>
      <c r="E39" s="76"/>
      <c r="F39" s="76" t="s">
        <v>18</v>
      </c>
      <c r="G39" s="76">
        <v>1000.0</v>
      </c>
      <c r="H39" s="76">
        <v>500.0</v>
      </c>
      <c r="I39" s="75">
        <v>46059.0</v>
      </c>
      <c r="J39" s="78">
        <v>14.13</v>
      </c>
      <c r="K39" s="76" t="s">
        <v>101</v>
      </c>
      <c r="L39" s="79" t="b">
        <v>1</v>
      </c>
      <c r="M39" s="80">
        <f t="shared" si="1"/>
        <v>46059.59863</v>
      </c>
      <c r="N39" s="81" t="b">
        <v>1</v>
      </c>
      <c r="O39" s="80">
        <f t="shared" si="2"/>
        <v>46059.61379</v>
      </c>
      <c r="P39" s="76" t="s">
        <v>101</v>
      </c>
      <c r="Q39" s="76" t="s">
        <v>11</v>
      </c>
      <c r="R39" s="76" t="b">
        <v>0</v>
      </c>
      <c r="S39" s="82" t="b">
        <v>0</v>
      </c>
      <c r="T39" s="76">
        <v>508.0</v>
      </c>
      <c r="U39" s="79" t="s">
        <v>96</v>
      </c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>
        <v>46059.0</v>
      </c>
      <c r="B40" s="76" t="s">
        <v>470</v>
      </c>
      <c r="C40" s="77" t="s">
        <v>471</v>
      </c>
      <c r="D40" s="76" t="s">
        <v>24</v>
      </c>
      <c r="E40" s="76"/>
      <c r="F40" s="76" t="s">
        <v>8</v>
      </c>
      <c r="G40" s="76">
        <v>500.0</v>
      </c>
      <c r="H40" s="76">
        <v>500.0</v>
      </c>
      <c r="I40" s="75">
        <v>46064.0</v>
      </c>
      <c r="J40" s="78">
        <v>11.52</v>
      </c>
      <c r="K40" s="76" t="s">
        <v>101</v>
      </c>
      <c r="L40" s="79" t="b">
        <v>1</v>
      </c>
      <c r="M40" s="80">
        <f t="shared" si="1"/>
        <v>46060.59646</v>
      </c>
      <c r="N40" s="81" t="b">
        <v>1</v>
      </c>
      <c r="O40" s="80">
        <f t="shared" si="2"/>
        <v>46060.67945</v>
      </c>
      <c r="P40" s="76" t="s">
        <v>101</v>
      </c>
      <c r="Q40" s="76" t="s">
        <v>38</v>
      </c>
      <c r="R40" s="76" t="b">
        <v>0</v>
      </c>
      <c r="S40" s="82" t="b">
        <v>0</v>
      </c>
      <c r="T40" s="76">
        <v>504.0</v>
      </c>
      <c r="U40" s="79" t="s">
        <v>96</v>
      </c>
      <c r="V40" s="83" t="s">
        <v>458</v>
      </c>
      <c r="W40" s="74"/>
      <c r="X40" s="74"/>
      <c r="Y40" s="74"/>
      <c r="Z40" s="74"/>
      <c r="AA40" s="74"/>
      <c r="AB40" s="74"/>
      <c r="AC40" s="74"/>
      <c r="AD40" s="74"/>
    </row>
    <row r="41">
      <c r="A41" s="75">
        <v>46060.0</v>
      </c>
      <c r="B41" s="76" t="s">
        <v>472</v>
      </c>
      <c r="C41" s="77" t="s">
        <v>473</v>
      </c>
      <c r="D41" s="76" t="s">
        <v>31</v>
      </c>
      <c r="E41" s="76"/>
      <c r="F41" s="76" t="s">
        <v>18</v>
      </c>
      <c r="G41" s="76">
        <v>200.0</v>
      </c>
      <c r="H41" s="76">
        <v>50.0</v>
      </c>
      <c r="I41" s="75">
        <v>46060.0</v>
      </c>
      <c r="J41" s="78">
        <v>10.07</v>
      </c>
      <c r="K41" s="76" t="s">
        <v>1</v>
      </c>
      <c r="L41" s="79" t="b">
        <v>1</v>
      </c>
      <c r="M41" s="80">
        <f t="shared" si="1"/>
        <v>46060.5823</v>
      </c>
      <c r="N41" s="81" t="b">
        <v>1</v>
      </c>
      <c r="O41" s="80">
        <f t="shared" si="2"/>
        <v>46060.58315</v>
      </c>
      <c r="P41" s="76" t="s">
        <v>1</v>
      </c>
      <c r="Q41" s="76" t="s">
        <v>11</v>
      </c>
      <c r="R41" s="76" t="b">
        <v>0</v>
      </c>
      <c r="S41" s="82" t="b">
        <v>0</v>
      </c>
      <c r="T41" s="76">
        <v>56.0</v>
      </c>
      <c r="U41" s="79" t="s">
        <v>96</v>
      </c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>
        <v>46060.0</v>
      </c>
      <c r="B42" s="76" t="s">
        <v>474</v>
      </c>
      <c r="C42" s="77" t="s">
        <v>424</v>
      </c>
      <c r="D42" s="76" t="s">
        <v>23</v>
      </c>
      <c r="E42" s="76"/>
      <c r="F42" s="76" t="s">
        <v>18</v>
      </c>
      <c r="G42" s="76">
        <v>300.0</v>
      </c>
      <c r="H42" s="76">
        <v>150.0</v>
      </c>
      <c r="I42" s="75">
        <v>46060.0</v>
      </c>
      <c r="J42" s="78">
        <v>10.25</v>
      </c>
      <c r="K42" s="76" t="s">
        <v>1</v>
      </c>
      <c r="L42" s="79" t="b">
        <v>1</v>
      </c>
      <c r="M42" s="80">
        <f t="shared" si="1"/>
        <v>46060.59262</v>
      </c>
      <c r="N42" s="81" t="b">
        <v>1</v>
      </c>
      <c r="O42" s="80">
        <f t="shared" si="2"/>
        <v>46060.59485</v>
      </c>
      <c r="P42" s="76" t="s">
        <v>1</v>
      </c>
      <c r="Q42" s="76" t="s">
        <v>11</v>
      </c>
      <c r="R42" s="76" t="b">
        <v>0</v>
      </c>
      <c r="S42" s="82" t="b">
        <v>0</v>
      </c>
      <c r="T42" s="76">
        <v>159.0</v>
      </c>
      <c r="U42" s="79" t="s">
        <v>96</v>
      </c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>
        <v>46060.0</v>
      </c>
      <c r="B43" s="76" t="s">
        <v>475</v>
      </c>
      <c r="C43" s="77" t="s">
        <v>476</v>
      </c>
      <c r="D43" s="76" t="s">
        <v>23</v>
      </c>
      <c r="E43" s="76"/>
      <c r="F43" s="76" t="s">
        <v>8</v>
      </c>
      <c r="G43" s="76">
        <v>200.0</v>
      </c>
      <c r="H43" s="76">
        <v>100.0</v>
      </c>
      <c r="I43" s="75">
        <v>46064.0</v>
      </c>
      <c r="J43" s="78">
        <v>13.38</v>
      </c>
      <c r="K43" s="76" t="s">
        <v>101</v>
      </c>
      <c r="L43" s="79" t="b">
        <v>1</v>
      </c>
      <c r="M43" s="80">
        <f t="shared" si="1"/>
        <v>46060.64319</v>
      </c>
      <c r="N43" s="81" t="b">
        <v>1</v>
      </c>
      <c r="O43" s="80">
        <f t="shared" si="2"/>
        <v>46060.64687</v>
      </c>
      <c r="P43" s="76" t="s">
        <v>101</v>
      </c>
      <c r="Q43" s="76" t="s">
        <v>11</v>
      </c>
      <c r="R43" s="76" t="b">
        <v>0</v>
      </c>
      <c r="S43" s="82" t="b">
        <v>0</v>
      </c>
      <c r="T43" s="76">
        <v>108.0</v>
      </c>
      <c r="U43" s="79" t="s">
        <v>96</v>
      </c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>
        <v>46060.0</v>
      </c>
      <c r="B44" s="76" t="s">
        <v>477</v>
      </c>
      <c r="C44" s="77" t="s">
        <v>478</v>
      </c>
      <c r="D44" s="76" t="s">
        <v>31</v>
      </c>
      <c r="E44" s="76"/>
      <c r="F44" s="76" t="s">
        <v>8</v>
      </c>
      <c r="G44" s="76">
        <v>100.0</v>
      </c>
      <c r="H44" s="76">
        <v>20.0</v>
      </c>
      <c r="I44" s="75">
        <v>46065.0</v>
      </c>
      <c r="J44" s="78">
        <v>13.38</v>
      </c>
      <c r="K44" s="76" t="s">
        <v>1</v>
      </c>
      <c r="L44" s="79" t="b">
        <v>1</v>
      </c>
      <c r="M44" s="80">
        <f t="shared" si="1"/>
        <v>46060.64418</v>
      </c>
      <c r="N44" s="81" t="b">
        <v>1</v>
      </c>
      <c r="O44" s="80">
        <f t="shared" si="2"/>
        <v>46060.64547</v>
      </c>
      <c r="P44" s="76" t="s">
        <v>1</v>
      </c>
      <c r="Q44" s="76" t="s">
        <v>38</v>
      </c>
      <c r="R44" s="76" t="b">
        <v>0</v>
      </c>
      <c r="S44" s="82" t="b">
        <v>0</v>
      </c>
      <c r="T44" s="76">
        <v>24.0</v>
      </c>
      <c r="U44" s="79" t="s">
        <v>96</v>
      </c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>
        <v>46060.0</v>
      </c>
      <c r="B45" s="76" t="s">
        <v>479</v>
      </c>
      <c r="C45" s="77" t="s">
        <v>480</v>
      </c>
      <c r="D45" s="76" t="s">
        <v>31</v>
      </c>
      <c r="E45" s="76"/>
      <c r="F45" s="76" t="s">
        <v>8</v>
      </c>
      <c r="G45" s="76">
        <v>1000.0</v>
      </c>
      <c r="H45" s="76">
        <v>250.0</v>
      </c>
      <c r="I45" s="75">
        <v>46066.0</v>
      </c>
      <c r="J45" s="78">
        <v>13.38</v>
      </c>
      <c r="K45" s="76" t="s">
        <v>101</v>
      </c>
      <c r="L45" s="79" t="b">
        <v>1</v>
      </c>
      <c r="M45" s="80">
        <f t="shared" si="1"/>
        <v>46060.65038</v>
      </c>
      <c r="N45" s="81" t="b">
        <v>1</v>
      </c>
      <c r="O45" s="80">
        <f t="shared" si="2"/>
        <v>46060.6605</v>
      </c>
      <c r="P45" s="76" t="s">
        <v>101</v>
      </c>
      <c r="Q45" s="76" t="s">
        <v>11</v>
      </c>
      <c r="R45" s="76" t="b">
        <v>0</v>
      </c>
      <c r="S45" s="82" t="b">
        <v>0</v>
      </c>
      <c r="T45" s="76">
        <v>256.0</v>
      </c>
      <c r="U45" s="79" t="s">
        <v>96</v>
      </c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>
        <v>46060.0</v>
      </c>
      <c r="B46" s="76" t="s">
        <v>481</v>
      </c>
      <c r="C46" s="77" t="s">
        <v>482</v>
      </c>
      <c r="D46" s="76" t="s">
        <v>23</v>
      </c>
      <c r="E46" s="76"/>
      <c r="F46" s="76" t="s">
        <v>8</v>
      </c>
      <c r="G46" s="76">
        <v>100.0</v>
      </c>
      <c r="H46" s="76">
        <v>25.0</v>
      </c>
      <c r="I46" s="75">
        <v>46064.0</v>
      </c>
      <c r="J46" s="78">
        <v>14.24</v>
      </c>
      <c r="K46" s="76" t="s">
        <v>101</v>
      </c>
      <c r="L46" s="79" t="b">
        <v>1</v>
      </c>
      <c r="M46" s="80">
        <f t="shared" si="1"/>
        <v>46060.63394</v>
      </c>
      <c r="N46" s="81" t="b">
        <v>1</v>
      </c>
      <c r="O46" s="80">
        <f t="shared" si="2"/>
        <v>46060.63689</v>
      </c>
      <c r="P46" s="76" t="s">
        <v>101</v>
      </c>
      <c r="Q46" s="76" t="s">
        <v>11</v>
      </c>
      <c r="R46" s="76" t="b">
        <v>0</v>
      </c>
      <c r="S46" s="82" t="b">
        <v>0</v>
      </c>
      <c r="T46" s="76">
        <v>32.0</v>
      </c>
      <c r="U46" s="79" t="s">
        <v>96</v>
      </c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>
        <v>46060.0</v>
      </c>
      <c r="B47" s="76" t="s">
        <v>483</v>
      </c>
      <c r="C47" s="77" t="s">
        <v>484</v>
      </c>
      <c r="D47" s="76" t="s">
        <v>23</v>
      </c>
      <c r="E47" s="76"/>
      <c r="F47" s="76" t="s">
        <v>8</v>
      </c>
      <c r="G47" s="76">
        <v>200.0</v>
      </c>
      <c r="H47" s="76">
        <v>50.0</v>
      </c>
      <c r="I47" s="75">
        <v>46064.0</v>
      </c>
      <c r="J47" s="78">
        <v>14.24</v>
      </c>
      <c r="K47" s="76" t="s">
        <v>101</v>
      </c>
      <c r="L47" s="79" t="b">
        <v>1</v>
      </c>
      <c r="M47" s="80">
        <f t="shared" si="1"/>
        <v>46060.63941</v>
      </c>
      <c r="N47" s="81" t="b">
        <v>1</v>
      </c>
      <c r="O47" s="80">
        <f t="shared" si="2"/>
        <v>46060.64201</v>
      </c>
      <c r="P47" s="76" t="s">
        <v>101</v>
      </c>
      <c r="Q47" s="76" t="s">
        <v>11</v>
      </c>
      <c r="R47" s="76" t="b">
        <v>0</v>
      </c>
      <c r="S47" s="82" t="b">
        <v>0</v>
      </c>
      <c r="T47" s="76">
        <v>56.0</v>
      </c>
      <c r="U47" s="79" t="s">
        <v>96</v>
      </c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>
        <v>46060.0</v>
      </c>
      <c r="B48" s="76" t="s">
        <v>485</v>
      </c>
      <c r="C48" s="77" t="s">
        <v>486</v>
      </c>
      <c r="D48" s="76" t="s">
        <v>23</v>
      </c>
      <c r="E48" s="76"/>
      <c r="F48" s="76" t="s">
        <v>44</v>
      </c>
      <c r="G48" s="76">
        <v>1000.0</v>
      </c>
      <c r="H48" s="76">
        <v>500.0</v>
      </c>
      <c r="I48" s="75">
        <v>46060.0</v>
      </c>
      <c r="J48" s="78" t="s">
        <v>151</v>
      </c>
      <c r="K48" s="76" t="s">
        <v>1</v>
      </c>
      <c r="L48" s="79" t="b">
        <v>1</v>
      </c>
      <c r="M48" s="80">
        <f t="shared" si="1"/>
        <v>46060.62336</v>
      </c>
      <c r="N48" s="81" t="b">
        <v>1</v>
      </c>
      <c r="O48" s="80">
        <f t="shared" si="2"/>
        <v>46060.63353</v>
      </c>
      <c r="P48" s="76" t="s">
        <v>1</v>
      </c>
      <c r="Q48" s="76" t="s">
        <v>11</v>
      </c>
      <c r="R48" s="76" t="b">
        <v>0</v>
      </c>
      <c r="S48" s="82" t="b">
        <v>0</v>
      </c>
      <c r="T48" s="76">
        <v>508.0</v>
      </c>
      <c r="U48" s="79" t="s">
        <v>96</v>
      </c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>
        <v>46060.0</v>
      </c>
      <c r="B49" s="76" t="s">
        <v>487</v>
      </c>
      <c r="C49" s="77" t="s">
        <v>488</v>
      </c>
      <c r="D49" s="76" t="s">
        <v>43</v>
      </c>
      <c r="E49" s="76"/>
      <c r="F49" s="76" t="s">
        <v>8</v>
      </c>
      <c r="G49" s="76">
        <v>10000.0</v>
      </c>
      <c r="H49" s="76">
        <v>417.0</v>
      </c>
      <c r="I49" s="75">
        <v>46071.0</v>
      </c>
      <c r="J49" s="78">
        <v>15.38</v>
      </c>
      <c r="K49" s="76" t="s">
        <v>1</v>
      </c>
      <c r="L49" s="79" t="b">
        <v>1</v>
      </c>
      <c r="M49" s="80">
        <f t="shared" si="1"/>
        <v>46062.4071</v>
      </c>
      <c r="N49" s="81" t="b">
        <v>1</v>
      </c>
      <c r="O49" s="80">
        <f t="shared" si="2"/>
        <v>46062.41733</v>
      </c>
      <c r="P49" s="76" t="s">
        <v>1</v>
      </c>
      <c r="Q49" s="76" t="s">
        <v>38</v>
      </c>
      <c r="R49" s="76" t="b">
        <v>0</v>
      </c>
      <c r="S49" s="82" t="b">
        <v>0</v>
      </c>
      <c r="T49" s="76">
        <v>437.0</v>
      </c>
      <c r="U49" s="79" t="s">
        <v>96</v>
      </c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>
        <v>46060.0</v>
      </c>
      <c r="B50" s="76" t="s">
        <v>489</v>
      </c>
      <c r="C50" s="77" t="s">
        <v>490</v>
      </c>
      <c r="D50" s="76" t="s">
        <v>43</v>
      </c>
      <c r="E50" s="76"/>
      <c r="F50" s="76" t="s">
        <v>8</v>
      </c>
      <c r="G50" s="76">
        <v>5000.0</v>
      </c>
      <c r="H50" s="76">
        <v>1459.0</v>
      </c>
      <c r="I50" s="75">
        <v>46071.0</v>
      </c>
      <c r="J50" s="78">
        <v>15.38</v>
      </c>
      <c r="K50" s="76" t="s">
        <v>1</v>
      </c>
      <c r="L50" s="79" t="b">
        <v>1</v>
      </c>
      <c r="M50" s="80">
        <f t="shared" si="1"/>
        <v>46072.68837</v>
      </c>
      <c r="N50" s="81" t="b">
        <v>1</v>
      </c>
      <c r="O50" s="80">
        <f t="shared" si="2"/>
        <v>46073.50546</v>
      </c>
      <c r="P50" s="76" t="s">
        <v>101</v>
      </c>
      <c r="Q50" s="76" t="s">
        <v>38</v>
      </c>
      <c r="R50" s="76" t="b">
        <v>0</v>
      </c>
      <c r="S50" s="82" t="b">
        <v>0</v>
      </c>
      <c r="T50" s="76">
        <v>1603.0</v>
      </c>
      <c r="U50" s="79" t="s">
        <v>96</v>
      </c>
      <c r="V50" s="83"/>
      <c r="W50" s="118">
        <v>-100.0</v>
      </c>
      <c r="X50" s="74"/>
      <c r="Y50" s="74"/>
      <c r="Z50" s="74"/>
      <c r="AA50" s="74"/>
      <c r="AB50" s="74"/>
      <c r="AC50" s="74"/>
      <c r="AD50" s="74"/>
    </row>
    <row r="51">
      <c r="A51" s="75">
        <v>46060.0</v>
      </c>
      <c r="B51" s="76" t="s">
        <v>491</v>
      </c>
      <c r="C51" s="77" t="s">
        <v>492</v>
      </c>
      <c r="D51" s="76" t="s">
        <v>43</v>
      </c>
      <c r="E51" s="76"/>
      <c r="F51" s="76" t="s">
        <v>8</v>
      </c>
      <c r="G51" s="76">
        <v>3000.0</v>
      </c>
      <c r="H51" s="76">
        <v>770.0</v>
      </c>
      <c r="I51" s="75">
        <v>46071.0</v>
      </c>
      <c r="J51" s="78">
        <v>15.38</v>
      </c>
      <c r="K51" s="76" t="s">
        <v>1</v>
      </c>
      <c r="L51" s="79" t="b">
        <v>1</v>
      </c>
      <c r="M51" s="80">
        <f t="shared" si="1"/>
        <v>46073.59372</v>
      </c>
      <c r="N51" s="81" t="b">
        <v>1</v>
      </c>
      <c r="O51" s="80">
        <f t="shared" si="2"/>
        <v>46074.42474</v>
      </c>
      <c r="P51" s="76" t="s">
        <v>101</v>
      </c>
      <c r="Q51" s="76" t="s">
        <v>38</v>
      </c>
      <c r="R51" s="76" t="b">
        <v>0</v>
      </c>
      <c r="S51" s="82" t="b">
        <v>0</v>
      </c>
      <c r="T51" s="76">
        <v>870.0</v>
      </c>
      <c r="U51" s="79" t="s">
        <v>96</v>
      </c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>
        <v>46060.0</v>
      </c>
      <c r="B52" s="76" t="s">
        <v>493</v>
      </c>
      <c r="C52" s="77" t="s">
        <v>494</v>
      </c>
      <c r="D52" s="76" t="s">
        <v>23</v>
      </c>
      <c r="E52" s="76"/>
      <c r="F52" s="76" t="s">
        <v>8</v>
      </c>
      <c r="G52" s="76">
        <v>200.0</v>
      </c>
      <c r="H52" s="76">
        <v>2800.0</v>
      </c>
      <c r="I52" s="75">
        <v>46071.0</v>
      </c>
      <c r="J52" s="78">
        <v>16.3</v>
      </c>
      <c r="K52" s="76" t="s">
        <v>1</v>
      </c>
      <c r="L52" s="79" t="b">
        <v>1</v>
      </c>
      <c r="M52" s="80">
        <f t="shared" si="1"/>
        <v>46062.55318</v>
      </c>
      <c r="N52" s="81" t="b">
        <v>1</v>
      </c>
      <c r="O52" s="80">
        <f t="shared" si="2"/>
        <v>46066.46752</v>
      </c>
      <c r="P52" s="76" t="s">
        <v>101</v>
      </c>
      <c r="Q52" s="76" t="s">
        <v>11</v>
      </c>
      <c r="R52" s="76" t="b">
        <v>0</v>
      </c>
      <c r="S52" s="82" t="b">
        <v>0</v>
      </c>
      <c r="T52" s="76">
        <v>2856.0</v>
      </c>
      <c r="U52" s="79" t="s">
        <v>96</v>
      </c>
      <c r="V52" s="83" t="s">
        <v>160</v>
      </c>
      <c r="W52" s="118"/>
      <c r="X52" s="74"/>
      <c r="Y52" s="74"/>
      <c r="Z52" s="74"/>
      <c r="AA52" s="74"/>
      <c r="AB52" s="74"/>
      <c r="AC52" s="74"/>
      <c r="AD52" s="74"/>
    </row>
    <row r="53">
      <c r="A53" s="75">
        <v>46062.0</v>
      </c>
      <c r="B53" s="76" t="s">
        <v>495</v>
      </c>
      <c r="C53" s="77" t="s">
        <v>496</v>
      </c>
      <c r="D53" s="76" t="s">
        <v>23</v>
      </c>
      <c r="E53" s="76"/>
      <c r="F53" s="76" t="s">
        <v>18</v>
      </c>
      <c r="G53" s="76">
        <v>1000.0</v>
      </c>
      <c r="H53" s="76">
        <v>250.0</v>
      </c>
      <c r="I53" s="75">
        <v>46062.0</v>
      </c>
      <c r="J53" s="78">
        <v>9.28</v>
      </c>
      <c r="K53" s="76" t="s">
        <v>101</v>
      </c>
      <c r="L53" s="79" t="b">
        <v>1</v>
      </c>
      <c r="M53" s="80">
        <f t="shared" si="1"/>
        <v>46062.41604</v>
      </c>
      <c r="N53" s="81" t="b">
        <v>1</v>
      </c>
      <c r="O53" s="80">
        <f t="shared" si="2"/>
        <v>46062.42543</v>
      </c>
      <c r="P53" s="76" t="s">
        <v>101</v>
      </c>
      <c r="Q53" s="76" t="s">
        <v>11</v>
      </c>
      <c r="R53" s="76" t="b">
        <v>0</v>
      </c>
      <c r="S53" s="82" t="b">
        <v>0</v>
      </c>
      <c r="T53" s="76">
        <v>256.0</v>
      </c>
      <c r="U53" s="79" t="s">
        <v>96</v>
      </c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>
        <v>46062.0</v>
      </c>
      <c r="B54" s="76" t="s">
        <v>497</v>
      </c>
      <c r="C54" s="77" t="s">
        <v>498</v>
      </c>
      <c r="D54" s="76" t="s">
        <v>23</v>
      </c>
      <c r="E54" s="76"/>
      <c r="F54" s="76" t="s">
        <v>18</v>
      </c>
      <c r="G54" s="76">
        <v>1000.0</v>
      </c>
      <c r="H54" s="76">
        <v>250.0</v>
      </c>
      <c r="I54" s="75">
        <v>46062.0</v>
      </c>
      <c r="J54" s="78">
        <v>9.28</v>
      </c>
      <c r="K54" s="76" t="s">
        <v>101</v>
      </c>
      <c r="L54" s="79" t="b">
        <v>1</v>
      </c>
      <c r="M54" s="80">
        <f t="shared" si="1"/>
        <v>46062.40752</v>
      </c>
      <c r="N54" s="81" t="b">
        <v>1</v>
      </c>
      <c r="O54" s="80">
        <f t="shared" si="2"/>
        <v>46062.41531</v>
      </c>
      <c r="P54" s="76" t="s">
        <v>101</v>
      </c>
      <c r="Q54" s="76" t="s">
        <v>11</v>
      </c>
      <c r="R54" s="76" t="b">
        <v>0</v>
      </c>
      <c r="S54" s="82" t="b">
        <v>0</v>
      </c>
      <c r="T54" s="76">
        <v>256.0</v>
      </c>
      <c r="U54" s="79" t="s">
        <v>96</v>
      </c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>
        <v>46062.0</v>
      </c>
      <c r="B55" s="76" t="s">
        <v>499</v>
      </c>
      <c r="C55" s="77" t="s">
        <v>500</v>
      </c>
      <c r="D55" s="76" t="s">
        <v>23</v>
      </c>
      <c r="E55" s="76"/>
      <c r="F55" s="76" t="s">
        <v>8</v>
      </c>
      <c r="G55" s="76">
        <v>100.0</v>
      </c>
      <c r="H55" s="76">
        <v>25.0</v>
      </c>
      <c r="I55" s="75">
        <v>46064.0</v>
      </c>
      <c r="J55" s="78">
        <v>9.28</v>
      </c>
      <c r="K55" s="76" t="s">
        <v>101</v>
      </c>
      <c r="L55" s="79" t="b">
        <v>1</v>
      </c>
      <c r="M55" s="80">
        <f t="shared" si="1"/>
        <v>46062.42624</v>
      </c>
      <c r="N55" s="81" t="b">
        <v>1</v>
      </c>
      <c r="O55" s="80">
        <f t="shared" si="2"/>
        <v>46062.42755</v>
      </c>
      <c r="P55" s="76" t="s">
        <v>101</v>
      </c>
      <c r="Q55" s="76" t="s">
        <v>11</v>
      </c>
      <c r="R55" s="76" t="b">
        <v>0</v>
      </c>
      <c r="S55" s="82" t="b">
        <v>0</v>
      </c>
      <c r="T55" s="76">
        <v>28.0</v>
      </c>
      <c r="U55" s="79" t="s">
        <v>96</v>
      </c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>
        <v>46062.0</v>
      </c>
      <c r="B56" s="76" t="s">
        <v>501</v>
      </c>
      <c r="C56" s="77" t="s">
        <v>502</v>
      </c>
      <c r="D56" s="76" t="s">
        <v>34</v>
      </c>
      <c r="E56" s="76"/>
      <c r="F56" s="76" t="s">
        <v>8</v>
      </c>
      <c r="G56" s="76">
        <v>12.0</v>
      </c>
      <c r="H56" s="76">
        <v>10.0</v>
      </c>
      <c r="I56" s="75">
        <v>46065.0</v>
      </c>
      <c r="J56" s="78">
        <v>9.28</v>
      </c>
      <c r="K56" s="76" t="s">
        <v>1</v>
      </c>
      <c r="L56" s="79" t="b">
        <v>1</v>
      </c>
      <c r="M56" s="80">
        <f t="shared" si="1"/>
        <v>46062.42732</v>
      </c>
      <c r="N56" s="81" t="b">
        <v>1</v>
      </c>
      <c r="O56" s="80">
        <f t="shared" si="2"/>
        <v>46062.42769</v>
      </c>
      <c r="P56" s="76" t="s">
        <v>1</v>
      </c>
      <c r="Q56" s="76" t="s">
        <v>11</v>
      </c>
      <c r="R56" s="76" t="b">
        <v>0</v>
      </c>
      <c r="S56" s="82" t="b">
        <v>0</v>
      </c>
      <c r="T56" s="76">
        <v>11.0</v>
      </c>
      <c r="U56" s="79" t="s">
        <v>28</v>
      </c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>
        <v>46062.0</v>
      </c>
      <c r="B57" s="76" t="s">
        <v>503</v>
      </c>
      <c r="C57" s="77" t="s">
        <v>504</v>
      </c>
      <c r="D57" s="76" t="s">
        <v>34</v>
      </c>
      <c r="E57" s="76"/>
      <c r="F57" s="76" t="s">
        <v>8</v>
      </c>
      <c r="G57" s="76">
        <v>12.0</v>
      </c>
      <c r="H57" s="76">
        <v>10.0</v>
      </c>
      <c r="I57" s="75">
        <v>46065.0</v>
      </c>
      <c r="J57" s="78">
        <v>9.28</v>
      </c>
      <c r="K57" s="76" t="s">
        <v>1</v>
      </c>
      <c r="L57" s="79" t="b">
        <v>1</v>
      </c>
      <c r="M57" s="80">
        <f t="shared" si="1"/>
        <v>46062.42602</v>
      </c>
      <c r="N57" s="81" t="b">
        <v>1</v>
      </c>
      <c r="O57" s="80">
        <f t="shared" si="2"/>
        <v>46062.42642</v>
      </c>
      <c r="P57" s="76" t="s">
        <v>1</v>
      </c>
      <c r="Q57" s="76" t="s">
        <v>11</v>
      </c>
      <c r="R57" s="76" t="b">
        <v>0</v>
      </c>
      <c r="S57" s="82" t="b">
        <v>0</v>
      </c>
      <c r="T57" s="76">
        <v>11.0</v>
      </c>
      <c r="U57" s="79" t="s">
        <v>28</v>
      </c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>
        <v>46062.0</v>
      </c>
      <c r="B58" s="76" t="s">
        <v>505</v>
      </c>
      <c r="C58" s="77" t="s">
        <v>506</v>
      </c>
      <c r="D58" s="76" t="s">
        <v>34</v>
      </c>
      <c r="E58" s="76"/>
      <c r="F58" s="76" t="s">
        <v>8</v>
      </c>
      <c r="G58" s="76">
        <v>12.0</v>
      </c>
      <c r="H58" s="76">
        <v>10.0</v>
      </c>
      <c r="I58" s="75">
        <v>46065.0</v>
      </c>
      <c r="J58" s="78">
        <v>11.08</v>
      </c>
      <c r="K58" s="76" t="s">
        <v>1</v>
      </c>
      <c r="L58" s="79" t="b">
        <v>1</v>
      </c>
      <c r="M58" s="80">
        <f t="shared" si="1"/>
        <v>46062.48104</v>
      </c>
      <c r="N58" s="81" t="b">
        <v>1</v>
      </c>
      <c r="O58" s="80">
        <f t="shared" si="2"/>
        <v>46062.48155</v>
      </c>
      <c r="P58" s="76" t="s">
        <v>1</v>
      </c>
      <c r="Q58" s="76" t="s">
        <v>38</v>
      </c>
      <c r="R58" s="76" t="b">
        <v>0</v>
      </c>
      <c r="S58" s="82" t="b">
        <v>0</v>
      </c>
      <c r="T58" s="76">
        <v>11.0</v>
      </c>
      <c r="U58" s="79" t="s">
        <v>28</v>
      </c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>
        <v>46062.0</v>
      </c>
      <c r="B59" s="76" t="s">
        <v>507</v>
      </c>
      <c r="C59" s="77" t="s">
        <v>508</v>
      </c>
      <c r="D59" s="76" t="s">
        <v>23</v>
      </c>
      <c r="E59" s="76"/>
      <c r="F59" s="76" t="s">
        <v>8</v>
      </c>
      <c r="G59" s="76">
        <v>100.0</v>
      </c>
      <c r="H59" s="76">
        <v>10.0</v>
      </c>
      <c r="I59" s="75">
        <v>46066.0</v>
      </c>
      <c r="J59" s="78">
        <v>11.08</v>
      </c>
      <c r="K59" s="76" t="s">
        <v>101</v>
      </c>
      <c r="L59" s="79" t="b">
        <v>1</v>
      </c>
      <c r="M59" s="80">
        <f t="shared" si="1"/>
        <v>46062.48148</v>
      </c>
      <c r="N59" s="81" t="b">
        <v>1</v>
      </c>
      <c r="O59" s="80">
        <f t="shared" si="2"/>
        <v>46062.48303</v>
      </c>
      <c r="P59" s="76" t="s">
        <v>101</v>
      </c>
      <c r="Q59" s="76" t="s">
        <v>11</v>
      </c>
      <c r="R59" s="76" t="b">
        <v>0</v>
      </c>
      <c r="S59" s="82" t="b">
        <v>0</v>
      </c>
      <c r="T59" s="76">
        <v>16.0</v>
      </c>
      <c r="U59" s="79" t="s">
        <v>96</v>
      </c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>
        <v>46062.0</v>
      </c>
      <c r="B60" s="76" t="s">
        <v>509</v>
      </c>
      <c r="C60" s="77" t="s">
        <v>510</v>
      </c>
      <c r="D60" s="76" t="s">
        <v>60</v>
      </c>
      <c r="E60" s="76"/>
      <c r="F60" s="76" t="s">
        <v>8</v>
      </c>
      <c r="G60" s="76">
        <v>150.0</v>
      </c>
      <c r="H60" s="76">
        <v>135.0</v>
      </c>
      <c r="I60" s="75">
        <v>46074.0</v>
      </c>
      <c r="J60" s="78">
        <v>14.48</v>
      </c>
      <c r="K60" s="76" t="s">
        <v>101</v>
      </c>
      <c r="L60" s="79" t="b">
        <v>1</v>
      </c>
      <c r="M60" s="80">
        <f t="shared" si="1"/>
        <v>46063.37421</v>
      </c>
      <c r="N60" s="81" t="b">
        <v>1</v>
      </c>
      <c r="O60" s="80">
        <f t="shared" si="2"/>
        <v>46063.4335</v>
      </c>
      <c r="P60" s="76" t="s">
        <v>101</v>
      </c>
      <c r="Q60" s="76" t="s">
        <v>11</v>
      </c>
      <c r="R60" s="76" t="b">
        <v>0</v>
      </c>
      <c r="S60" s="82" t="b">
        <v>0</v>
      </c>
      <c r="T60" s="76">
        <v>172.0</v>
      </c>
      <c r="U60" s="79" t="s">
        <v>96</v>
      </c>
      <c r="V60" s="83" t="s">
        <v>458</v>
      </c>
      <c r="W60" s="74"/>
      <c r="X60" s="74"/>
      <c r="Y60" s="74"/>
      <c r="Z60" s="74"/>
      <c r="AA60" s="74"/>
      <c r="AB60" s="74"/>
      <c r="AC60" s="74"/>
      <c r="AD60" s="74"/>
    </row>
    <row r="61">
      <c r="A61" s="75">
        <v>46062.0</v>
      </c>
      <c r="B61" s="76" t="s">
        <v>511</v>
      </c>
      <c r="C61" s="77" t="s">
        <v>512</v>
      </c>
      <c r="D61" s="76" t="s">
        <v>23</v>
      </c>
      <c r="E61" s="76"/>
      <c r="F61" s="76" t="s">
        <v>8</v>
      </c>
      <c r="G61" s="76">
        <v>100.0</v>
      </c>
      <c r="H61" s="76">
        <v>100.0</v>
      </c>
      <c r="I61" s="75">
        <v>46065.0</v>
      </c>
      <c r="J61" s="78">
        <v>15.43</v>
      </c>
      <c r="K61" s="76" t="s">
        <v>101</v>
      </c>
      <c r="L61" s="79" t="b">
        <v>1</v>
      </c>
      <c r="M61" s="80">
        <f t="shared" si="1"/>
        <v>46062.67076</v>
      </c>
      <c r="N61" s="81" t="b">
        <v>1</v>
      </c>
      <c r="O61" s="80">
        <f t="shared" si="2"/>
        <v>46062.67513</v>
      </c>
      <c r="P61" s="76" t="s">
        <v>101</v>
      </c>
      <c r="Q61" s="76" t="s">
        <v>11</v>
      </c>
      <c r="R61" s="76" t="b">
        <v>0</v>
      </c>
      <c r="S61" s="82" t="b">
        <v>0</v>
      </c>
      <c r="T61" s="76">
        <v>108.0</v>
      </c>
      <c r="U61" s="79" t="s">
        <v>96</v>
      </c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>
        <v>46062.0</v>
      </c>
      <c r="B62" s="76" t="s">
        <v>513</v>
      </c>
      <c r="C62" s="77" t="s">
        <v>514</v>
      </c>
      <c r="D62" s="76" t="s">
        <v>34</v>
      </c>
      <c r="E62" s="76"/>
      <c r="F62" s="76" t="s">
        <v>8</v>
      </c>
      <c r="G62" s="76">
        <v>3000.0</v>
      </c>
      <c r="H62" s="76">
        <v>750.0</v>
      </c>
      <c r="I62" s="75">
        <v>46066.0</v>
      </c>
      <c r="J62" s="78">
        <v>15.43</v>
      </c>
      <c r="K62" s="76" t="s">
        <v>1</v>
      </c>
      <c r="L62" s="79" t="b">
        <v>1</v>
      </c>
      <c r="M62" s="80">
        <f t="shared" si="1"/>
        <v>46066.47889</v>
      </c>
      <c r="N62" s="81" t="b">
        <v>1</v>
      </c>
      <c r="O62" s="80">
        <f t="shared" si="2"/>
        <v>46066.56646</v>
      </c>
      <c r="P62" s="76" t="s">
        <v>101</v>
      </c>
      <c r="Q62" s="76" t="s">
        <v>38</v>
      </c>
      <c r="R62" s="76" t="b">
        <v>0</v>
      </c>
      <c r="S62" s="82" t="b">
        <v>0</v>
      </c>
      <c r="T62" s="76">
        <v>770.0</v>
      </c>
      <c r="U62" s="79" t="s">
        <v>96</v>
      </c>
      <c r="V62" s="83"/>
      <c r="W62" s="118"/>
      <c r="X62" s="74"/>
      <c r="Y62" s="74"/>
      <c r="Z62" s="74"/>
      <c r="AA62" s="74"/>
      <c r="AB62" s="74"/>
      <c r="AC62" s="74"/>
      <c r="AD62" s="74"/>
    </row>
    <row r="63">
      <c r="A63" s="75">
        <v>46062.0</v>
      </c>
      <c r="B63" s="76" t="s">
        <v>515</v>
      </c>
      <c r="C63" s="77" t="s">
        <v>516</v>
      </c>
      <c r="D63" s="76" t="s">
        <v>34</v>
      </c>
      <c r="E63" s="76"/>
      <c r="F63" s="76" t="s">
        <v>8</v>
      </c>
      <c r="G63" s="76">
        <v>2000.0</v>
      </c>
      <c r="H63" s="76">
        <v>500.0</v>
      </c>
      <c r="I63" s="75">
        <v>46066.0</v>
      </c>
      <c r="J63" s="78">
        <v>15.52</v>
      </c>
      <c r="K63" s="76" t="s">
        <v>1</v>
      </c>
      <c r="L63" s="79" t="b">
        <v>1</v>
      </c>
      <c r="M63" s="80">
        <f t="shared" si="1"/>
        <v>46067.4449</v>
      </c>
      <c r="N63" s="81" t="b">
        <v>1</v>
      </c>
      <c r="O63" s="80">
        <f t="shared" si="2"/>
        <v>46067.47404</v>
      </c>
      <c r="P63" s="76" t="s">
        <v>101</v>
      </c>
      <c r="Q63" s="76" t="s">
        <v>38</v>
      </c>
      <c r="R63" s="76" t="b">
        <v>0</v>
      </c>
      <c r="S63" s="82" t="b">
        <v>0</v>
      </c>
      <c r="T63" s="76">
        <v>520.0</v>
      </c>
      <c r="U63" s="79" t="s">
        <v>96</v>
      </c>
      <c r="V63" s="83"/>
      <c r="W63" s="118"/>
      <c r="X63" s="74"/>
      <c r="Y63" s="74"/>
      <c r="Z63" s="74"/>
      <c r="AA63" s="74"/>
      <c r="AB63" s="74"/>
      <c r="AC63" s="74"/>
      <c r="AD63" s="74"/>
    </row>
    <row r="64">
      <c r="A64" s="75">
        <v>46063.0</v>
      </c>
      <c r="B64" s="76" t="s">
        <v>517</v>
      </c>
      <c r="C64" s="77" t="s">
        <v>518</v>
      </c>
      <c r="D64" s="76" t="s">
        <v>23</v>
      </c>
      <c r="E64" s="76"/>
      <c r="F64" s="76" t="s">
        <v>8</v>
      </c>
      <c r="G64" s="76">
        <v>300.0</v>
      </c>
      <c r="H64" s="76">
        <v>75.0</v>
      </c>
      <c r="I64" s="75">
        <v>46066.0</v>
      </c>
      <c r="J64" s="78">
        <v>9.31</v>
      </c>
      <c r="K64" s="76" t="s">
        <v>101</v>
      </c>
      <c r="L64" s="79" t="b">
        <v>1</v>
      </c>
      <c r="M64" s="80">
        <f t="shared" si="1"/>
        <v>46063.4105</v>
      </c>
      <c r="N64" s="81" t="b">
        <v>1</v>
      </c>
      <c r="O64" s="80">
        <f t="shared" si="2"/>
        <v>46063.41315</v>
      </c>
      <c r="P64" s="76" t="s">
        <v>101</v>
      </c>
      <c r="Q64" s="76" t="s">
        <v>11</v>
      </c>
      <c r="R64" s="76" t="b">
        <v>0</v>
      </c>
      <c r="S64" s="82" t="b">
        <v>0</v>
      </c>
      <c r="T64" s="76">
        <v>80.0</v>
      </c>
      <c r="U64" s="79" t="s">
        <v>96</v>
      </c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>
        <v>46063.0</v>
      </c>
      <c r="B65" s="76" t="s">
        <v>519</v>
      </c>
      <c r="C65" s="77" t="s">
        <v>520</v>
      </c>
      <c r="D65" s="76" t="s">
        <v>23</v>
      </c>
      <c r="E65" s="76"/>
      <c r="F65" s="76" t="s">
        <v>18</v>
      </c>
      <c r="G65" s="76">
        <v>2000.0</v>
      </c>
      <c r="H65" s="76">
        <v>500.0</v>
      </c>
      <c r="I65" s="75">
        <v>46063.0</v>
      </c>
      <c r="J65" s="78">
        <v>12.0</v>
      </c>
      <c r="K65" s="76" t="s">
        <v>1</v>
      </c>
      <c r="L65" s="79" t="b">
        <v>1</v>
      </c>
      <c r="M65" s="80">
        <f t="shared" si="1"/>
        <v>46063.55048</v>
      </c>
      <c r="N65" s="81" t="b">
        <v>1</v>
      </c>
      <c r="O65" s="80">
        <f t="shared" si="2"/>
        <v>46063.557</v>
      </c>
      <c r="P65" s="76" t="s">
        <v>101</v>
      </c>
      <c r="Q65" s="76" t="s">
        <v>11</v>
      </c>
      <c r="R65" s="76" t="b">
        <v>0</v>
      </c>
      <c r="S65" s="82" t="b">
        <v>0</v>
      </c>
      <c r="T65" s="76">
        <v>504.0</v>
      </c>
      <c r="U65" s="79" t="s">
        <v>96</v>
      </c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>
        <v>46063.0</v>
      </c>
      <c r="B66" s="76" t="s">
        <v>521</v>
      </c>
      <c r="C66" s="77" t="s">
        <v>522</v>
      </c>
      <c r="D66" s="76" t="s">
        <v>23</v>
      </c>
      <c r="E66" s="76"/>
      <c r="F66" s="76" t="s">
        <v>8</v>
      </c>
      <c r="G66" s="76">
        <v>3000.0</v>
      </c>
      <c r="H66" s="76">
        <v>750.0</v>
      </c>
      <c r="I66" s="75">
        <v>46064.0</v>
      </c>
      <c r="J66" s="78">
        <v>15.04</v>
      </c>
      <c r="K66" s="76" t="s">
        <v>101</v>
      </c>
      <c r="L66" s="79" t="b">
        <v>1</v>
      </c>
      <c r="M66" s="80">
        <f t="shared" si="1"/>
        <v>46064.37471</v>
      </c>
      <c r="N66" s="81" t="b">
        <v>1</v>
      </c>
      <c r="O66" s="80">
        <f t="shared" si="2"/>
        <v>46064.39504</v>
      </c>
      <c r="P66" s="76" t="s">
        <v>101</v>
      </c>
      <c r="Q66" s="76" t="s">
        <v>11</v>
      </c>
      <c r="R66" s="76" t="b">
        <v>0</v>
      </c>
      <c r="S66" s="82" t="b">
        <v>0</v>
      </c>
      <c r="T66" s="76">
        <v>756.0</v>
      </c>
      <c r="U66" s="79" t="s">
        <v>96</v>
      </c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>
        <v>46063.0</v>
      </c>
      <c r="B67" s="76" t="s">
        <v>523</v>
      </c>
      <c r="C67" s="77" t="s">
        <v>524</v>
      </c>
      <c r="D67" s="76" t="s">
        <v>23</v>
      </c>
      <c r="E67" s="76"/>
      <c r="F67" s="76" t="s">
        <v>8</v>
      </c>
      <c r="G67" s="76">
        <v>100.0</v>
      </c>
      <c r="H67" s="76">
        <v>25.0</v>
      </c>
      <c r="I67" s="75">
        <v>46066.0</v>
      </c>
      <c r="J67" s="78">
        <v>17.08</v>
      </c>
      <c r="K67" s="76" t="s">
        <v>1</v>
      </c>
      <c r="L67" s="79" t="b">
        <v>1</v>
      </c>
      <c r="M67" s="80">
        <f t="shared" si="1"/>
        <v>46064.40093</v>
      </c>
      <c r="N67" s="81" t="b">
        <v>1</v>
      </c>
      <c r="O67" s="80">
        <f t="shared" si="2"/>
        <v>46064.40218</v>
      </c>
      <c r="P67" s="76" t="s">
        <v>101</v>
      </c>
      <c r="Q67" s="76" t="s">
        <v>11</v>
      </c>
      <c r="R67" s="76" t="b">
        <v>0</v>
      </c>
      <c r="S67" s="82" t="b">
        <v>0</v>
      </c>
      <c r="T67" s="76">
        <v>28.0</v>
      </c>
      <c r="U67" s="79" t="s">
        <v>96</v>
      </c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>
        <v>46063.0</v>
      </c>
      <c r="B68" s="76" t="s">
        <v>525</v>
      </c>
      <c r="C68" s="77" t="s">
        <v>526</v>
      </c>
      <c r="D68" s="76" t="s">
        <v>23</v>
      </c>
      <c r="E68" s="76"/>
      <c r="F68" s="76" t="s">
        <v>8</v>
      </c>
      <c r="G68" s="76">
        <v>150.0</v>
      </c>
      <c r="H68" s="76">
        <v>38.0</v>
      </c>
      <c r="I68" s="75">
        <v>46066.0</v>
      </c>
      <c r="J68" s="78">
        <v>17.08</v>
      </c>
      <c r="K68" s="76" t="s">
        <v>1</v>
      </c>
      <c r="L68" s="79" t="b">
        <v>1</v>
      </c>
      <c r="M68" s="80">
        <f t="shared" si="1"/>
        <v>46064.4026</v>
      </c>
      <c r="N68" s="81" t="b">
        <v>1</v>
      </c>
      <c r="O68" s="80">
        <f t="shared" si="2"/>
        <v>46064.40379</v>
      </c>
      <c r="P68" s="76" t="s">
        <v>101</v>
      </c>
      <c r="Q68" s="76" t="s">
        <v>11</v>
      </c>
      <c r="R68" s="76" t="b">
        <v>0</v>
      </c>
      <c r="S68" s="82" t="b">
        <v>0</v>
      </c>
      <c r="T68" s="76">
        <v>44.0</v>
      </c>
      <c r="U68" s="79" t="s">
        <v>96</v>
      </c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>
        <v>46064.0</v>
      </c>
      <c r="B69" s="76" t="s">
        <v>527</v>
      </c>
      <c r="C69" s="77" t="s">
        <v>528</v>
      </c>
      <c r="D69" s="76" t="s">
        <v>43</v>
      </c>
      <c r="E69" s="76"/>
      <c r="F69" s="76" t="s">
        <v>8</v>
      </c>
      <c r="G69" s="76">
        <v>6.0</v>
      </c>
      <c r="H69" s="76">
        <v>6.0</v>
      </c>
      <c r="I69" s="75">
        <v>46067.0</v>
      </c>
      <c r="J69" s="78">
        <v>10.59</v>
      </c>
      <c r="K69" s="76" t="s">
        <v>101</v>
      </c>
      <c r="L69" s="79" t="b">
        <v>1</v>
      </c>
      <c r="M69" s="80">
        <f t="shared" si="1"/>
        <v>46064.50037</v>
      </c>
      <c r="N69" s="81" t="b">
        <v>1</v>
      </c>
      <c r="O69" s="80">
        <f t="shared" si="2"/>
        <v>46064.50145</v>
      </c>
      <c r="P69" s="76" t="s">
        <v>101</v>
      </c>
      <c r="Q69" s="76" t="s">
        <v>38</v>
      </c>
      <c r="R69" s="76" t="b">
        <v>0</v>
      </c>
      <c r="S69" s="82" t="b">
        <v>0</v>
      </c>
      <c r="T69" s="76">
        <v>7.0</v>
      </c>
      <c r="U69" s="79" t="s">
        <v>28</v>
      </c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>
        <v>46064.0</v>
      </c>
      <c r="B70" s="76" t="s">
        <v>529</v>
      </c>
      <c r="C70" s="77" t="s">
        <v>530</v>
      </c>
      <c r="D70" s="76" t="s">
        <v>23</v>
      </c>
      <c r="E70" s="76"/>
      <c r="F70" s="76" t="s">
        <v>8</v>
      </c>
      <c r="G70" s="76">
        <v>200.0</v>
      </c>
      <c r="H70" s="76">
        <v>200.0</v>
      </c>
      <c r="I70" s="75">
        <v>46067.0</v>
      </c>
      <c r="J70" s="78">
        <v>16.53</v>
      </c>
      <c r="K70" s="76" t="s">
        <v>101</v>
      </c>
      <c r="L70" s="79" t="b">
        <v>1</v>
      </c>
      <c r="M70" s="80">
        <f t="shared" si="1"/>
        <v>46065.63013</v>
      </c>
      <c r="N70" s="81" t="b">
        <v>1</v>
      </c>
      <c r="O70" s="80">
        <f t="shared" si="2"/>
        <v>46065.63533</v>
      </c>
      <c r="P70" s="76" t="s">
        <v>101</v>
      </c>
      <c r="Q70" s="76" t="s">
        <v>11</v>
      </c>
      <c r="R70" s="76" t="b">
        <v>0</v>
      </c>
      <c r="S70" s="82" t="b">
        <v>0</v>
      </c>
      <c r="T70" s="76">
        <v>208.0</v>
      </c>
      <c r="U70" s="79" t="s">
        <v>96</v>
      </c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>
        <v>46066.0</v>
      </c>
      <c r="B71" s="76" t="s">
        <v>531</v>
      </c>
      <c r="C71" s="77" t="s">
        <v>532</v>
      </c>
      <c r="D71" s="76" t="s">
        <v>32</v>
      </c>
      <c r="E71" s="76"/>
      <c r="F71" s="76" t="s">
        <v>27</v>
      </c>
      <c r="G71" s="76">
        <v>430.0</v>
      </c>
      <c r="H71" s="76">
        <v>1720.0</v>
      </c>
      <c r="I71" s="75">
        <v>46066.0</v>
      </c>
      <c r="J71" s="78">
        <v>9.13</v>
      </c>
      <c r="K71" s="76" t="s">
        <v>101</v>
      </c>
      <c r="L71" s="79" t="b">
        <v>1</v>
      </c>
      <c r="M71" s="80">
        <f t="shared" si="1"/>
        <v>46066.3966</v>
      </c>
      <c r="N71" s="81" t="b">
        <v>1</v>
      </c>
      <c r="O71" s="80">
        <f t="shared" si="2"/>
        <v>46066.40648</v>
      </c>
      <c r="P71" s="76" t="s">
        <v>101</v>
      </c>
      <c r="Q71" s="76" t="s">
        <v>11</v>
      </c>
      <c r="R71" s="76" t="b">
        <v>0</v>
      </c>
      <c r="S71" s="82" t="b">
        <v>0</v>
      </c>
      <c r="T71" s="76">
        <v>15.0</v>
      </c>
      <c r="U71" s="79" t="s">
        <v>96</v>
      </c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>
        <v>46066.0</v>
      </c>
      <c r="B72" s="76" t="s">
        <v>533</v>
      </c>
      <c r="C72" s="77" t="s">
        <v>534</v>
      </c>
      <c r="D72" s="76" t="s">
        <v>32</v>
      </c>
      <c r="E72" s="76"/>
      <c r="F72" s="76" t="s">
        <v>27</v>
      </c>
      <c r="G72" s="76">
        <v>1.0</v>
      </c>
      <c r="H72" s="76">
        <v>110.0</v>
      </c>
      <c r="I72" s="75">
        <v>46066.0</v>
      </c>
      <c r="J72" s="78">
        <v>9.13</v>
      </c>
      <c r="K72" s="76" t="s">
        <v>101</v>
      </c>
      <c r="L72" s="79" t="b">
        <v>1</v>
      </c>
      <c r="M72" s="80">
        <f t="shared" si="1"/>
        <v>46066.39271</v>
      </c>
      <c r="N72" s="81" t="b">
        <v>1</v>
      </c>
      <c r="O72" s="80">
        <f t="shared" si="2"/>
        <v>46066.39403</v>
      </c>
      <c r="P72" s="76" t="s">
        <v>101</v>
      </c>
      <c r="Q72" s="76" t="s">
        <v>11</v>
      </c>
      <c r="R72" s="76" t="b">
        <v>0</v>
      </c>
      <c r="S72" s="82" t="b">
        <v>0</v>
      </c>
      <c r="T72" s="76">
        <v>20.0</v>
      </c>
      <c r="U72" s="79" t="s">
        <v>96</v>
      </c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>
        <v>46066.0</v>
      </c>
      <c r="B73" s="76" t="s">
        <v>535</v>
      </c>
      <c r="C73" s="77" t="s">
        <v>536</v>
      </c>
      <c r="D73" s="76" t="s">
        <v>23</v>
      </c>
      <c r="E73" s="76"/>
      <c r="F73" s="76" t="s">
        <v>18</v>
      </c>
      <c r="G73" s="76">
        <v>1500.0</v>
      </c>
      <c r="H73" s="76">
        <v>375.0</v>
      </c>
      <c r="I73" s="75">
        <v>46066.0</v>
      </c>
      <c r="J73" s="78">
        <v>9.13</v>
      </c>
      <c r="K73" s="76" t="s">
        <v>101</v>
      </c>
      <c r="L73" s="79" t="b">
        <v>1</v>
      </c>
      <c r="M73" s="80">
        <f t="shared" si="1"/>
        <v>46066.38182</v>
      </c>
      <c r="N73" s="81" t="b">
        <v>1</v>
      </c>
      <c r="O73" s="80">
        <f t="shared" si="2"/>
        <v>46066.39243</v>
      </c>
      <c r="P73" s="76" t="s">
        <v>101</v>
      </c>
      <c r="Q73" s="76" t="s">
        <v>11</v>
      </c>
      <c r="R73" s="76" t="b">
        <v>0</v>
      </c>
      <c r="S73" s="82" t="b">
        <v>0</v>
      </c>
      <c r="T73" s="76">
        <v>380.0</v>
      </c>
      <c r="U73" s="79" t="s">
        <v>96</v>
      </c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>
        <v>46066.0</v>
      </c>
      <c r="B74" s="76" t="s">
        <v>537</v>
      </c>
      <c r="C74" s="77" t="s">
        <v>538</v>
      </c>
      <c r="D74" s="76" t="s">
        <v>23</v>
      </c>
      <c r="E74" s="76"/>
      <c r="F74" s="76" t="s">
        <v>8</v>
      </c>
      <c r="G74" s="76">
        <v>100.0</v>
      </c>
      <c r="H74" s="76">
        <v>9.0</v>
      </c>
      <c r="I74" s="75">
        <v>46069.0</v>
      </c>
      <c r="J74" s="78">
        <v>9.13</v>
      </c>
      <c r="K74" s="76" t="s">
        <v>101</v>
      </c>
      <c r="L74" s="79" t="b">
        <v>1</v>
      </c>
      <c r="M74" s="80">
        <f t="shared" si="1"/>
        <v>46067.59723</v>
      </c>
      <c r="N74" s="81" t="b">
        <v>1</v>
      </c>
      <c r="O74" s="80">
        <f t="shared" si="2"/>
        <v>46067.59941</v>
      </c>
      <c r="P74" s="76" t="s">
        <v>101</v>
      </c>
      <c r="Q74" s="76" t="s">
        <v>11</v>
      </c>
      <c r="R74" s="76" t="b">
        <v>0</v>
      </c>
      <c r="S74" s="82" t="b">
        <v>0</v>
      </c>
      <c r="T74" s="76">
        <v>16.0</v>
      </c>
      <c r="U74" s="79" t="s">
        <v>96</v>
      </c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>
        <v>46066.0</v>
      </c>
      <c r="B75" s="76" t="s">
        <v>539</v>
      </c>
      <c r="C75" s="77" t="s">
        <v>540</v>
      </c>
      <c r="D75" s="76" t="s">
        <v>16</v>
      </c>
      <c r="E75" s="76"/>
      <c r="F75" s="76" t="s">
        <v>8</v>
      </c>
      <c r="G75" s="76">
        <v>200.0</v>
      </c>
      <c r="H75" s="76">
        <v>9.0</v>
      </c>
      <c r="I75" s="75">
        <v>46069.0</v>
      </c>
      <c r="J75" s="78">
        <v>9.46</v>
      </c>
      <c r="K75" s="76" t="s">
        <v>101</v>
      </c>
      <c r="L75" s="79" t="b">
        <v>1</v>
      </c>
      <c r="M75" s="80">
        <f t="shared" si="1"/>
        <v>46067.61578</v>
      </c>
      <c r="N75" s="81" t="b">
        <v>1</v>
      </c>
      <c r="O75" s="80">
        <f t="shared" si="2"/>
        <v>46067.61666</v>
      </c>
      <c r="P75" s="76" t="s">
        <v>101</v>
      </c>
      <c r="Q75" s="76" t="s">
        <v>11</v>
      </c>
      <c r="R75" s="76" t="b">
        <v>0</v>
      </c>
      <c r="S75" s="82" t="b">
        <v>0</v>
      </c>
      <c r="T75" s="76">
        <v>12.0</v>
      </c>
      <c r="U75" s="79" t="s">
        <v>96</v>
      </c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>
        <v>46066.0</v>
      </c>
      <c r="B76" s="76" t="s">
        <v>541</v>
      </c>
      <c r="C76" s="77" t="s">
        <v>542</v>
      </c>
      <c r="D76" s="76" t="s">
        <v>23</v>
      </c>
      <c r="E76" s="76"/>
      <c r="F76" s="76" t="s">
        <v>8</v>
      </c>
      <c r="G76" s="76">
        <v>100.0</v>
      </c>
      <c r="H76" s="76">
        <v>25.0</v>
      </c>
      <c r="I76" s="75">
        <v>46069.0</v>
      </c>
      <c r="J76" s="78">
        <v>9.46</v>
      </c>
      <c r="K76" s="76" t="s">
        <v>101</v>
      </c>
      <c r="L76" s="79" t="b">
        <v>1</v>
      </c>
      <c r="M76" s="80">
        <f t="shared" si="1"/>
        <v>46067.59095</v>
      </c>
      <c r="N76" s="81" t="b">
        <v>1</v>
      </c>
      <c r="O76" s="80">
        <f t="shared" si="2"/>
        <v>46067.59188</v>
      </c>
      <c r="P76" s="76" t="s">
        <v>101</v>
      </c>
      <c r="Q76" s="76" t="s">
        <v>11</v>
      </c>
      <c r="R76" s="76" t="b">
        <v>0</v>
      </c>
      <c r="S76" s="82" t="b">
        <v>0</v>
      </c>
      <c r="T76" s="76">
        <v>30.0</v>
      </c>
      <c r="U76" s="79" t="s">
        <v>96</v>
      </c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>
        <v>46066.0</v>
      </c>
      <c r="B77" s="76" t="s">
        <v>543</v>
      </c>
      <c r="C77" s="77" t="s">
        <v>544</v>
      </c>
      <c r="D77" s="76" t="s">
        <v>47</v>
      </c>
      <c r="E77" s="76"/>
      <c r="F77" s="76" t="s">
        <v>8</v>
      </c>
      <c r="G77" s="76">
        <v>1000.0</v>
      </c>
      <c r="H77" s="76">
        <v>167.0</v>
      </c>
      <c r="I77" s="75">
        <v>46072.0</v>
      </c>
      <c r="J77" s="78">
        <v>9.46</v>
      </c>
      <c r="K77" s="76" t="s">
        <v>101</v>
      </c>
      <c r="L77" s="79" t="b">
        <v>1</v>
      </c>
      <c r="M77" s="80">
        <f t="shared" si="1"/>
        <v>46067.60201</v>
      </c>
      <c r="N77" s="81" t="b">
        <v>1</v>
      </c>
      <c r="O77" s="80">
        <f t="shared" si="2"/>
        <v>46067.60721</v>
      </c>
      <c r="P77" s="76" t="s">
        <v>101</v>
      </c>
      <c r="Q77" s="76" t="s">
        <v>11</v>
      </c>
      <c r="R77" s="76" t="b">
        <v>0</v>
      </c>
      <c r="S77" s="82" t="b">
        <v>0</v>
      </c>
      <c r="T77" s="76">
        <v>170.0</v>
      </c>
      <c r="U77" s="79" t="s">
        <v>96</v>
      </c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>
        <v>46066.0</v>
      </c>
      <c r="B78" s="76" t="s">
        <v>545</v>
      </c>
      <c r="C78" s="77" t="s">
        <v>546</v>
      </c>
      <c r="D78" s="76" t="s">
        <v>43</v>
      </c>
      <c r="E78" s="76"/>
      <c r="F78" s="76" t="s">
        <v>8</v>
      </c>
      <c r="G78" s="76">
        <v>23.0</v>
      </c>
      <c r="H78" s="76">
        <v>23.0</v>
      </c>
      <c r="I78" s="75">
        <v>46073.0</v>
      </c>
      <c r="J78" s="78">
        <v>9.46</v>
      </c>
      <c r="K78" s="76" t="s">
        <v>101</v>
      </c>
      <c r="L78" s="79" t="b">
        <v>1</v>
      </c>
      <c r="M78" s="80">
        <f t="shared" si="1"/>
        <v>46074.46653</v>
      </c>
      <c r="N78" s="81" t="b">
        <v>1</v>
      </c>
      <c r="O78" s="80">
        <f t="shared" si="2"/>
        <v>46074.46877</v>
      </c>
      <c r="P78" s="76" t="s">
        <v>101</v>
      </c>
      <c r="Q78" s="76" t="s">
        <v>38</v>
      </c>
      <c r="R78" s="76" t="b">
        <v>0</v>
      </c>
      <c r="S78" s="82" t="b">
        <v>0</v>
      </c>
      <c r="T78" s="76">
        <v>24.0</v>
      </c>
      <c r="U78" s="79" t="s">
        <v>28</v>
      </c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>
        <v>46066.0</v>
      </c>
      <c r="B79" s="76" t="s">
        <v>547</v>
      </c>
      <c r="C79" s="77" t="s">
        <v>548</v>
      </c>
      <c r="D79" s="76" t="s">
        <v>43</v>
      </c>
      <c r="E79" s="76"/>
      <c r="F79" s="76" t="s">
        <v>8</v>
      </c>
      <c r="G79" s="76">
        <v>23.0</v>
      </c>
      <c r="H79" s="76">
        <v>23.0</v>
      </c>
      <c r="I79" s="75">
        <v>46073.0</v>
      </c>
      <c r="J79" s="78">
        <v>9.46</v>
      </c>
      <c r="K79" s="76" t="s">
        <v>101</v>
      </c>
      <c r="L79" s="79" t="b">
        <v>1</v>
      </c>
      <c r="M79" s="80">
        <f t="shared" si="1"/>
        <v>46074.46884</v>
      </c>
      <c r="N79" s="81" t="b">
        <v>1</v>
      </c>
      <c r="O79" s="80">
        <f t="shared" si="2"/>
        <v>46074.47337</v>
      </c>
      <c r="P79" s="76" t="s">
        <v>101</v>
      </c>
      <c r="Q79" s="76" t="s">
        <v>38</v>
      </c>
      <c r="R79" s="76" t="b">
        <v>0</v>
      </c>
      <c r="S79" s="82" t="b">
        <v>0</v>
      </c>
      <c r="T79" s="76">
        <v>24.0</v>
      </c>
      <c r="U79" s="79" t="s">
        <v>28</v>
      </c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>
        <v>46066.0</v>
      </c>
      <c r="B80" s="76" t="s">
        <v>549</v>
      </c>
      <c r="C80" s="77" t="s">
        <v>550</v>
      </c>
      <c r="D80" s="76" t="s">
        <v>43</v>
      </c>
      <c r="E80" s="76"/>
      <c r="F80" s="76" t="s">
        <v>8</v>
      </c>
      <c r="G80" s="76">
        <v>23.0</v>
      </c>
      <c r="H80" s="76">
        <v>23.0</v>
      </c>
      <c r="I80" s="75">
        <v>46073.0</v>
      </c>
      <c r="J80" s="78">
        <v>9.46</v>
      </c>
      <c r="K80" s="76" t="s">
        <v>101</v>
      </c>
      <c r="L80" s="79" t="b">
        <v>1</v>
      </c>
      <c r="M80" s="80">
        <f t="shared" si="1"/>
        <v>46074.47348</v>
      </c>
      <c r="N80" s="81" t="b">
        <v>1</v>
      </c>
      <c r="O80" s="80">
        <f t="shared" si="2"/>
        <v>46074.47349</v>
      </c>
      <c r="P80" s="76" t="s">
        <v>101</v>
      </c>
      <c r="Q80" s="76" t="s">
        <v>38</v>
      </c>
      <c r="R80" s="76" t="b">
        <v>0</v>
      </c>
      <c r="S80" s="82" t="b">
        <v>0</v>
      </c>
      <c r="T80" s="76">
        <v>24.0</v>
      </c>
      <c r="U80" s="79" t="s">
        <v>28</v>
      </c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>
        <v>46066.0</v>
      </c>
      <c r="B81" s="76" t="s">
        <v>551</v>
      </c>
      <c r="C81" s="77" t="s">
        <v>552</v>
      </c>
      <c r="D81" s="76" t="s">
        <v>16</v>
      </c>
      <c r="E81" s="76"/>
      <c r="F81" s="76" t="s">
        <v>8</v>
      </c>
      <c r="G81" s="76">
        <v>300.0</v>
      </c>
      <c r="H81" s="76">
        <v>15.0</v>
      </c>
      <c r="I81" s="75">
        <v>46072.0</v>
      </c>
      <c r="J81" s="78">
        <v>10.46</v>
      </c>
      <c r="K81" s="76" t="s">
        <v>101</v>
      </c>
      <c r="L81" s="79" t="b">
        <v>1</v>
      </c>
      <c r="M81" s="80">
        <f t="shared" si="1"/>
        <v>46069.70361</v>
      </c>
      <c r="N81" s="81" t="b">
        <v>1</v>
      </c>
      <c r="O81" s="80">
        <f t="shared" si="2"/>
        <v>46069.70912</v>
      </c>
      <c r="P81" s="76" t="s">
        <v>101</v>
      </c>
      <c r="Q81" s="76" t="s">
        <v>11</v>
      </c>
      <c r="R81" s="76" t="b">
        <v>0</v>
      </c>
      <c r="S81" s="82" t="b">
        <v>0</v>
      </c>
      <c r="T81" s="76">
        <v>30.0</v>
      </c>
      <c r="U81" s="79" t="s">
        <v>96</v>
      </c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>
        <v>46066.0</v>
      </c>
      <c r="B82" s="76" t="s">
        <v>553</v>
      </c>
      <c r="C82" s="77" t="s">
        <v>554</v>
      </c>
      <c r="D82" s="76" t="s">
        <v>34</v>
      </c>
      <c r="E82" s="76"/>
      <c r="F82" s="76" t="s">
        <v>8</v>
      </c>
      <c r="G82" s="76">
        <v>15.0</v>
      </c>
      <c r="H82" s="76">
        <v>15.0</v>
      </c>
      <c r="I82" s="75">
        <v>46071.0</v>
      </c>
      <c r="J82" s="78">
        <v>14.46</v>
      </c>
      <c r="K82" s="76" t="s">
        <v>101</v>
      </c>
      <c r="L82" s="79" t="b">
        <v>1</v>
      </c>
      <c r="M82" s="80">
        <f t="shared" si="1"/>
        <v>46067.43855</v>
      </c>
      <c r="N82" s="81" t="b">
        <v>1</v>
      </c>
      <c r="O82" s="80">
        <f t="shared" si="2"/>
        <v>46067.44484</v>
      </c>
      <c r="P82" s="76" t="s">
        <v>101</v>
      </c>
      <c r="Q82" s="76" t="s">
        <v>38</v>
      </c>
      <c r="R82" s="76" t="b">
        <v>0</v>
      </c>
      <c r="S82" s="82" t="b">
        <v>0</v>
      </c>
      <c r="T82" s="76">
        <v>16.0</v>
      </c>
      <c r="U82" s="79" t="s">
        <v>28</v>
      </c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>
        <v>46066.0</v>
      </c>
      <c r="B83" s="76" t="s">
        <v>555</v>
      </c>
      <c r="C83" s="77" t="s">
        <v>556</v>
      </c>
      <c r="D83" s="76" t="s">
        <v>23</v>
      </c>
      <c r="E83" s="76"/>
      <c r="F83" s="76" t="s">
        <v>8</v>
      </c>
      <c r="G83" s="76">
        <v>300.0</v>
      </c>
      <c r="H83" s="76">
        <v>150.0</v>
      </c>
      <c r="I83" s="75">
        <v>46072.0</v>
      </c>
      <c r="J83" s="78">
        <v>14.46</v>
      </c>
      <c r="K83" s="76" t="s">
        <v>101</v>
      </c>
      <c r="L83" s="79" t="b">
        <v>1</v>
      </c>
      <c r="M83" s="80">
        <f t="shared" si="1"/>
        <v>46069.43545</v>
      </c>
      <c r="N83" s="79" t="b">
        <v>1</v>
      </c>
      <c r="O83" s="80">
        <f t="shared" si="2"/>
        <v>46069.44079</v>
      </c>
      <c r="P83" s="76" t="s">
        <v>101</v>
      </c>
      <c r="Q83" s="76" t="s">
        <v>11</v>
      </c>
      <c r="R83" s="76" t="b">
        <v>0</v>
      </c>
      <c r="S83" s="82" t="b">
        <v>0</v>
      </c>
      <c r="T83" s="76">
        <v>156.0</v>
      </c>
      <c r="U83" s="79" t="s">
        <v>96</v>
      </c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>
        <v>46066.0</v>
      </c>
      <c r="B84" s="76" t="s">
        <v>557</v>
      </c>
      <c r="C84" s="77" t="s">
        <v>558</v>
      </c>
      <c r="D84" s="76" t="s">
        <v>60</v>
      </c>
      <c r="E84" s="76"/>
      <c r="F84" s="76" t="s">
        <v>27</v>
      </c>
      <c r="G84" s="76">
        <v>22.0</v>
      </c>
      <c r="H84" s="76">
        <v>3.0</v>
      </c>
      <c r="I84" s="75">
        <v>46066.0</v>
      </c>
      <c r="J84" s="78">
        <v>15.53</v>
      </c>
      <c r="K84" s="76" t="s">
        <v>101</v>
      </c>
      <c r="L84" s="79" t="b">
        <v>1</v>
      </c>
      <c r="M84" s="80">
        <f t="shared" si="1"/>
        <v>46066.66228</v>
      </c>
      <c r="N84" s="79" t="b">
        <v>1</v>
      </c>
      <c r="O84" s="80">
        <f t="shared" si="2"/>
        <v>46066.6628</v>
      </c>
      <c r="P84" s="76" t="s">
        <v>101</v>
      </c>
      <c r="Q84" s="76" t="s">
        <v>11</v>
      </c>
      <c r="R84" s="76" t="b">
        <v>0</v>
      </c>
      <c r="S84" s="82" t="b">
        <v>0</v>
      </c>
      <c r="T84" s="76">
        <v>5.0</v>
      </c>
      <c r="U84" s="79" t="s">
        <v>96</v>
      </c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>
        <v>46066.0</v>
      </c>
      <c r="B85" s="76" t="s">
        <v>559</v>
      </c>
      <c r="C85" s="77" t="s">
        <v>560</v>
      </c>
      <c r="D85" s="76" t="s">
        <v>23</v>
      </c>
      <c r="E85" s="76"/>
      <c r="F85" s="76" t="s">
        <v>8</v>
      </c>
      <c r="G85" s="76">
        <v>500.0</v>
      </c>
      <c r="H85" s="76">
        <v>125.0</v>
      </c>
      <c r="I85" s="75">
        <v>46069.0</v>
      </c>
      <c r="J85" s="78">
        <v>15.42</v>
      </c>
      <c r="K85" s="76" t="s">
        <v>101</v>
      </c>
      <c r="L85" s="79" t="b">
        <v>1</v>
      </c>
      <c r="M85" s="80">
        <f t="shared" si="1"/>
        <v>46067.59198</v>
      </c>
      <c r="N85" s="79" t="b">
        <v>1</v>
      </c>
      <c r="O85" s="80">
        <f t="shared" si="2"/>
        <v>46067.59627</v>
      </c>
      <c r="P85" s="76" t="s">
        <v>101</v>
      </c>
      <c r="Q85" s="76" t="s">
        <v>11</v>
      </c>
      <c r="R85" s="76" t="b">
        <v>0</v>
      </c>
      <c r="S85" s="82" t="b">
        <v>0</v>
      </c>
      <c r="T85" s="76">
        <v>132.0</v>
      </c>
      <c r="U85" s="79" t="s">
        <v>96</v>
      </c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>
        <v>46066.0</v>
      </c>
      <c r="B86" s="76" t="s">
        <v>561</v>
      </c>
      <c r="C86" s="77" t="s">
        <v>562</v>
      </c>
      <c r="D86" s="76" t="s">
        <v>23</v>
      </c>
      <c r="E86" s="76"/>
      <c r="F86" s="76" t="s">
        <v>8</v>
      </c>
      <c r="G86" s="76">
        <v>600.0</v>
      </c>
      <c r="H86" s="76">
        <v>300.0</v>
      </c>
      <c r="I86" s="75">
        <v>46072.0</v>
      </c>
      <c r="J86" s="78">
        <v>15.42</v>
      </c>
      <c r="K86" s="76" t="s">
        <v>101</v>
      </c>
      <c r="L86" s="79" t="b">
        <v>1</v>
      </c>
      <c r="M86" s="80">
        <f t="shared" si="1"/>
        <v>46071.38042</v>
      </c>
      <c r="N86" s="79" t="b">
        <v>1</v>
      </c>
      <c r="O86" s="80">
        <f t="shared" si="2"/>
        <v>46071.38581</v>
      </c>
      <c r="P86" s="76" t="s">
        <v>101</v>
      </c>
      <c r="Q86" s="76" t="s">
        <v>11</v>
      </c>
      <c r="R86" s="76" t="b">
        <v>0</v>
      </c>
      <c r="S86" s="82" t="b">
        <v>0</v>
      </c>
      <c r="T86" s="76">
        <v>324.0</v>
      </c>
      <c r="U86" s="79" t="s">
        <v>96</v>
      </c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>
        <v>46066.0</v>
      </c>
      <c r="B87" s="76" t="s">
        <v>563</v>
      </c>
      <c r="C87" s="77" t="s">
        <v>564</v>
      </c>
      <c r="D87" s="76" t="s">
        <v>23</v>
      </c>
      <c r="E87" s="76"/>
      <c r="F87" s="76" t="s">
        <v>8</v>
      </c>
      <c r="G87" s="76">
        <v>100.0</v>
      </c>
      <c r="H87" s="76">
        <v>100.0</v>
      </c>
      <c r="I87" s="75">
        <v>46072.0</v>
      </c>
      <c r="J87" s="78">
        <v>15.42</v>
      </c>
      <c r="K87" s="76" t="s">
        <v>101</v>
      </c>
      <c r="L87" s="79" t="b">
        <v>1</v>
      </c>
      <c r="M87" s="80">
        <f t="shared" si="1"/>
        <v>46071.38042</v>
      </c>
      <c r="N87" s="79" t="b">
        <v>1</v>
      </c>
      <c r="O87" s="80">
        <f t="shared" si="2"/>
        <v>46071.38042</v>
      </c>
      <c r="P87" s="76" t="s">
        <v>101</v>
      </c>
      <c r="Q87" s="76" t="s">
        <v>11</v>
      </c>
      <c r="R87" s="76" t="b">
        <v>0</v>
      </c>
      <c r="S87" s="82" t="b">
        <v>0</v>
      </c>
      <c r="T87" s="76">
        <v>108.0</v>
      </c>
      <c r="U87" s="79" t="s">
        <v>96</v>
      </c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>
        <v>46066.0</v>
      </c>
      <c r="B88" s="76" t="s">
        <v>565</v>
      </c>
      <c r="C88" s="77" t="s">
        <v>536</v>
      </c>
      <c r="D88" s="76" t="s">
        <v>23</v>
      </c>
      <c r="E88" s="76"/>
      <c r="F88" s="76" t="s">
        <v>18</v>
      </c>
      <c r="G88" s="76">
        <v>1500.0</v>
      </c>
      <c r="H88" s="76">
        <v>375.0</v>
      </c>
      <c r="I88" s="75">
        <v>46066.0</v>
      </c>
      <c r="J88" s="78">
        <v>16.42</v>
      </c>
      <c r="K88" s="76" t="s">
        <v>101</v>
      </c>
      <c r="L88" s="79" t="b">
        <v>1</v>
      </c>
      <c r="M88" s="80">
        <f t="shared" si="1"/>
        <v>46066.69662</v>
      </c>
      <c r="N88" s="81" t="b">
        <v>1</v>
      </c>
      <c r="O88" s="80">
        <f t="shared" si="2"/>
        <v>46066.70459</v>
      </c>
      <c r="P88" s="76" t="s">
        <v>101</v>
      </c>
      <c r="Q88" s="76" t="s">
        <v>11</v>
      </c>
      <c r="R88" s="76" t="b">
        <v>0</v>
      </c>
      <c r="S88" s="82" t="b">
        <v>0</v>
      </c>
      <c r="T88" s="76">
        <v>380.0</v>
      </c>
      <c r="U88" s="79" t="s">
        <v>96</v>
      </c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>
        <v>46067.0</v>
      </c>
      <c r="B89" s="76" t="s">
        <v>566</v>
      </c>
      <c r="C89" s="77" t="s">
        <v>567</v>
      </c>
      <c r="D89" s="76" t="s">
        <v>13</v>
      </c>
      <c r="E89" s="76"/>
      <c r="F89" s="76" t="s">
        <v>8</v>
      </c>
      <c r="G89" s="76">
        <v>1000.0</v>
      </c>
      <c r="H89" s="76">
        <v>250.0</v>
      </c>
      <c r="I89" s="75">
        <v>46071.0</v>
      </c>
      <c r="J89" s="78">
        <v>11.11</v>
      </c>
      <c r="K89" s="76" t="s">
        <v>101</v>
      </c>
      <c r="L89" s="79" t="b">
        <v>1</v>
      </c>
      <c r="M89" s="80">
        <f t="shared" si="1"/>
        <v>46069.48169</v>
      </c>
      <c r="N89" s="79" t="b">
        <v>1</v>
      </c>
      <c r="O89" s="80">
        <f t="shared" si="2"/>
        <v>46069.49141</v>
      </c>
      <c r="P89" s="76" t="s">
        <v>101</v>
      </c>
      <c r="Q89" s="76" t="s">
        <v>11</v>
      </c>
      <c r="R89" s="76" t="b">
        <v>0</v>
      </c>
      <c r="S89" s="82" t="b">
        <v>0</v>
      </c>
      <c r="T89" s="76">
        <v>256.0</v>
      </c>
      <c r="U89" s="79" t="s">
        <v>96</v>
      </c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>
        <v>46067.0</v>
      </c>
      <c r="B90" s="76" t="s">
        <v>568</v>
      </c>
      <c r="C90" s="77" t="s">
        <v>569</v>
      </c>
      <c r="D90" s="76" t="s">
        <v>23</v>
      </c>
      <c r="E90" s="76"/>
      <c r="F90" s="76" t="s">
        <v>8</v>
      </c>
      <c r="G90" s="76">
        <v>200.0</v>
      </c>
      <c r="H90" s="76">
        <v>100.0</v>
      </c>
      <c r="I90" s="75">
        <v>46073.0</v>
      </c>
      <c r="J90" s="78">
        <v>11.11</v>
      </c>
      <c r="K90" s="76" t="s">
        <v>101</v>
      </c>
      <c r="L90" s="79" t="b">
        <v>1</v>
      </c>
      <c r="M90" s="80">
        <f t="shared" si="1"/>
        <v>46069.55497</v>
      </c>
      <c r="N90" s="79" t="b">
        <v>1</v>
      </c>
      <c r="O90" s="80">
        <f t="shared" si="2"/>
        <v>46069.55961</v>
      </c>
      <c r="P90" s="76" t="s">
        <v>101</v>
      </c>
      <c r="Q90" s="76" t="s">
        <v>11</v>
      </c>
      <c r="R90" s="76" t="b">
        <v>0</v>
      </c>
      <c r="S90" s="82" t="b">
        <v>0</v>
      </c>
      <c r="T90" s="76">
        <v>108.0</v>
      </c>
      <c r="U90" s="79" t="s">
        <v>96</v>
      </c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>
        <v>46067.0</v>
      </c>
      <c r="B91" s="76" t="s">
        <v>570</v>
      </c>
      <c r="C91" s="77" t="s">
        <v>571</v>
      </c>
      <c r="D91" s="76" t="s">
        <v>23</v>
      </c>
      <c r="E91" s="76"/>
      <c r="F91" s="76" t="s">
        <v>8</v>
      </c>
      <c r="G91" s="76">
        <v>300.0</v>
      </c>
      <c r="H91" s="76">
        <v>75.0</v>
      </c>
      <c r="I91" s="75">
        <v>46069.0</v>
      </c>
      <c r="J91" s="78">
        <v>13.39</v>
      </c>
      <c r="K91" s="76" t="s">
        <v>101</v>
      </c>
      <c r="L91" s="79" t="b">
        <v>1</v>
      </c>
      <c r="M91" s="80">
        <f t="shared" si="1"/>
        <v>46067.62116</v>
      </c>
      <c r="N91" s="79" t="b">
        <v>1</v>
      </c>
      <c r="O91" s="80">
        <f t="shared" si="2"/>
        <v>46067.62462</v>
      </c>
      <c r="P91" s="76" t="s">
        <v>101</v>
      </c>
      <c r="Q91" s="76" t="s">
        <v>11</v>
      </c>
      <c r="R91" s="76" t="b">
        <v>0</v>
      </c>
      <c r="S91" s="82" t="b">
        <v>0</v>
      </c>
      <c r="T91" s="76">
        <v>80.0</v>
      </c>
      <c r="U91" s="79" t="s">
        <v>96</v>
      </c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>
        <v>46067.0</v>
      </c>
      <c r="B92" s="76" t="s">
        <v>572</v>
      </c>
      <c r="C92" s="77" t="s">
        <v>573</v>
      </c>
      <c r="D92" s="76" t="s">
        <v>23</v>
      </c>
      <c r="E92" s="76"/>
      <c r="F92" s="76" t="s">
        <v>8</v>
      </c>
      <c r="G92" s="76">
        <v>100.0</v>
      </c>
      <c r="H92" s="76">
        <v>25.0</v>
      </c>
      <c r="I92" s="75">
        <v>46073.0</v>
      </c>
      <c r="J92" s="78">
        <v>13.39</v>
      </c>
      <c r="K92" s="76" t="s">
        <v>101</v>
      </c>
      <c r="L92" s="79" t="b">
        <v>1</v>
      </c>
      <c r="M92" s="80">
        <f t="shared" si="1"/>
        <v>46067.6259</v>
      </c>
      <c r="N92" s="79" t="b">
        <v>1</v>
      </c>
      <c r="O92" s="80">
        <f t="shared" si="2"/>
        <v>46067.62749</v>
      </c>
      <c r="P92" s="76" t="s">
        <v>101</v>
      </c>
      <c r="Q92" s="76" t="s">
        <v>11</v>
      </c>
      <c r="R92" s="76" t="b">
        <v>0</v>
      </c>
      <c r="S92" s="82" t="b">
        <v>0</v>
      </c>
      <c r="T92" s="76">
        <v>28.0</v>
      </c>
      <c r="U92" s="79" t="s">
        <v>96</v>
      </c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>
        <v>46069.0</v>
      </c>
      <c r="B93" s="76" t="s">
        <v>574</v>
      </c>
      <c r="C93" s="77" t="s">
        <v>575</v>
      </c>
      <c r="D93" s="76" t="s">
        <v>31</v>
      </c>
      <c r="E93" s="76"/>
      <c r="F93" s="76" t="s">
        <v>8</v>
      </c>
      <c r="G93" s="76">
        <v>200.0</v>
      </c>
      <c r="H93" s="76">
        <v>100.0</v>
      </c>
      <c r="I93" s="75">
        <v>46072.0</v>
      </c>
      <c r="J93" s="78">
        <v>9.14</v>
      </c>
      <c r="K93" s="76" t="s">
        <v>101</v>
      </c>
      <c r="L93" s="79" t="b">
        <v>1</v>
      </c>
      <c r="M93" s="80">
        <f t="shared" si="1"/>
        <v>46069.54597</v>
      </c>
      <c r="N93" s="79" t="b">
        <v>1</v>
      </c>
      <c r="O93" s="80">
        <f t="shared" si="2"/>
        <v>46069.54997</v>
      </c>
      <c r="P93" s="76" t="s">
        <v>101</v>
      </c>
      <c r="Q93" s="76" t="s">
        <v>11</v>
      </c>
      <c r="R93" s="76" t="b">
        <v>0</v>
      </c>
      <c r="S93" s="82" t="b">
        <v>0</v>
      </c>
      <c r="T93" s="76">
        <v>108.0</v>
      </c>
      <c r="U93" s="79" t="s">
        <v>96</v>
      </c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>
        <v>46069.0</v>
      </c>
      <c r="B94" s="76" t="s">
        <v>576</v>
      </c>
      <c r="C94" s="77" t="s">
        <v>577</v>
      </c>
      <c r="D94" s="76" t="s">
        <v>23</v>
      </c>
      <c r="E94" s="76"/>
      <c r="F94" s="76" t="s">
        <v>8</v>
      </c>
      <c r="G94" s="76">
        <v>100.0</v>
      </c>
      <c r="H94" s="76">
        <v>25.0</v>
      </c>
      <c r="I94" s="75">
        <v>46072.0</v>
      </c>
      <c r="J94" s="78">
        <v>10.45</v>
      </c>
      <c r="K94" s="76" t="s">
        <v>101</v>
      </c>
      <c r="L94" s="79" t="b">
        <v>1</v>
      </c>
      <c r="M94" s="80">
        <f t="shared" si="1"/>
        <v>46069.5523</v>
      </c>
      <c r="N94" s="79" t="b">
        <v>1</v>
      </c>
      <c r="O94" s="80">
        <f t="shared" si="2"/>
        <v>46069.55388</v>
      </c>
      <c r="P94" s="76" t="s">
        <v>101</v>
      </c>
      <c r="Q94" s="76" t="s">
        <v>11</v>
      </c>
      <c r="R94" s="76" t="b">
        <v>0</v>
      </c>
      <c r="S94" s="82" t="b">
        <v>0</v>
      </c>
      <c r="T94" s="76">
        <v>30.0</v>
      </c>
      <c r="U94" s="79" t="s">
        <v>96</v>
      </c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>
        <v>46069.0</v>
      </c>
      <c r="B95" s="76" t="s">
        <v>578</v>
      </c>
      <c r="C95" s="77" t="s">
        <v>579</v>
      </c>
      <c r="D95" s="76" t="s">
        <v>23</v>
      </c>
      <c r="E95" s="76"/>
      <c r="F95" s="76" t="s">
        <v>18</v>
      </c>
      <c r="G95" s="76">
        <v>1000.0</v>
      </c>
      <c r="H95" s="76">
        <v>250.0</v>
      </c>
      <c r="I95" s="75">
        <v>46069.0</v>
      </c>
      <c r="J95" s="78">
        <v>10.56</v>
      </c>
      <c r="K95" s="76" t="s">
        <v>101</v>
      </c>
      <c r="L95" s="79" t="b">
        <v>1</v>
      </c>
      <c r="M95" s="80">
        <f t="shared" si="1"/>
        <v>46069.4582</v>
      </c>
      <c r="N95" s="79" t="b">
        <v>1</v>
      </c>
      <c r="O95" s="80">
        <f t="shared" si="2"/>
        <v>46069.4619</v>
      </c>
      <c r="P95" s="76" t="s">
        <v>101</v>
      </c>
      <c r="Q95" s="76" t="s">
        <v>11</v>
      </c>
      <c r="R95" s="76" t="b">
        <v>0</v>
      </c>
      <c r="S95" s="82" t="b">
        <v>0</v>
      </c>
      <c r="T95" s="76">
        <v>256.0</v>
      </c>
      <c r="U95" s="79" t="s">
        <v>96</v>
      </c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>
        <v>46069.0</v>
      </c>
      <c r="B96" s="76" t="s">
        <v>580</v>
      </c>
      <c r="C96" s="77" t="s">
        <v>581</v>
      </c>
      <c r="D96" s="76" t="s">
        <v>49</v>
      </c>
      <c r="E96" s="76"/>
      <c r="F96" s="76" t="s">
        <v>8</v>
      </c>
      <c r="G96" s="76">
        <v>100.0</v>
      </c>
      <c r="H96" s="76">
        <v>50.0</v>
      </c>
      <c r="I96" s="75">
        <v>46076.0</v>
      </c>
      <c r="J96" s="78">
        <v>13.32</v>
      </c>
      <c r="K96" s="76" t="s">
        <v>101</v>
      </c>
      <c r="L96" s="79" t="b">
        <v>1</v>
      </c>
      <c r="M96" s="80">
        <f t="shared" si="1"/>
        <v>46069.67023</v>
      </c>
      <c r="N96" s="79" t="b">
        <v>1</v>
      </c>
      <c r="O96" s="80">
        <f t="shared" si="2"/>
        <v>46069.67196</v>
      </c>
      <c r="P96" s="76" t="s">
        <v>101</v>
      </c>
      <c r="Q96" s="76" t="s">
        <v>11</v>
      </c>
      <c r="R96" s="76" t="b">
        <v>1</v>
      </c>
      <c r="S96" s="82" t="b">
        <v>0</v>
      </c>
      <c r="T96" s="76">
        <v>60.0</v>
      </c>
      <c r="U96" s="79" t="s">
        <v>19</v>
      </c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>
        <v>46069.0</v>
      </c>
      <c r="B97" s="76" t="s">
        <v>582</v>
      </c>
      <c r="C97" s="77" t="s">
        <v>583</v>
      </c>
      <c r="D97" s="76" t="s">
        <v>49</v>
      </c>
      <c r="E97" s="76"/>
      <c r="F97" s="76" t="s">
        <v>8</v>
      </c>
      <c r="G97" s="76">
        <v>100.0</v>
      </c>
      <c r="H97" s="76">
        <v>50.0</v>
      </c>
      <c r="I97" s="75">
        <v>46076.0</v>
      </c>
      <c r="J97" s="78">
        <v>13.32</v>
      </c>
      <c r="K97" s="76" t="s">
        <v>101</v>
      </c>
      <c r="L97" s="79" t="b">
        <v>1</v>
      </c>
      <c r="M97" s="80">
        <f t="shared" si="1"/>
        <v>46069.67299</v>
      </c>
      <c r="N97" s="79" t="b">
        <v>1</v>
      </c>
      <c r="O97" s="80">
        <f t="shared" si="2"/>
        <v>46069.67499</v>
      </c>
      <c r="P97" s="76" t="s">
        <v>101</v>
      </c>
      <c r="Q97" s="76" t="s">
        <v>11</v>
      </c>
      <c r="R97" s="76" t="b">
        <v>1</v>
      </c>
      <c r="S97" s="82" t="b">
        <v>0</v>
      </c>
      <c r="T97" s="76">
        <v>60.0</v>
      </c>
      <c r="U97" s="79" t="s">
        <v>19</v>
      </c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>
        <v>46071.0</v>
      </c>
      <c r="B98" s="76" t="s">
        <v>584</v>
      </c>
      <c r="C98" s="77" t="s">
        <v>585</v>
      </c>
      <c r="D98" s="76" t="s">
        <v>23</v>
      </c>
      <c r="E98" s="76"/>
      <c r="F98" s="76" t="s">
        <v>18</v>
      </c>
      <c r="G98" s="76">
        <v>2500.0</v>
      </c>
      <c r="H98" s="76">
        <v>625.0</v>
      </c>
      <c r="I98" s="75">
        <v>46071.0</v>
      </c>
      <c r="J98" s="78">
        <v>10.22</v>
      </c>
      <c r="K98" s="76" t="s">
        <v>101</v>
      </c>
      <c r="L98" s="79" t="b">
        <v>1</v>
      </c>
      <c r="M98" s="80">
        <f t="shared" si="1"/>
        <v>46071.48635</v>
      </c>
      <c r="N98" s="79" t="b">
        <v>1</v>
      </c>
      <c r="O98" s="80">
        <f t="shared" si="2"/>
        <v>46071.51068</v>
      </c>
      <c r="P98" s="76" t="s">
        <v>101</v>
      </c>
      <c r="Q98" s="76" t="s">
        <v>11</v>
      </c>
      <c r="R98" s="76" t="b">
        <v>0</v>
      </c>
      <c r="S98" s="82" t="b">
        <v>0</v>
      </c>
      <c r="T98" s="76">
        <v>630.0</v>
      </c>
      <c r="U98" s="79" t="s">
        <v>96</v>
      </c>
      <c r="V98" s="83" t="s">
        <v>160</v>
      </c>
      <c r="W98" s="74"/>
      <c r="X98" s="74"/>
      <c r="Y98" s="74"/>
      <c r="Z98" s="74"/>
      <c r="AA98" s="74"/>
      <c r="AB98" s="74"/>
      <c r="AC98" s="74"/>
      <c r="AD98" s="74"/>
    </row>
    <row r="99">
      <c r="A99" s="75">
        <v>46071.0</v>
      </c>
      <c r="B99" s="76" t="s">
        <v>586</v>
      </c>
      <c r="C99" s="77" t="s">
        <v>587</v>
      </c>
      <c r="D99" s="76" t="s">
        <v>57</v>
      </c>
      <c r="E99" s="76"/>
      <c r="F99" s="76" t="s">
        <v>18</v>
      </c>
      <c r="G99" s="76">
        <v>12.0</v>
      </c>
      <c r="H99" s="76">
        <v>250.0</v>
      </c>
      <c r="I99" s="75">
        <v>46072.0</v>
      </c>
      <c r="J99" s="78">
        <v>10.22</v>
      </c>
      <c r="K99" s="76" t="s">
        <v>101</v>
      </c>
      <c r="L99" s="79" t="b">
        <v>1</v>
      </c>
      <c r="M99" s="80">
        <f t="shared" si="1"/>
        <v>46071.59999</v>
      </c>
      <c r="N99" s="79" t="b">
        <v>1</v>
      </c>
      <c r="O99" s="80">
        <f t="shared" si="2"/>
        <v>46071.64066</v>
      </c>
      <c r="P99" s="76" t="s">
        <v>101</v>
      </c>
      <c r="Q99" s="76" t="s">
        <v>38</v>
      </c>
      <c r="R99" s="76" t="b">
        <v>0</v>
      </c>
      <c r="S99" s="82" t="b">
        <v>0</v>
      </c>
      <c r="T99" s="76">
        <v>251.0</v>
      </c>
      <c r="U99" s="79" t="s">
        <v>28</v>
      </c>
      <c r="V99" s="83" t="s">
        <v>588</v>
      </c>
      <c r="W99" s="74"/>
      <c r="X99" s="74"/>
      <c r="Y99" s="74"/>
      <c r="Z99" s="74"/>
      <c r="AA99" s="74"/>
      <c r="AB99" s="74"/>
      <c r="AC99" s="74"/>
      <c r="AD99" s="74"/>
    </row>
    <row r="100">
      <c r="A100" s="75">
        <v>46071.0</v>
      </c>
      <c r="B100" s="76" t="s">
        <v>589</v>
      </c>
      <c r="C100" s="77" t="s">
        <v>590</v>
      </c>
      <c r="D100" s="76" t="s">
        <v>43</v>
      </c>
      <c r="E100" s="76"/>
      <c r="F100" s="76" t="s">
        <v>8</v>
      </c>
      <c r="G100" s="76">
        <v>400.0</v>
      </c>
      <c r="H100" s="76">
        <v>8.0</v>
      </c>
      <c r="I100" s="75">
        <v>46074.0</v>
      </c>
      <c r="J100" s="78">
        <v>10.22</v>
      </c>
      <c r="K100" s="76" t="s">
        <v>101</v>
      </c>
      <c r="L100" s="79" t="b">
        <v>1</v>
      </c>
      <c r="M100" s="80">
        <f t="shared" si="1"/>
        <v>46074.4336</v>
      </c>
      <c r="N100" s="79" t="b">
        <v>1</v>
      </c>
      <c r="O100" s="80">
        <f t="shared" si="2"/>
        <v>46074.43606</v>
      </c>
      <c r="P100" s="76" t="s">
        <v>101</v>
      </c>
      <c r="Q100" s="76" t="s">
        <v>38</v>
      </c>
      <c r="R100" s="76" t="b">
        <v>0</v>
      </c>
      <c r="S100" s="82" t="b">
        <v>0</v>
      </c>
      <c r="T100" s="76">
        <v>9.0</v>
      </c>
      <c r="U100" s="79" t="s">
        <v>28</v>
      </c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>
        <v>46071.0</v>
      </c>
      <c r="B101" s="76" t="s">
        <v>591</v>
      </c>
      <c r="C101" s="77" t="s">
        <v>592</v>
      </c>
      <c r="D101" s="76" t="s">
        <v>23</v>
      </c>
      <c r="E101" s="76"/>
      <c r="F101" s="76" t="s">
        <v>8</v>
      </c>
      <c r="G101" s="76">
        <v>100.0</v>
      </c>
      <c r="H101" s="76">
        <v>25.0</v>
      </c>
      <c r="I101" s="75">
        <v>46074.0</v>
      </c>
      <c r="J101" s="78">
        <v>13.12</v>
      </c>
      <c r="K101" s="76" t="s">
        <v>101</v>
      </c>
      <c r="L101" s="79" t="b">
        <v>1</v>
      </c>
      <c r="M101" s="80">
        <f t="shared" si="1"/>
        <v>46071.64878</v>
      </c>
      <c r="N101" s="79" t="b">
        <v>1</v>
      </c>
      <c r="O101" s="80">
        <f t="shared" si="2"/>
        <v>46071.65009</v>
      </c>
      <c r="P101" s="76" t="s">
        <v>101</v>
      </c>
      <c r="Q101" s="76" t="s">
        <v>11</v>
      </c>
      <c r="R101" s="76" t="b">
        <v>0</v>
      </c>
      <c r="S101" s="82" t="b">
        <v>0</v>
      </c>
      <c r="T101" s="76">
        <v>28.0</v>
      </c>
      <c r="U101" s="79" t="s">
        <v>96</v>
      </c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>
        <v>46071.0</v>
      </c>
      <c r="B102" s="76" t="s">
        <v>593</v>
      </c>
      <c r="C102" s="77" t="s">
        <v>594</v>
      </c>
      <c r="D102" s="76" t="s">
        <v>23</v>
      </c>
      <c r="E102" s="76"/>
      <c r="F102" s="76" t="s">
        <v>18</v>
      </c>
      <c r="G102" s="76">
        <v>250.0</v>
      </c>
      <c r="H102" s="76">
        <v>63.0</v>
      </c>
      <c r="I102" s="75">
        <v>46072.0</v>
      </c>
      <c r="J102" s="78">
        <v>14.01</v>
      </c>
      <c r="K102" s="76" t="s">
        <v>101</v>
      </c>
      <c r="L102" s="79" t="b">
        <v>1</v>
      </c>
      <c r="M102" s="80">
        <f t="shared" si="1"/>
        <v>46071.64362</v>
      </c>
      <c r="N102" s="79" t="b">
        <v>1</v>
      </c>
      <c r="O102" s="80">
        <f t="shared" si="2"/>
        <v>46071.64713</v>
      </c>
      <c r="P102" s="76" t="s">
        <v>101</v>
      </c>
      <c r="Q102" s="76" t="s">
        <v>11</v>
      </c>
      <c r="R102" s="76" t="b">
        <v>0</v>
      </c>
      <c r="S102" s="82" t="b">
        <v>0</v>
      </c>
      <c r="T102" s="76">
        <v>68.0</v>
      </c>
      <c r="U102" s="79" t="s">
        <v>96</v>
      </c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>
        <v>46071.0</v>
      </c>
      <c r="B103" s="76" t="s">
        <v>595</v>
      </c>
      <c r="C103" s="77" t="s">
        <v>596</v>
      </c>
      <c r="D103" s="76" t="s">
        <v>23</v>
      </c>
      <c r="E103" s="76"/>
      <c r="F103" s="76" t="s">
        <v>18</v>
      </c>
      <c r="G103" s="76">
        <v>250.0</v>
      </c>
      <c r="H103" s="76">
        <v>63.0</v>
      </c>
      <c r="I103" s="75">
        <v>46072.0</v>
      </c>
      <c r="J103" s="78">
        <v>14.01</v>
      </c>
      <c r="K103" s="76" t="s">
        <v>101</v>
      </c>
      <c r="L103" s="79" t="b">
        <v>1</v>
      </c>
      <c r="M103" s="80">
        <f t="shared" si="1"/>
        <v>46071.64712</v>
      </c>
      <c r="N103" s="79" t="b">
        <v>1</v>
      </c>
      <c r="O103" s="80">
        <f t="shared" si="2"/>
        <v>46071.64838</v>
      </c>
      <c r="P103" s="76" t="s">
        <v>101</v>
      </c>
      <c r="Q103" s="76" t="s">
        <v>11</v>
      </c>
      <c r="R103" s="76" t="b">
        <v>0</v>
      </c>
      <c r="S103" s="82" t="b">
        <v>0</v>
      </c>
      <c r="T103" s="76">
        <v>68.0</v>
      </c>
      <c r="U103" s="79" t="s">
        <v>96</v>
      </c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>
        <v>46071.0</v>
      </c>
      <c r="B104" s="76" t="s">
        <v>597</v>
      </c>
      <c r="C104" s="77" t="s">
        <v>598</v>
      </c>
      <c r="D104" s="76" t="s">
        <v>43</v>
      </c>
      <c r="E104" s="76"/>
      <c r="F104" s="76" t="s">
        <v>8</v>
      </c>
      <c r="G104" s="76">
        <v>500.0</v>
      </c>
      <c r="H104" s="76">
        <v>250.0</v>
      </c>
      <c r="I104" s="75">
        <v>46074.0</v>
      </c>
      <c r="J104" s="78">
        <v>15.51</v>
      </c>
      <c r="K104" s="76" t="s">
        <v>1</v>
      </c>
      <c r="L104" s="79" t="b">
        <v>1</v>
      </c>
      <c r="M104" s="80">
        <f t="shared" si="1"/>
        <v>46074.43911</v>
      </c>
      <c r="N104" s="79" t="b">
        <v>1</v>
      </c>
      <c r="O104" s="80">
        <f t="shared" si="2"/>
        <v>46074.46121</v>
      </c>
      <c r="P104" s="76" t="s">
        <v>101</v>
      </c>
      <c r="Q104" s="76" t="s">
        <v>38</v>
      </c>
      <c r="R104" s="76" t="b">
        <v>1</v>
      </c>
      <c r="S104" s="82" t="b">
        <v>0</v>
      </c>
      <c r="T104" s="76">
        <v>251.0</v>
      </c>
      <c r="U104" s="79" t="s">
        <v>28</v>
      </c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>
        <v>46071.0</v>
      </c>
      <c r="B105" s="76" t="s">
        <v>599</v>
      </c>
      <c r="C105" s="77" t="s">
        <v>600</v>
      </c>
      <c r="D105" s="76" t="s">
        <v>31</v>
      </c>
      <c r="E105" s="76"/>
      <c r="F105" s="76" t="s">
        <v>18</v>
      </c>
      <c r="G105" s="76">
        <v>1000.0</v>
      </c>
      <c r="H105" s="76">
        <v>500.0</v>
      </c>
      <c r="I105" s="75">
        <v>46072.0</v>
      </c>
      <c r="J105" s="78">
        <v>17.12</v>
      </c>
      <c r="K105" s="76" t="s">
        <v>101</v>
      </c>
      <c r="L105" s="79" t="b">
        <v>1</v>
      </c>
      <c r="M105" s="80">
        <f t="shared" si="1"/>
        <v>46072.39348</v>
      </c>
      <c r="N105" s="79" t="b">
        <v>1</v>
      </c>
      <c r="O105" s="80">
        <f t="shared" si="2"/>
        <v>46072.40652</v>
      </c>
      <c r="P105" s="76" t="s">
        <v>101</v>
      </c>
      <c r="Q105" s="76" t="s">
        <v>11</v>
      </c>
      <c r="R105" s="76" t="b">
        <v>0</v>
      </c>
      <c r="S105" s="82" t="b">
        <v>0</v>
      </c>
      <c r="T105" s="76">
        <v>508.0</v>
      </c>
      <c r="U105" s="79" t="s">
        <v>96</v>
      </c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>
        <v>46072.0</v>
      </c>
      <c r="B106" s="76" t="s">
        <v>601</v>
      </c>
      <c r="C106" s="77" t="s">
        <v>602</v>
      </c>
      <c r="D106" s="76" t="s">
        <v>23</v>
      </c>
      <c r="E106" s="76"/>
      <c r="F106" s="76" t="s">
        <v>8</v>
      </c>
      <c r="G106" s="76">
        <v>100.0</v>
      </c>
      <c r="H106" s="76">
        <v>25.0</v>
      </c>
      <c r="I106" s="75">
        <v>46074.0</v>
      </c>
      <c r="J106" s="78">
        <v>11.06</v>
      </c>
      <c r="K106" s="76" t="s">
        <v>101</v>
      </c>
      <c r="L106" s="79" t="b">
        <v>1</v>
      </c>
      <c r="M106" s="80">
        <f t="shared" si="1"/>
        <v>46072.59163</v>
      </c>
      <c r="N106" s="79" t="b">
        <v>1</v>
      </c>
      <c r="O106" s="80">
        <f t="shared" si="2"/>
        <v>46072.59543</v>
      </c>
      <c r="P106" s="76" t="s">
        <v>101</v>
      </c>
      <c r="Q106" s="76" t="s">
        <v>11</v>
      </c>
      <c r="R106" s="76" t="b">
        <v>0</v>
      </c>
      <c r="S106" s="82" t="b">
        <v>0</v>
      </c>
      <c r="T106" s="76">
        <v>30.0</v>
      </c>
      <c r="U106" s="79" t="s">
        <v>96</v>
      </c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>
        <v>46072.0</v>
      </c>
      <c r="B107" s="76" t="s">
        <v>603</v>
      </c>
      <c r="C107" s="77" t="s">
        <v>604</v>
      </c>
      <c r="D107" s="76" t="s">
        <v>43</v>
      </c>
      <c r="E107" s="76"/>
      <c r="F107" s="76" t="s">
        <v>8</v>
      </c>
      <c r="G107" s="76">
        <v>500.0</v>
      </c>
      <c r="H107" s="76">
        <v>32.0</v>
      </c>
      <c r="I107" s="75">
        <v>46074.0</v>
      </c>
      <c r="J107" s="78">
        <v>11.06</v>
      </c>
      <c r="K107" s="76" t="s">
        <v>101</v>
      </c>
      <c r="L107" s="79" t="b">
        <v>1</v>
      </c>
      <c r="M107" s="80">
        <f t="shared" si="1"/>
        <v>46074.49904</v>
      </c>
      <c r="N107" s="79" t="b">
        <v>1</v>
      </c>
      <c r="O107" s="80">
        <f t="shared" si="2"/>
        <v>46074.50212</v>
      </c>
      <c r="P107" s="76" t="s">
        <v>101</v>
      </c>
      <c r="Q107" s="76" t="s">
        <v>38</v>
      </c>
      <c r="R107" s="76" t="b">
        <v>0</v>
      </c>
      <c r="S107" s="82" t="b">
        <v>0</v>
      </c>
      <c r="T107" s="76">
        <v>33.0</v>
      </c>
      <c r="U107" s="79" t="s">
        <v>28</v>
      </c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>
        <v>46072.0</v>
      </c>
      <c r="B108" s="76" t="s">
        <v>605</v>
      </c>
      <c r="C108" s="77" t="s">
        <v>606</v>
      </c>
      <c r="D108" s="76" t="s">
        <v>23</v>
      </c>
      <c r="E108" s="76"/>
      <c r="F108" s="76" t="s">
        <v>8</v>
      </c>
      <c r="G108" s="76">
        <v>300.0</v>
      </c>
      <c r="H108" s="76">
        <v>150.0</v>
      </c>
      <c r="I108" s="75">
        <v>46077.0</v>
      </c>
      <c r="J108" s="78">
        <v>13.24</v>
      </c>
      <c r="K108" s="76" t="s">
        <v>101</v>
      </c>
      <c r="L108" s="79" t="b">
        <v>1</v>
      </c>
      <c r="M108" s="80">
        <f t="shared" si="1"/>
        <v>46072.58549</v>
      </c>
      <c r="N108" s="79" t="b">
        <v>1</v>
      </c>
      <c r="O108" s="80">
        <f t="shared" si="2"/>
        <v>46072.58931</v>
      </c>
      <c r="P108" s="76" t="s">
        <v>101</v>
      </c>
      <c r="Q108" s="76" t="s">
        <v>11</v>
      </c>
      <c r="R108" s="76" t="b">
        <v>0</v>
      </c>
      <c r="S108" s="82" t="b">
        <v>0</v>
      </c>
      <c r="T108" s="76">
        <v>160.0</v>
      </c>
      <c r="U108" s="79" t="s">
        <v>96</v>
      </c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>
        <v>46073.0</v>
      </c>
      <c r="B109" s="76" t="s">
        <v>607</v>
      </c>
      <c r="C109" s="77" t="s">
        <v>608</v>
      </c>
      <c r="D109" s="76" t="s">
        <v>23</v>
      </c>
      <c r="E109" s="76"/>
      <c r="F109" s="76" t="s">
        <v>8</v>
      </c>
      <c r="G109" s="76">
        <v>100.0</v>
      </c>
      <c r="H109" s="76">
        <v>25.0</v>
      </c>
      <c r="I109" s="75">
        <v>46078.0</v>
      </c>
      <c r="J109" s="78">
        <v>11.29</v>
      </c>
      <c r="K109" s="76" t="s">
        <v>101</v>
      </c>
      <c r="L109" s="79" t="b">
        <v>1</v>
      </c>
      <c r="M109" s="80">
        <f t="shared" si="1"/>
        <v>46074.43431</v>
      </c>
      <c r="N109" s="79" t="b">
        <v>1</v>
      </c>
      <c r="O109" s="80">
        <f t="shared" si="2"/>
        <v>46074.43748</v>
      </c>
      <c r="P109" s="76" t="s">
        <v>101</v>
      </c>
      <c r="Q109" s="76" t="s">
        <v>11</v>
      </c>
      <c r="R109" s="76" t="b">
        <v>0</v>
      </c>
      <c r="S109" s="82" t="b">
        <v>0</v>
      </c>
      <c r="T109" s="76">
        <v>28.0</v>
      </c>
      <c r="U109" s="79" t="s">
        <v>96</v>
      </c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>
        <v>46073.0</v>
      </c>
      <c r="B110" s="76" t="s">
        <v>609</v>
      </c>
      <c r="C110" s="77" t="s">
        <v>610</v>
      </c>
      <c r="D110" s="76" t="s">
        <v>23</v>
      </c>
      <c r="E110" s="76"/>
      <c r="F110" s="76" t="s">
        <v>8</v>
      </c>
      <c r="G110" s="76">
        <v>500.0</v>
      </c>
      <c r="H110" s="76">
        <v>125.0</v>
      </c>
      <c r="I110" s="75">
        <v>46078.0</v>
      </c>
      <c r="J110" s="78">
        <v>14.14</v>
      </c>
      <c r="K110" s="76" t="s">
        <v>101</v>
      </c>
      <c r="L110" s="79" t="b">
        <v>1</v>
      </c>
      <c r="M110" s="80">
        <f t="shared" si="1"/>
        <v>46074.5858</v>
      </c>
      <c r="N110" s="79" t="b">
        <v>1</v>
      </c>
      <c r="O110" s="80">
        <f t="shared" si="2"/>
        <v>46074.5898</v>
      </c>
      <c r="P110" s="76" t="s">
        <v>101</v>
      </c>
      <c r="Q110" s="76" t="s">
        <v>11</v>
      </c>
      <c r="R110" s="76" t="b">
        <v>0</v>
      </c>
      <c r="S110" s="82" t="b">
        <v>0</v>
      </c>
      <c r="T110" s="76">
        <v>130.0</v>
      </c>
      <c r="U110" s="79" t="s">
        <v>96</v>
      </c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>
        <v>46073.0</v>
      </c>
      <c r="B111" s="76" t="s">
        <v>611</v>
      </c>
      <c r="C111" s="77" t="s">
        <v>612</v>
      </c>
      <c r="D111" s="76" t="s">
        <v>43</v>
      </c>
      <c r="E111" s="76"/>
      <c r="F111" s="76" t="s">
        <v>8</v>
      </c>
      <c r="G111" s="76">
        <v>6.0</v>
      </c>
      <c r="H111" s="76">
        <v>6.0</v>
      </c>
      <c r="I111" s="75">
        <v>46077.0</v>
      </c>
      <c r="J111" s="78">
        <v>14.14</v>
      </c>
      <c r="K111" s="76" t="s">
        <v>101</v>
      </c>
      <c r="L111" s="79" t="b">
        <v>1</v>
      </c>
      <c r="M111" s="80">
        <f t="shared" si="1"/>
        <v>46074.48358</v>
      </c>
      <c r="N111" s="79" t="b">
        <v>1</v>
      </c>
      <c r="O111" s="80">
        <f t="shared" si="2"/>
        <v>46074.48467</v>
      </c>
      <c r="P111" s="76" t="s">
        <v>101</v>
      </c>
      <c r="Q111" s="76" t="s">
        <v>38</v>
      </c>
      <c r="R111" s="76" t="b">
        <v>0</v>
      </c>
      <c r="S111" s="82" t="b">
        <v>0</v>
      </c>
      <c r="T111" s="76">
        <v>7.0</v>
      </c>
      <c r="U111" s="79" t="s">
        <v>28</v>
      </c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>
        <v>46073.0</v>
      </c>
      <c r="B112" s="76" t="s">
        <v>613</v>
      </c>
      <c r="C112" s="77" t="s">
        <v>614</v>
      </c>
      <c r="D112" s="76" t="s">
        <v>23</v>
      </c>
      <c r="E112" s="76"/>
      <c r="F112" s="76" t="s">
        <v>8</v>
      </c>
      <c r="G112" s="76">
        <v>100.0</v>
      </c>
      <c r="H112" s="76">
        <v>25.0</v>
      </c>
      <c r="I112" s="75">
        <v>46078.0</v>
      </c>
      <c r="J112" s="78">
        <v>14.28</v>
      </c>
      <c r="K112" s="76" t="s">
        <v>101</v>
      </c>
      <c r="L112" s="79" t="b">
        <v>1</v>
      </c>
      <c r="M112" s="80">
        <f t="shared" si="1"/>
        <v>46074.43128</v>
      </c>
      <c r="N112" s="79" t="b">
        <v>1</v>
      </c>
      <c r="O112" s="80">
        <f t="shared" si="2"/>
        <v>46074.4342</v>
      </c>
      <c r="P112" s="76" t="s">
        <v>101</v>
      </c>
      <c r="Q112" s="76" t="s">
        <v>11</v>
      </c>
      <c r="R112" s="76" t="b">
        <v>0</v>
      </c>
      <c r="S112" s="82" t="b">
        <v>0</v>
      </c>
      <c r="T112" s="76">
        <v>28.0</v>
      </c>
      <c r="U112" s="79" t="s">
        <v>96</v>
      </c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>
        <v>46073.0</v>
      </c>
      <c r="B113" s="76" t="s">
        <v>615</v>
      </c>
      <c r="C113" s="77" t="s">
        <v>616</v>
      </c>
      <c r="D113" s="76" t="s">
        <v>31</v>
      </c>
      <c r="E113" s="76"/>
      <c r="F113" s="76" t="s">
        <v>8</v>
      </c>
      <c r="G113" s="76">
        <v>2000.0</v>
      </c>
      <c r="H113" s="76">
        <v>167.0</v>
      </c>
      <c r="I113" s="75">
        <v>46079.0</v>
      </c>
      <c r="J113" s="78">
        <v>15.54</v>
      </c>
      <c r="K113" s="76" t="s">
        <v>101</v>
      </c>
      <c r="L113" s="79" t="b">
        <v>1</v>
      </c>
      <c r="M113" s="80">
        <f t="shared" si="1"/>
        <v>46074.59732</v>
      </c>
      <c r="N113" s="79" t="b">
        <v>1</v>
      </c>
      <c r="O113" s="80">
        <f t="shared" si="2"/>
        <v>46074.60243</v>
      </c>
      <c r="P113" s="76" t="s">
        <v>101</v>
      </c>
      <c r="Q113" s="76" t="s">
        <v>11</v>
      </c>
      <c r="R113" s="76" t="b">
        <v>0</v>
      </c>
      <c r="S113" s="82" t="b">
        <v>0</v>
      </c>
      <c r="T113" s="76">
        <v>172.0</v>
      </c>
      <c r="U113" s="79" t="s">
        <v>96</v>
      </c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>
        <v>46073.0</v>
      </c>
      <c r="B114" s="91" t="s">
        <v>617</v>
      </c>
      <c r="C114" s="92" t="s">
        <v>618</v>
      </c>
      <c r="D114" s="93" t="s">
        <v>34</v>
      </c>
      <c r="E114" s="94"/>
      <c r="F114" s="93" t="s">
        <v>8</v>
      </c>
      <c r="G114" s="91">
        <v>15.0</v>
      </c>
      <c r="H114" s="91">
        <v>15.0</v>
      </c>
      <c r="I114" s="75">
        <v>46077.0</v>
      </c>
      <c r="J114" s="78">
        <v>15.54</v>
      </c>
      <c r="K114" s="76" t="s">
        <v>101</v>
      </c>
      <c r="L114" s="79" t="b">
        <v>1</v>
      </c>
      <c r="M114" s="80">
        <f t="shared" si="1"/>
        <v>46074.60608</v>
      </c>
      <c r="N114" s="79" t="b">
        <v>1</v>
      </c>
      <c r="O114" s="80">
        <f t="shared" si="2"/>
        <v>46074.61114</v>
      </c>
      <c r="P114" s="76" t="s">
        <v>101</v>
      </c>
      <c r="Q114" s="76" t="s">
        <v>38</v>
      </c>
      <c r="R114" s="76" t="b">
        <v>0</v>
      </c>
      <c r="S114" s="82" t="b">
        <v>0</v>
      </c>
      <c r="T114" s="76">
        <v>16.0</v>
      </c>
      <c r="U114" s="79" t="s">
        <v>28</v>
      </c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>
        <v>46073.0</v>
      </c>
      <c r="B115" s="76" t="s">
        <v>619</v>
      </c>
      <c r="C115" s="77" t="s">
        <v>620</v>
      </c>
      <c r="D115" s="76" t="s">
        <v>16</v>
      </c>
      <c r="E115" s="76"/>
      <c r="F115" s="76" t="s">
        <v>8</v>
      </c>
      <c r="G115" s="76">
        <v>200.0</v>
      </c>
      <c r="H115" s="76">
        <v>10.0</v>
      </c>
      <c r="I115" s="75">
        <v>46078.0</v>
      </c>
      <c r="J115" s="78">
        <v>15.54</v>
      </c>
      <c r="K115" s="76" t="s">
        <v>101</v>
      </c>
      <c r="L115" s="79" t="b">
        <v>1</v>
      </c>
      <c r="M115" s="80">
        <f t="shared" si="1"/>
        <v>46074.71927</v>
      </c>
      <c r="N115" s="79" t="b">
        <v>1</v>
      </c>
      <c r="O115" s="80">
        <f t="shared" si="2"/>
        <v>46074.72301</v>
      </c>
      <c r="P115" s="76" t="s">
        <v>101</v>
      </c>
      <c r="Q115" s="76" t="s">
        <v>11</v>
      </c>
      <c r="R115" s="76" t="b">
        <v>0</v>
      </c>
      <c r="S115" s="82" t="b">
        <v>0</v>
      </c>
      <c r="T115" s="76">
        <v>20.0</v>
      </c>
      <c r="U115" s="79" t="s">
        <v>96</v>
      </c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>
        <v>46074.0</v>
      </c>
      <c r="B116" s="76" t="s">
        <v>621</v>
      </c>
      <c r="C116" s="77" t="s">
        <v>622</v>
      </c>
      <c r="D116" s="76" t="s">
        <v>60</v>
      </c>
      <c r="E116" s="76"/>
      <c r="F116" s="76" t="s">
        <v>8</v>
      </c>
      <c r="G116" s="76">
        <v>100.0</v>
      </c>
      <c r="H116" s="76">
        <v>5.0</v>
      </c>
      <c r="I116" s="75">
        <v>46076.0</v>
      </c>
      <c r="J116" s="78">
        <v>8.47</v>
      </c>
      <c r="K116" s="76" t="s">
        <v>101</v>
      </c>
      <c r="L116" s="79" t="b">
        <v>1</v>
      </c>
      <c r="M116" s="80">
        <f t="shared" si="1"/>
        <v>46074.59274</v>
      </c>
      <c r="N116" s="79" t="b">
        <v>1</v>
      </c>
      <c r="O116" s="80">
        <f t="shared" si="2"/>
        <v>46074.59728</v>
      </c>
      <c r="P116" s="76" t="s">
        <v>101</v>
      </c>
      <c r="Q116" s="76" t="s">
        <v>11</v>
      </c>
      <c r="R116" s="76" t="b">
        <v>0</v>
      </c>
      <c r="S116" s="82" t="b">
        <v>0</v>
      </c>
      <c r="T116" s="76">
        <v>12.0</v>
      </c>
      <c r="U116" s="79" t="s">
        <v>96</v>
      </c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>
        <v>46074.0</v>
      </c>
      <c r="B117" s="76" t="s">
        <v>623</v>
      </c>
      <c r="C117" s="77" t="s">
        <v>624</v>
      </c>
      <c r="D117" s="76" t="s">
        <v>23</v>
      </c>
      <c r="E117" s="76"/>
      <c r="F117" s="76" t="s">
        <v>8</v>
      </c>
      <c r="G117" s="76">
        <v>800.0</v>
      </c>
      <c r="H117" s="76">
        <v>134.0</v>
      </c>
      <c r="I117" s="75">
        <v>46088.0</v>
      </c>
      <c r="J117" s="78">
        <v>14.4</v>
      </c>
      <c r="K117" s="76" t="s">
        <v>101</v>
      </c>
      <c r="L117" s="79" t="b">
        <v>1</v>
      </c>
      <c r="M117" s="80">
        <f t="shared" si="1"/>
        <v>46081.41746</v>
      </c>
      <c r="N117" s="79" t="b">
        <v>1</v>
      </c>
      <c r="O117" s="80">
        <f t="shared" si="2"/>
        <v>46081.41921</v>
      </c>
      <c r="P117" s="76" t="s">
        <v>101</v>
      </c>
      <c r="Q117" s="76" t="s">
        <v>11</v>
      </c>
      <c r="R117" s="76" t="b">
        <v>0</v>
      </c>
      <c r="S117" s="82" t="b">
        <v>0</v>
      </c>
      <c r="T117" s="76">
        <v>134.0</v>
      </c>
      <c r="U117" s="79" t="s">
        <v>96</v>
      </c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>
        <v>46074.0</v>
      </c>
      <c r="B118" s="76" t="s">
        <v>625</v>
      </c>
      <c r="C118" s="77" t="s">
        <v>626</v>
      </c>
      <c r="D118" s="76" t="s">
        <v>31</v>
      </c>
      <c r="E118" s="76"/>
      <c r="F118" s="76" t="s">
        <v>8</v>
      </c>
      <c r="G118" s="76">
        <v>1000.0</v>
      </c>
      <c r="H118" s="76">
        <v>500.0</v>
      </c>
      <c r="I118" s="75">
        <v>46078.0</v>
      </c>
      <c r="J118" s="78">
        <v>14.4</v>
      </c>
      <c r="K118" s="76" t="s">
        <v>101</v>
      </c>
      <c r="L118" s="79" t="b">
        <v>1</v>
      </c>
      <c r="M118" s="80">
        <f t="shared" si="1"/>
        <v>46077.43472</v>
      </c>
      <c r="N118" s="79" t="b">
        <v>1</v>
      </c>
      <c r="O118" s="80">
        <f t="shared" si="2"/>
        <v>46077.45235</v>
      </c>
      <c r="P118" s="76" t="s">
        <v>101</v>
      </c>
      <c r="Q118" s="76" t="s">
        <v>11</v>
      </c>
      <c r="R118" s="76" t="b">
        <v>0</v>
      </c>
      <c r="S118" s="82" t="b">
        <v>0</v>
      </c>
      <c r="T118" s="76">
        <v>508.0</v>
      </c>
      <c r="U118" s="79" t="s">
        <v>96</v>
      </c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>
        <v>46074.0</v>
      </c>
      <c r="B119" s="76" t="s">
        <v>627</v>
      </c>
      <c r="C119" s="77" t="s">
        <v>628</v>
      </c>
      <c r="D119" s="76" t="s">
        <v>16</v>
      </c>
      <c r="E119" s="76"/>
      <c r="F119" s="76" t="s">
        <v>8</v>
      </c>
      <c r="G119" s="76">
        <v>100.0</v>
      </c>
      <c r="H119" s="76">
        <v>5.0</v>
      </c>
      <c r="I119" s="75">
        <v>46077.0</v>
      </c>
      <c r="J119" s="78">
        <v>17.22</v>
      </c>
      <c r="K119" s="76" t="s">
        <v>101</v>
      </c>
      <c r="L119" s="79" t="b">
        <v>1</v>
      </c>
      <c r="M119" s="80">
        <f t="shared" si="1"/>
        <v>46077.42913</v>
      </c>
      <c r="N119" s="79" t="b">
        <v>1</v>
      </c>
      <c r="O119" s="80">
        <f t="shared" si="2"/>
        <v>46077.43108</v>
      </c>
      <c r="P119" s="76" t="s">
        <v>101</v>
      </c>
      <c r="Q119" s="76" t="s">
        <v>11</v>
      </c>
      <c r="R119" s="76" t="b">
        <v>0</v>
      </c>
      <c r="S119" s="82" t="b">
        <v>0</v>
      </c>
      <c r="T119" s="76">
        <v>12.0</v>
      </c>
      <c r="U119" s="79" t="s">
        <v>19</v>
      </c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>
        <v>46077.0</v>
      </c>
      <c r="B120" s="76" t="s">
        <v>629</v>
      </c>
      <c r="C120" s="77" t="s">
        <v>630</v>
      </c>
      <c r="D120" s="76" t="s">
        <v>23</v>
      </c>
      <c r="E120" s="76"/>
      <c r="F120" s="76" t="s">
        <v>18</v>
      </c>
      <c r="G120" s="76">
        <v>25.0</v>
      </c>
      <c r="H120" s="76">
        <v>50.0</v>
      </c>
      <c r="I120" s="75">
        <v>46078.0</v>
      </c>
      <c r="J120" s="78">
        <v>8.52</v>
      </c>
      <c r="K120" s="76" t="s">
        <v>101</v>
      </c>
      <c r="L120" s="79" t="b">
        <v>1</v>
      </c>
      <c r="M120" s="80">
        <f t="shared" si="1"/>
        <v>46077.65412</v>
      </c>
      <c r="N120" s="79" t="b">
        <v>1</v>
      </c>
      <c r="O120" s="80">
        <f t="shared" si="2"/>
        <v>46077.6552</v>
      </c>
      <c r="P120" s="76" t="s">
        <v>101</v>
      </c>
      <c r="Q120" s="76" t="s">
        <v>11</v>
      </c>
      <c r="R120" s="76" t="b">
        <v>0</v>
      </c>
      <c r="S120" s="82" t="b">
        <v>0</v>
      </c>
      <c r="T120" s="76">
        <v>1.0</v>
      </c>
      <c r="U120" s="79" t="s">
        <v>96</v>
      </c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>
        <v>46077.0</v>
      </c>
      <c r="B121" s="76" t="s">
        <v>631</v>
      </c>
      <c r="C121" s="77" t="s">
        <v>632</v>
      </c>
      <c r="D121" s="76" t="s">
        <v>23</v>
      </c>
      <c r="E121" s="76"/>
      <c r="F121" s="76" t="s">
        <v>18</v>
      </c>
      <c r="G121" s="76">
        <v>200.0</v>
      </c>
      <c r="H121" s="76">
        <v>400.0</v>
      </c>
      <c r="I121" s="75">
        <v>46078.0</v>
      </c>
      <c r="J121" s="78">
        <v>8.52</v>
      </c>
      <c r="K121" s="76" t="s">
        <v>101</v>
      </c>
      <c r="L121" s="79" t="b">
        <v>1</v>
      </c>
      <c r="M121" s="80">
        <f t="shared" si="1"/>
        <v>46077.65194</v>
      </c>
      <c r="N121" s="79" t="b">
        <v>1</v>
      </c>
      <c r="O121" s="80">
        <f t="shared" si="2"/>
        <v>46077.65411</v>
      </c>
      <c r="P121" s="76" t="s">
        <v>101</v>
      </c>
      <c r="Q121" s="76" t="s">
        <v>11</v>
      </c>
      <c r="R121" s="76" t="b">
        <v>0</v>
      </c>
      <c r="S121" s="82" t="b">
        <v>0</v>
      </c>
      <c r="T121" s="76">
        <v>1.0</v>
      </c>
      <c r="U121" s="79" t="s">
        <v>96</v>
      </c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>
        <v>46077.0</v>
      </c>
      <c r="B122" s="76" t="s">
        <v>633</v>
      </c>
      <c r="C122" s="77" t="s">
        <v>634</v>
      </c>
      <c r="D122" s="76" t="s">
        <v>23</v>
      </c>
      <c r="E122" s="76"/>
      <c r="F122" s="76" t="s">
        <v>18</v>
      </c>
      <c r="G122" s="76">
        <v>50.0</v>
      </c>
      <c r="H122" s="76">
        <v>100.0</v>
      </c>
      <c r="I122" s="75">
        <v>46078.0</v>
      </c>
      <c r="J122" s="78">
        <v>8.52</v>
      </c>
      <c r="K122" s="76" t="s">
        <v>101</v>
      </c>
      <c r="L122" s="79" t="b">
        <v>1</v>
      </c>
      <c r="M122" s="80">
        <f t="shared" si="1"/>
        <v>46077.65055</v>
      </c>
      <c r="N122" s="79" t="b">
        <v>1</v>
      </c>
      <c r="O122" s="80">
        <f t="shared" si="2"/>
        <v>46077.65193</v>
      </c>
      <c r="P122" s="76" t="s">
        <v>101</v>
      </c>
      <c r="Q122" s="76" t="s">
        <v>11</v>
      </c>
      <c r="R122" s="76" t="b">
        <v>0</v>
      </c>
      <c r="S122" s="82" t="b">
        <v>0</v>
      </c>
      <c r="T122" s="76">
        <v>1.0</v>
      </c>
      <c r="U122" s="79" t="s">
        <v>96</v>
      </c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>
        <v>46077.0</v>
      </c>
      <c r="B123" s="76" t="s">
        <v>635</v>
      </c>
      <c r="C123" s="77" t="s">
        <v>490</v>
      </c>
      <c r="D123" s="76" t="s">
        <v>43</v>
      </c>
      <c r="E123" s="76"/>
      <c r="F123" s="76" t="s">
        <v>416</v>
      </c>
      <c r="G123" s="76">
        <v>41.0</v>
      </c>
      <c r="H123" s="76">
        <v>287.0</v>
      </c>
      <c r="I123" s="75">
        <v>46078.0</v>
      </c>
      <c r="J123" s="78">
        <v>8.52</v>
      </c>
      <c r="K123" s="76" t="s">
        <v>1</v>
      </c>
      <c r="L123" s="79" t="b">
        <v>1</v>
      </c>
      <c r="M123" s="80">
        <f t="shared" si="1"/>
        <v>46077.57923</v>
      </c>
      <c r="N123" s="79" t="b">
        <v>1</v>
      </c>
      <c r="O123" s="80">
        <f t="shared" si="2"/>
        <v>46077.60014</v>
      </c>
      <c r="P123" s="76" t="s">
        <v>101</v>
      </c>
      <c r="Q123" s="76" t="s">
        <v>38</v>
      </c>
      <c r="R123" s="76" t="b">
        <v>0</v>
      </c>
      <c r="S123" s="82" t="b">
        <v>0</v>
      </c>
      <c r="T123" s="76">
        <v>45.0</v>
      </c>
      <c r="U123" s="79" t="s">
        <v>96</v>
      </c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>
        <v>46077.0</v>
      </c>
      <c r="B124" s="76" t="s">
        <v>636</v>
      </c>
      <c r="C124" s="77" t="s">
        <v>492</v>
      </c>
      <c r="D124" s="76" t="s">
        <v>43</v>
      </c>
      <c r="E124" s="76"/>
      <c r="F124" s="76" t="s">
        <v>416</v>
      </c>
      <c r="G124" s="76">
        <v>25.0</v>
      </c>
      <c r="H124" s="76">
        <v>150.0</v>
      </c>
      <c r="I124" s="75">
        <v>46078.0</v>
      </c>
      <c r="J124" s="78">
        <v>8.52</v>
      </c>
      <c r="K124" s="76" t="s">
        <v>1</v>
      </c>
      <c r="L124" s="79" t="b">
        <v>1</v>
      </c>
      <c r="M124" s="80">
        <f t="shared" si="1"/>
        <v>46077.57923</v>
      </c>
      <c r="N124" s="79" t="b">
        <v>1</v>
      </c>
      <c r="O124" s="80">
        <f t="shared" si="2"/>
        <v>46077.57923</v>
      </c>
      <c r="P124" s="76" t="s">
        <v>101</v>
      </c>
      <c r="Q124" s="76" t="s">
        <v>38</v>
      </c>
      <c r="R124" s="76" t="b">
        <v>0</v>
      </c>
      <c r="S124" s="82" t="b">
        <v>0</v>
      </c>
      <c r="T124" s="76">
        <v>10.0</v>
      </c>
      <c r="U124" s="79" t="s">
        <v>96</v>
      </c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>
        <v>46078.0</v>
      </c>
      <c r="B125" s="76" t="s">
        <v>637</v>
      </c>
      <c r="C125" s="77" t="s">
        <v>638</v>
      </c>
      <c r="D125" s="76" t="s">
        <v>23</v>
      </c>
      <c r="E125" s="76"/>
      <c r="F125" s="76" t="s">
        <v>18</v>
      </c>
      <c r="G125" s="76">
        <v>200.0</v>
      </c>
      <c r="H125" s="76">
        <v>100.0</v>
      </c>
      <c r="I125" s="75">
        <v>46078.0</v>
      </c>
      <c r="J125" s="78">
        <v>9.28</v>
      </c>
      <c r="K125" s="76" t="s">
        <v>101</v>
      </c>
      <c r="L125" s="79" t="b">
        <v>1</v>
      </c>
      <c r="M125" s="80">
        <f t="shared" si="1"/>
        <v>46078.41656</v>
      </c>
      <c r="N125" s="79" t="b">
        <v>1</v>
      </c>
      <c r="O125" s="80">
        <f t="shared" si="2"/>
        <v>46078.42052</v>
      </c>
      <c r="P125" s="76" t="s">
        <v>101</v>
      </c>
      <c r="Q125" s="76" t="s">
        <v>11</v>
      </c>
      <c r="R125" s="76" t="b">
        <v>0</v>
      </c>
      <c r="S125" s="82" t="b">
        <v>0</v>
      </c>
      <c r="T125" s="76">
        <v>108.0</v>
      </c>
      <c r="U125" s="79" t="s">
        <v>96</v>
      </c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>
        <v>46078.0</v>
      </c>
      <c r="B126" s="76" t="s">
        <v>639</v>
      </c>
      <c r="C126" s="77" t="s">
        <v>640</v>
      </c>
      <c r="D126" s="76" t="s">
        <v>23</v>
      </c>
      <c r="E126" s="76"/>
      <c r="F126" s="76" t="s">
        <v>18</v>
      </c>
      <c r="G126" s="76">
        <v>500.0</v>
      </c>
      <c r="H126" s="76">
        <v>125.0</v>
      </c>
      <c r="I126" s="75">
        <v>46078.0</v>
      </c>
      <c r="J126" s="78">
        <v>9.28</v>
      </c>
      <c r="K126" s="76" t="s">
        <v>101</v>
      </c>
      <c r="L126" s="79" t="b">
        <v>1</v>
      </c>
      <c r="M126" s="80">
        <f t="shared" si="1"/>
        <v>46078.4106</v>
      </c>
      <c r="N126" s="79" t="b">
        <v>1</v>
      </c>
      <c r="O126" s="80">
        <f t="shared" si="2"/>
        <v>46078.41453</v>
      </c>
      <c r="P126" s="76" t="s">
        <v>101</v>
      </c>
      <c r="Q126" s="76" t="s">
        <v>11</v>
      </c>
      <c r="R126" s="76" t="b">
        <v>0</v>
      </c>
      <c r="S126" s="82" t="b">
        <v>0</v>
      </c>
      <c r="T126" s="76">
        <v>132.0</v>
      </c>
      <c r="U126" s="79" t="s">
        <v>96</v>
      </c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>
        <v>46078.0</v>
      </c>
      <c r="B127" s="76" t="s">
        <v>641</v>
      </c>
      <c r="C127" s="77" t="s">
        <v>642</v>
      </c>
      <c r="D127" s="76" t="s">
        <v>23</v>
      </c>
      <c r="E127" s="76"/>
      <c r="F127" s="76" t="s">
        <v>18</v>
      </c>
      <c r="G127" s="76">
        <v>100.0</v>
      </c>
      <c r="H127" s="76">
        <v>25.0</v>
      </c>
      <c r="I127" s="75">
        <v>46078.0</v>
      </c>
      <c r="J127" s="78">
        <v>9.28</v>
      </c>
      <c r="K127" s="76" t="s">
        <v>101</v>
      </c>
      <c r="L127" s="79" t="b">
        <v>1</v>
      </c>
      <c r="M127" s="80">
        <f t="shared" si="1"/>
        <v>46078.41531</v>
      </c>
      <c r="N127" s="79" t="b">
        <v>1</v>
      </c>
      <c r="O127" s="80">
        <f t="shared" si="2"/>
        <v>46078.41655</v>
      </c>
      <c r="P127" s="76" t="s">
        <v>101</v>
      </c>
      <c r="Q127" s="76" t="s">
        <v>11</v>
      </c>
      <c r="R127" s="76" t="b">
        <v>0</v>
      </c>
      <c r="S127" s="82" t="b">
        <v>0</v>
      </c>
      <c r="T127" s="76">
        <v>28.0</v>
      </c>
      <c r="U127" s="79" t="s">
        <v>96</v>
      </c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>
        <v>46078.0</v>
      </c>
      <c r="B128" s="76" t="s">
        <v>643</v>
      </c>
      <c r="C128" s="77" t="s">
        <v>644</v>
      </c>
      <c r="D128" s="76" t="s">
        <v>49</v>
      </c>
      <c r="E128" s="76"/>
      <c r="F128" s="76" t="s">
        <v>8</v>
      </c>
      <c r="G128" s="76">
        <v>100.0</v>
      </c>
      <c r="H128" s="76">
        <v>50.0</v>
      </c>
      <c r="I128" s="75">
        <v>46087.0</v>
      </c>
      <c r="J128" s="78">
        <v>11.12</v>
      </c>
      <c r="K128" s="76" t="s">
        <v>101</v>
      </c>
      <c r="L128" s="79" t="b">
        <v>1</v>
      </c>
      <c r="M128" s="80">
        <f t="shared" si="1"/>
        <v>46081.42144</v>
      </c>
      <c r="N128" s="79" t="b">
        <v>1</v>
      </c>
      <c r="O128" s="80">
        <f t="shared" si="2"/>
        <v>46081.42627</v>
      </c>
      <c r="P128" s="76" t="s">
        <v>101</v>
      </c>
      <c r="Q128" s="76" t="s">
        <v>11</v>
      </c>
      <c r="R128" s="76" t="b">
        <v>0</v>
      </c>
      <c r="S128" s="82" t="b">
        <v>0</v>
      </c>
      <c r="T128" s="76">
        <v>60.0</v>
      </c>
      <c r="U128" s="79" t="s">
        <v>96</v>
      </c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>
        <v>46078.0</v>
      </c>
      <c r="B129" s="76" t="s">
        <v>645</v>
      </c>
      <c r="C129" s="77" t="s">
        <v>646</v>
      </c>
      <c r="D129" s="76" t="s">
        <v>49</v>
      </c>
      <c r="E129" s="76"/>
      <c r="F129" s="76" t="s">
        <v>8</v>
      </c>
      <c r="G129" s="76">
        <v>100.0</v>
      </c>
      <c r="H129" s="76">
        <v>50.0</v>
      </c>
      <c r="I129" s="75">
        <v>46087.0</v>
      </c>
      <c r="J129" s="78">
        <v>11.12</v>
      </c>
      <c r="K129" s="76" t="s">
        <v>101</v>
      </c>
      <c r="L129" s="79" t="b">
        <v>1</v>
      </c>
      <c r="M129" s="80">
        <f t="shared" si="1"/>
        <v>46083.47883</v>
      </c>
      <c r="N129" s="79" t="b">
        <v>1</v>
      </c>
      <c r="O129" s="80">
        <f t="shared" si="2"/>
        <v>46083.48121</v>
      </c>
      <c r="P129" s="76" t="s">
        <v>101</v>
      </c>
      <c r="Q129" s="76" t="s">
        <v>11</v>
      </c>
      <c r="R129" s="76" t="b">
        <v>0</v>
      </c>
      <c r="S129" s="82" t="b">
        <v>0</v>
      </c>
      <c r="T129" s="76">
        <v>60.0</v>
      </c>
      <c r="U129" s="79" t="s">
        <v>96</v>
      </c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>
        <v>46078.0</v>
      </c>
      <c r="B130" s="76" t="s">
        <v>647</v>
      </c>
      <c r="C130" s="77" t="s">
        <v>648</v>
      </c>
      <c r="D130" s="76" t="s">
        <v>49</v>
      </c>
      <c r="E130" s="76"/>
      <c r="F130" s="76" t="s">
        <v>8</v>
      </c>
      <c r="G130" s="76">
        <v>100.0</v>
      </c>
      <c r="H130" s="76">
        <v>50.0</v>
      </c>
      <c r="I130" s="75">
        <v>46087.0</v>
      </c>
      <c r="J130" s="78">
        <v>11.12</v>
      </c>
      <c r="K130" s="76" t="s">
        <v>101</v>
      </c>
      <c r="L130" s="79" t="b">
        <v>1</v>
      </c>
      <c r="M130" s="80">
        <f t="shared" si="1"/>
        <v>46081.42629</v>
      </c>
      <c r="N130" s="79" t="b">
        <v>1</v>
      </c>
      <c r="O130" s="80">
        <f t="shared" si="2"/>
        <v>46081.42915</v>
      </c>
      <c r="P130" s="76" t="s">
        <v>101</v>
      </c>
      <c r="Q130" s="76" t="s">
        <v>11</v>
      </c>
      <c r="R130" s="76" t="b">
        <v>0</v>
      </c>
      <c r="S130" s="82" t="b">
        <v>0</v>
      </c>
      <c r="T130" s="76">
        <v>60.0</v>
      </c>
      <c r="U130" s="79" t="s">
        <v>96</v>
      </c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>
        <v>46078.0</v>
      </c>
      <c r="B131" s="76" t="s">
        <v>649</v>
      </c>
      <c r="C131" s="77" t="s">
        <v>650</v>
      </c>
      <c r="D131" s="76" t="s">
        <v>23</v>
      </c>
      <c r="E131" s="76"/>
      <c r="F131" s="76" t="s">
        <v>8</v>
      </c>
      <c r="G131" s="76">
        <v>500.0</v>
      </c>
      <c r="H131" s="76">
        <v>250.0</v>
      </c>
      <c r="I131" s="75">
        <v>46080.0</v>
      </c>
      <c r="J131" s="78">
        <v>11.12</v>
      </c>
      <c r="K131" s="76" t="s">
        <v>101</v>
      </c>
      <c r="L131" s="79" t="b">
        <v>1</v>
      </c>
      <c r="M131" s="80">
        <f t="shared" si="1"/>
        <v>46078.47733</v>
      </c>
      <c r="N131" s="79" t="b">
        <v>1</v>
      </c>
      <c r="O131" s="80">
        <f t="shared" si="2"/>
        <v>46078.4831</v>
      </c>
      <c r="P131" s="76" t="s">
        <v>101</v>
      </c>
      <c r="Q131" s="76" t="s">
        <v>11</v>
      </c>
      <c r="R131" s="76" t="b">
        <v>0</v>
      </c>
      <c r="S131" s="82" t="b">
        <v>0</v>
      </c>
      <c r="T131" s="76">
        <v>256.0</v>
      </c>
      <c r="U131" s="79" t="s">
        <v>96</v>
      </c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>
        <v>46078.0</v>
      </c>
      <c r="B132" s="76" t="s">
        <v>651</v>
      </c>
      <c r="C132" s="77" t="s">
        <v>652</v>
      </c>
      <c r="D132" s="76" t="s">
        <v>31</v>
      </c>
      <c r="E132" s="76"/>
      <c r="F132" s="76" t="s">
        <v>8</v>
      </c>
      <c r="G132" s="76">
        <v>1000.0</v>
      </c>
      <c r="H132" s="76">
        <v>500.0</v>
      </c>
      <c r="I132" s="75">
        <v>46080.0</v>
      </c>
      <c r="J132" s="78">
        <v>14.17</v>
      </c>
      <c r="K132" s="76" t="s">
        <v>101</v>
      </c>
      <c r="L132" s="79" t="b">
        <v>1</v>
      </c>
      <c r="M132" s="80">
        <f t="shared" si="1"/>
        <v>46079.40379</v>
      </c>
      <c r="N132" s="79" t="b">
        <v>1</v>
      </c>
      <c r="O132" s="80">
        <f t="shared" si="2"/>
        <v>46079.41593</v>
      </c>
      <c r="P132" s="76" t="s">
        <v>101</v>
      </c>
      <c r="Q132" s="76" t="s">
        <v>11</v>
      </c>
      <c r="R132" s="76" t="b">
        <v>0</v>
      </c>
      <c r="S132" s="82" t="b">
        <v>0</v>
      </c>
      <c r="T132" s="76">
        <v>508.0</v>
      </c>
      <c r="U132" s="79" t="s">
        <v>96</v>
      </c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>
        <v>46078.0</v>
      </c>
      <c r="B133" s="76" t="s">
        <v>653</v>
      </c>
      <c r="C133" s="77" t="s">
        <v>654</v>
      </c>
      <c r="D133" s="76" t="s">
        <v>23</v>
      </c>
      <c r="E133" s="76"/>
      <c r="F133" s="76" t="s">
        <v>8</v>
      </c>
      <c r="G133" s="76">
        <v>100.0</v>
      </c>
      <c r="H133" s="76">
        <v>13.0</v>
      </c>
      <c r="I133" s="75">
        <v>46083.0</v>
      </c>
      <c r="J133" s="78">
        <v>14.17</v>
      </c>
      <c r="K133" s="76" t="s">
        <v>101</v>
      </c>
      <c r="L133" s="79" t="b">
        <v>1</v>
      </c>
      <c r="M133" s="80">
        <f t="shared" si="1"/>
        <v>46078.65245</v>
      </c>
      <c r="N133" s="79" t="b">
        <v>1</v>
      </c>
      <c r="O133" s="80">
        <f t="shared" si="2"/>
        <v>46078.65316</v>
      </c>
      <c r="P133" s="76" t="s">
        <v>101</v>
      </c>
      <c r="Q133" s="76" t="s">
        <v>11</v>
      </c>
      <c r="R133" s="76" t="b">
        <v>0</v>
      </c>
      <c r="S133" s="82" t="b">
        <v>0</v>
      </c>
      <c r="T133" s="76">
        <v>16.0</v>
      </c>
      <c r="U133" s="79" t="s">
        <v>96</v>
      </c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>
        <v>46078.0</v>
      </c>
      <c r="B134" s="76" t="s">
        <v>655</v>
      </c>
      <c r="C134" s="77" t="s">
        <v>656</v>
      </c>
      <c r="D134" s="76" t="s">
        <v>23</v>
      </c>
      <c r="E134" s="76"/>
      <c r="F134" s="76" t="s">
        <v>8</v>
      </c>
      <c r="G134" s="76">
        <v>200.0</v>
      </c>
      <c r="H134" s="76">
        <v>50.0</v>
      </c>
      <c r="I134" s="75">
        <v>46083.0</v>
      </c>
      <c r="J134" s="78">
        <v>14.17</v>
      </c>
      <c r="K134" s="76" t="s">
        <v>101</v>
      </c>
      <c r="L134" s="79" t="b">
        <v>1</v>
      </c>
      <c r="M134" s="80">
        <f t="shared" si="1"/>
        <v>46078.65748</v>
      </c>
      <c r="N134" s="79" t="b">
        <v>1</v>
      </c>
      <c r="O134" s="80">
        <f t="shared" si="2"/>
        <v>46078.65961</v>
      </c>
      <c r="P134" s="76" t="s">
        <v>101</v>
      </c>
      <c r="Q134" s="76" t="s">
        <v>11</v>
      </c>
      <c r="R134" s="76" t="b">
        <v>0</v>
      </c>
      <c r="S134" s="82" t="b">
        <v>0</v>
      </c>
      <c r="T134" s="76">
        <v>56.0</v>
      </c>
      <c r="U134" s="79" t="s">
        <v>96</v>
      </c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>
        <v>46078.0</v>
      </c>
      <c r="B135" s="76" t="s">
        <v>657</v>
      </c>
      <c r="C135" s="77" t="s">
        <v>658</v>
      </c>
      <c r="D135" s="76" t="s">
        <v>23</v>
      </c>
      <c r="E135" s="76"/>
      <c r="F135" s="76" t="s">
        <v>8</v>
      </c>
      <c r="G135" s="76">
        <v>200.0</v>
      </c>
      <c r="H135" s="76">
        <v>100.0</v>
      </c>
      <c r="I135" s="75">
        <v>46081.0</v>
      </c>
      <c r="J135" s="78">
        <v>14.17</v>
      </c>
      <c r="K135" s="76" t="s">
        <v>101</v>
      </c>
      <c r="L135" s="79" t="b">
        <v>1</v>
      </c>
      <c r="M135" s="80">
        <f t="shared" si="1"/>
        <v>46078.66427</v>
      </c>
      <c r="N135" s="79" t="b">
        <v>1</v>
      </c>
      <c r="O135" s="80">
        <f t="shared" si="2"/>
        <v>46078.66669</v>
      </c>
      <c r="P135" s="76" t="s">
        <v>101</v>
      </c>
      <c r="Q135" s="76" t="s">
        <v>11</v>
      </c>
      <c r="R135" s="76" t="b">
        <v>0</v>
      </c>
      <c r="S135" s="82" t="b">
        <v>0</v>
      </c>
      <c r="T135" s="76">
        <v>108.0</v>
      </c>
      <c r="U135" s="79" t="s">
        <v>96</v>
      </c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>
        <v>46079.0</v>
      </c>
      <c r="B136" s="76" t="s">
        <v>659</v>
      </c>
      <c r="C136" s="77" t="s">
        <v>660</v>
      </c>
      <c r="D136" s="76" t="s">
        <v>23</v>
      </c>
      <c r="E136" s="76"/>
      <c r="F136" s="76" t="s">
        <v>8</v>
      </c>
      <c r="G136" s="76">
        <v>100.0</v>
      </c>
      <c r="H136" s="76">
        <v>100.0</v>
      </c>
      <c r="I136" s="75">
        <v>46081.0</v>
      </c>
      <c r="J136" s="78">
        <v>9.43</v>
      </c>
      <c r="K136" s="76" t="s">
        <v>101</v>
      </c>
      <c r="L136" s="79" t="b">
        <v>1</v>
      </c>
      <c r="M136" s="80">
        <f t="shared" si="1"/>
        <v>46079.46776</v>
      </c>
      <c r="N136" s="79" t="b">
        <v>1</v>
      </c>
      <c r="O136" s="80">
        <f t="shared" si="2"/>
        <v>46079.47084</v>
      </c>
      <c r="P136" s="76" t="s">
        <v>101</v>
      </c>
      <c r="Q136" s="76" t="s">
        <v>11</v>
      </c>
      <c r="R136" s="76" t="b">
        <v>0</v>
      </c>
      <c r="S136" s="82" t="b">
        <v>0</v>
      </c>
      <c r="T136" s="76">
        <v>108.0</v>
      </c>
      <c r="U136" s="79" t="s">
        <v>96</v>
      </c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>
        <v>46079.0</v>
      </c>
      <c r="B137" s="76" t="s">
        <v>661</v>
      </c>
      <c r="C137" s="77" t="s">
        <v>662</v>
      </c>
      <c r="D137" s="76" t="s">
        <v>23</v>
      </c>
      <c r="E137" s="76"/>
      <c r="F137" s="76" t="s">
        <v>8</v>
      </c>
      <c r="G137" s="76">
        <v>100.0</v>
      </c>
      <c r="H137" s="76">
        <v>100.0</v>
      </c>
      <c r="I137" s="75">
        <v>46083.0</v>
      </c>
      <c r="J137" s="78">
        <v>9.43</v>
      </c>
      <c r="K137" s="76" t="s">
        <v>101</v>
      </c>
      <c r="L137" s="79" t="b">
        <v>1</v>
      </c>
      <c r="M137" s="80">
        <f t="shared" si="1"/>
        <v>46079.47613</v>
      </c>
      <c r="N137" s="79" t="b">
        <v>1</v>
      </c>
      <c r="O137" s="80">
        <f t="shared" si="2"/>
        <v>46079.47775</v>
      </c>
      <c r="P137" s="76" t="s">
        <v>101</v>
      </c>
      <c r="Q137" s="76" t="s">
        <v>11</v>
      </c>
      <c r="R137" s="76" t="b">
        <v>0</v>
      </c>
      <c r="S137" s="82" t="b">
        <v>0</v>
      </c>
      <c r="T137" s="76">
        <v>108.0</v>
      </c>
      <c r="U137" s="79" t="s">
        <v>96</v>
      </c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>
        <v>46079.0</v>
      </c>
      <c r="B138" s="76" t="s">
        <v>663</v>
      </c>
      <c r="C138" s="77" t="s">
        <v>664</v>
      </c>
      <c r="D138" s="76" t="s">
        <v>23</v>
      </c>
      <c r="E138" s="76"/>
      <c r="F138" s="76" t="s">
        <v>18</v>
      </c>
      <c r="G138" s="76">
        <v>500.0</v>
      </c>
      <c r="H138" s="76">
        <v>125.0</v>
      </c>
      <c r="I138" s="75">
        <v>46079.0</v>
      </c>
      <c r="J138" s="78">
        <v>10.43</v>
      </c>
      <c r="K138" s="76" t="s">
        <v>101</v>
      </c>
      <c r="L138" s="79" t="b">
        <v>1</v>
      </c>
      <c r="M138" s="80">
        <f t="shared" si="1"/>
        <v>46079.46114</v>
      </c>
      <c r="N138" s="79" t="b">
        <v>1</v>
      </c>
      <c r="O138" s="80">
        <f t="shared" si="2"/>
        <v>46079.46346</v>
      </c>
      <c r="P138" s="76" t="s">
        <v>101</v>
      </c>
      <c r="Q138" s="76" t="s">
        <v>11</v>
      </c>
      <c r="R138" s="76" t="b">
        <v>0</v>
      </c>
      <c r="S138" s="82" t="b">
        <v>0</v>
      </c>
      <c r="T138" s="76">
        <v>128.0</v>
      </c>
      <c r="U138" s="79" t="s">
        <v>96</v>
      </c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>
        <v>46079.0</v>
      </c>
      <c r="B139" s="76" t="s">
        <v>665</v>
      </c>
      <c r="C139" s="77" t="s">
        <v>666</v>
      </c>
      <c r="D139" s="76" t="s">
        <v>23</v>
      </c>
      <c r="E139" s="76"/>
      <c r="F139" s="76" t="s">
        <v>8</v>
      </c>
      <c r="G139" s="76">
        <v>100.0</v>
      </c>
      <c r="H139" s="76">
        <v>25.0</v>
      </c>
      <c r="I139" s="75">
        <v>46083.0</v>
      </c>
      <c r="J139" s="78">
        <v>10.43</v>
      </c>
      <c r="K139" s="76" t="s">
        <v>101</v>
      </c>
      <c r="L139" s="79" t="b">
        <v>1</v>
      </c>
      <c r="M139" s="80">
        <f t="shared" si="1"/>
        <v>46079.46401</v>
      </c>
      <c r="N139" s="79" t="b">
        <v>1</v>
      </c>
      <c r="O139" s="80">
        <f t="shared" si="2"/>
        <v>46079.46542</v>
      </c>
      <c r="P139" s="76" t="s">
        <v>101</v>
      </c>
      <c r="Q139" s="76" t="s">
        <v>11</v>
      </c>
      <c r="R139" s="76" t="b">
        <v>0</v>
      </c>
      <c r="S139" s="82" t="b">
        <v>0</v>
      </c>
      <c r="T139" s="76">
        <v>28.0</v>
      </c>
      <c r="U139" s="79" t="s">
        <v>96</v>
      </c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>
        <v>46079.0</v>
      </c>
      <c r="B140" s="76" t="s">
        <v>667</v>
      </c>
      <c r="C140" s="77" t="s">
        <v>668</v>
      </c>
      <c r="D140" s="76" t="s">
        <v>23</v>
      </c>
      <c r="E140" s="76"/>
      <c r="F140" s="76" t="s">
        <v>18</v>
      </c>
      <c r="G140" s="76">
        <v>1000.0</v>
      </c>
      <c r="H140" s="76">
        <v>250.0</v>
      </c>
      <c r="I140" s="75">
        <v>46079.0</v>
      </c>
      <c r="J140" s="78" t="s">
        <v>151</v>
      </c>
      <c r="K140" s="76" t="s">
        <v>101</v>
      </c>
      <c r="L140" s="79" t="b">
        <v>1</v>
      </c>
      <c r="M140" s="80">
        <f t="shared" si="1"/>
        <v>46079.48906</v>
      </c>
      <c r="N140" s="79" t="b">
        <v>1</v>
      </c>
      <c r="O140" s="80">
        <f t="shared" si="2"/>
        <v>46079.49255</v>
      </c>
      <c r="P140" s="76" t="s">
        <v>101</v>
      </c>
      <c r="Q140" s="76" t="s">
        <v>11</v>
      </c>
      <c r="R140" s="76" t="b">
        <v>0</v>
      </c>
      <c r="S140" s="82" t="b">
        <v>0</v>
      </c>
      <c r="T140" s="76">
        <v>256.0</v>
      </c>
      <c r="U140" s="79" t="s">
        <v>96</v>
      </c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>
        <v>46079.0</v>
      </c>
      <c r="B141" s="76" t="s">
        <v>669</v>
      </c>
      <c r="C141" s="77" t="s">
        <v>670</v>
      </c>
      <c r="D141" s="76" t="s">
        <v>34</v>
      </c>
      <c r="E141" s="76"/>
      <c r="F141" s="76" t="s">
        <v>8</v>
      </c>
      <c r="G141" s="76">
        <v>66.0</v>
      </c>
      <c r="H141" s="76">
        <v>16.0</v>
      </c>
      <c r="I141" s="75">
        <v>46085.0</v>
      </c>
      <c r="J141" s="78">
        <v>14.29</v>
      </c>
      <c r="K141" s="76" t="s">
        <v>101</v>
      </c>
      <c r="L141" s="79" t="b">
        <v>1</v>
      </c>
      <c r="M141" s="80">
        <f t="shared" si="1"/>
        <v>46079.61944</v>
      </c>
      <c r="N141" s="79" t="b">
        <v>1</v>
      </c>
      <c r="O141" s="80">
        <f t="shared" si="2"/>
        <v>46079.62179</v>
      </c>
      <c r="P141" s="76" t="s">
        <v>101</v>
      </c>
      <c r="Q141" s="76" t="s">
        <v>38</v>
      </c>
      <c r="R141" s="76" t="b">
        <v>0</v>
      </c>
      <c r="S141" s="82" t="b">
        <v>0</v>
      </c>
      <c r="T141" s="76">
        <v>17.0</v>
      </c>
      <c r="U141" s="79" t="s">
        <v>28</v>
      </c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>
        <v>46079.0</v>
      </c>
      <c r="B142" s="76" t="s">
        <v>671</v>
      </c>
      <c r="C142" s="77" t="s">
        <v>672</v>
      </c>
      <c r="D142" s="76" t="s">
        <v>34</v>
      </c>
      <c r="E142" s="76"/>
      <c r="F142" s="76" t="s">
        <v>18</v>
      </c>
      <c r="G142" s="76">
        <v>1000.0</v>
      </c>
      <c r="H142" s="76">
        <v>8.0</v>
      </c>
      <c r="I142" s="75">
        <v>46080.0</v>
      </c>
      <c r="J142" s="78">
        <v>16.23</v>
      </c>
      <c r="K142" s="76" t="s">
        <v>1</v>
      </c>
      <c r="L142" s="79" t="b">
        <v>1</v>
      </c>
      <c r="M142" s="80">
        <f t="shared" si="1"/>
        <v>46079.70476</v>
      </c>
      <c r="N142" s="79" t="b">
        <v>1</v>
      </c>
      <c r="O142" s="80">
        <f t="shared" si="2"/>
        <v>46079.70879</v>
      </c>
      <c r="P142" s="76" t="s">
        <v>101</v>
      </c>
      <c r="Q142" s="76" t="s">
        <v>38</v>
      </c>
      <c r="R142" s="76" t="b">
        <v>0</v>
      </c>
      <c r="S142" s="82" t="b">
        <v>0</v>
      </c>
      <c r="T142" s="76">
        <v>9.0</v>
      </c>
      <c r="U142" s="79" t="s">
        <v>28</v>
      </c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>
        <v>46079.0</v>
      </c>
      <c r="B143" s="76" t="s">
        <v>673</v>
      </c>
      <c r="C143" s="77" t="s">
        <v>674</v>
      </c>
      <c r="D143" s="76" t="s">
        <v>23</v>
      </c>
      <c r="E143" s="76"/>
      <c r="F143" s="76" t="s">
        <v>18</v>
      </c>
      <c r="G143" s="76">
        <v>100.0</v>
      </c>
      <c r="H143" s="76">
        <v>25.0</v>
      </c>
      <c r="I143" s="75">
        <v>46080.0</v>
      </c>
      <c r="J143" s="78">
        <v>16.23</v>
      </c>
      <c r="K143" s="76" t="s">
        <v>101</v>
      </c>
      <c r="L143" s="79" t="b">
        <v>1</v>
      </c>
      <c r="M143" s="80">
        <f t="shared" si="1"/>
        <v>46079.69469</v>
      </c>
      <c r="N143" s="79" t="b">
        <v>1</v>
      </c>
      <c r="O143" s="80">
        <f t="shared" si="2"/>
        <v>46079.69625</v>
      </c>
      <c r="P143" s="76" t="s">
        <v>101</v>
      </c>
      <c r="Q143" s="76" t="s">
        <v>11</v>
      </c>
      <c r="R143" s="76" t="b">
        <v>0</v>
      </c>
      <c r="S143" s="82" t="b">
        <v>0</v>
      </c>
      <c r="T143" s="76">
        <v>30.0</v>
      </c>
      <c r="U143" s="79" t="s">
        <v>96</v>
      </c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>
        <v>46079.0</v>
      </c>
      <c r="B144" s="76" t="s">
        <v>675</v>
      </c>
      <c r="C144" s="77" t="s">
        <v>676</v>
      </c>
      <c r="D144" s="76" t="s">
        <v>13</v>
      </c>
      <c r="E144" s="76"/>
      <c r="F144" s="76" t="s">
        <v>8</v>
      </c>
      <c r="G144" s="76">
        <v>300.0</v>
      </c>
      <c r="H144" s="76">
        <v>150.0</v>
      </c>
      <c r="I144" s="75">
        <v>46084.0</v>
      </c>
      <c r="J144" s="78">
        <v>16.23</v>
      </c>
      <c r="K144" s="76" t="s">
        <v>101</v>
      </c>
      <c r="L144" s="79" t="b">
        <v>1</v>
      </c>
      <c r="M144" s="80">
        <f t="shared" si="1"/>
        <v>46080.40295</v>
      </c>
      <c r="N144" s="79" t="b">
        <v>1</v>
      </c>
      <c r="O144" s="80">
        <f t="shared" si="2"/>
        <v>46080.40905</v>
      </c>
      <c r="P144" s="76" t="s">
        <v>101</v>
      </c>
      <c r="Q144" s="76" t="s">
        <v>11</v>
      </c>
      <c r="R144" s="76" t="b">
        <v>0</v>
      </c>
      <c r="S144" s="82" t="b">
        <v>0</v>
      </c>
      <c r="T144" s="76">
        <v>156.0</v>
      </c>
      <c r="U144" s="79" t="s">
        <v>96</v>
      </c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>
        <v>46080.0</v>
      </c>
      <c r="B145" s="76" t="s">
        <v>677</v>
      </c>
      <c r="C145" s="77" t="s">
        <v>678</v>
      </c>
      <c r="D145" s="76" t="s">
        <v>23</v>
      </c>
      <c r="E145" s="76"/>
      <c r="F145" s="76" t="s">
        <v>18</v>
      </c>
      <c r="G145" s="76">
        <v>200.0</v>
      </c>
      <c r="H145" s="76">
        <v>100.0</v>
      </c>
      <c r="I145" s="75">
        <v>46080.0</v>
      </c>
      <c r="J145" s="78" t="s">
        <v>151</v>
      </c>
      <c r="K145" s="76" t="s">
        <v>101</v>
      </c>
      <c r="L145" s="79" t="b">
        <v>1</v>
      </c>
      <c r="M145" s="80">
        <f t="shared" si="1"/>
        <v>46080.45175</v>
      </c>
      <c r="N145" s="79" t="b">
        <v>1</v>
      </c>
      <c r="O145" s="80">
        <f t="shared" si="2"/>
        <v>46080.45515</v>
      </c>
      <c r="P145" s="76" t="s">
        <v>101</v>
      </c>
      <c r="Q145" s="76" t="s">
        <v>11</v>
      </c>
      <c r="R145" s="76" t="b">
        <v>0</v>
      </c>
      <c r="S145" s="82" t="b">
        <v>0</v>
      </c>
      <c r="T145" s="76">
        <v>108.0</v>
      </c>
      <c r="U145" s="79" t="s">
        <v>96</v>
      </c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>
        <v>46081.0</v>
      </c>
      <c r="B146" s="76" t="s">
        <v>679</v>
      </c>
      <c r="C146" s="77" t="s">
        <v>680</v>
      </c>
      <c r="D146" s="76" t="s">
        <v>23</v>
      </c>
      <c r="E146" s="76"/>
      <c r="F146" s="76" t="s">
        <v>18</v>
      </c>
      <c r="G146" s="76">
        <v>500.0</v>
      </c>
      <c r="H146" s="76">
        <v>125.0</v>
      </c>
      <c r="I146" s="75">
        <v>46081.0</v>
      </c>
      <c r="J146" s="78" t="s">
        <v>151</v>
      </c>
      <c r="K146" s="76" t="s">
        <v>101</v>
      </c>
      <c r="L146" s="79" t="b">
        <v>1</v>
      </c>
      <c r="M146" s="80">
        <f t="shared" si="1"/>
        <v>46081.41006</v>
      </c>
      <c r="N146" s="79" t="b">
        <v>1</v>
      </c>
      <c r="O146" s="80">
        <f t="shared" si="2"/>
        <v>46081.41401</v>
      </c>
      <c r="P146" s="76" t="s">
        <v>101</v>
      </c>
      <c r="Q146" s="76" t="s">
        <v>11</v>
      </c>
      <c r="R146" s="76" t="b">
        <v>0</v>
      </c>
      <c r="S146" s="82" t="b">
        <v>0</v>
      </c>
      <c r="T146" s="76">
        <v>128.0</v>
      </c>
      <c r="U146" s="79" t="s">
        <v>96</v>
      </c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>
        <v>46081.0</v>
      </c>
      <c r="B147" s="76" t="s">
        <v>681</v>
      </c>
      <c r="C147" s="77" t="s">
        <v>682</v>
      </c>
      <c r="D147" s="76" t="s">
        <v>23</v>
      </c>
      <c r="E147" s="76"/>
      <c r="F147" s="76" t="s">
        <v>18</v>
      </c>
      <c r="G147" s="76">
        <v>500.0</v>
      </c>
      <c r="H147" s="76">
        <v>125.0</v>
      </c>
      <c r="I147" s="75">
        <v>46081.0</v>
      </c>
      <c r="J147" s="78">
        <v>10.18</v>
      </c>
      <c r="K147" s="76" t="s">
        <v>101</v>
      </c>
      <c r="L147" s="79" t="b">
        <v>1</v>
      </c>
      <c r="M147" s="80">
        <f t="shared" si="1"/>
        <v>46081.48323</v>
      </c>
      <c r="N147" s="79" t="b">
        <v>1</v>
      </c>
      <c r="O147" s="80">
        <f t="shared" si="2"/>
        <v>46081.48704</v>
      </c>
      <c r="P147" s="76" t="s">
        <v>101</v>
      </c>
      <c r="Q147" s="76" t="s">
        <v>11</v>
      </c>
      <c r="R147" s="76" t="b">
        <v>0</v>
      </c>
      <c r="S147" s="82" t="b">
        <v>0</v>
      </c>
      <c r="T147" s="76">
        <v>132.0</v>
      </c>
      <c r="U147" s="79" t="s">
        <v>96</v>
      </c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>
        <v>46081.0</v>
      </c>
      <c r="B148" s="76" t="s">
        <v>683</v>
      </c>
      <c r="C148" s="77" t="s">
        <v>684</v>
      </c>
      <c r="D148" s="76" t="s">
        <v>47</v>
      </c>
      <c r="E148" s="76"/>
      <c r="F148" s="76" t="s">
        <v>18</v>
      </c>
      <c r="G148" s="76">
        <v>1.0</v>
      </c>
      <c r="H148" s="76">
        <v>1.0</v>
      </c>
      <c r="I148" s="75">
        <v>46081.0</v>
      </c>
      <c r="J148" s="78">
        <v>10.18</v>
      </c>
      <c r="K148" s="76" t="s">
        <v>101</v>
      </c>
      <c r="L148" s="79" t="b">
        <v>1</v>
      </c>
      <c r="M148" s="80">
        <f t="shared" si="1"/>
        <v>46081.47843</v>
      </c>
      <c r="N148" s="79" t="b">
        <v>1</v>
      </c>
      <c r="O148" s="80">
        <f t="shared" si="2"/>
        <v>46081.48145</v>
      </c>
      <c r="P148" s="76" t="s">
        <v>101</v>
      </c>
      <c r="Q148" s="76" t="s">
        <v>11</v>
      </c>
      <c r="R148" s="76" t="b">
        <v>0</v>
      </c>
      <c r="S148" s="82" t="b">
        <v>0</v>
      </c>
      <c r="T148" s="76">
        <v>4.0</v>
      </c>
      <c r="U148" s="79" t="s">
        <v>96</v>
      </c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>
        <v>46081.0</v>
      </c>
      <c r="B149" s="76" t="s">
        <v>685</v>
      </c>
      <c r="C149" s="77" t="s">
        <v>686</v>
      </c>
      <c r="D149" s="76" t="s">
        <v>23</v>
      </c>
      <c r="E149" s="76"/>
      <c r="F149" s="76" t="s">
        <v>8</v>
      </c>
      <c r="G149" s="76">
        <v>1000.0</v>
      </c>
      <c r="H149" s="76">
        <v>500.0</v>
      </c>
      <c r="I149" s="75">
        <v>46083.0</v>
      </c>
      <c r="J149" s="78">
        <v>10.18</v>
      </c>
      <c r="K149" s="76" t="s">
        <v>101</v>
      </c>
      <c r="L149" s="79" t="b">
        <v>1</v>
      </c>
      <c r="M149" s="80">
        <f t="shared" si="1"/>
        <v>46081.48816</v>
      </c>
      <c r="N149" s="79" t="b">
        <v>1</v>
      </c>
      <c r="O149" s="80">
        <f t="shared" si="2"/>
        <v>46081.50258</v>
      </c>
      <c r="P149" s="76" t="s">
        <v>101</v>
      </c>
      <c r="Q149" s="76" t="s">
        <v>11</v>
      </c>
      <c r="R149" s="76" t="b">
        <v>0</v>
      </c>
      <c r="S149" s="82" t="b">
        <v>0</v>
      </c>
      <c r="T149" s="76">
        <v>508.0</v>
      </c>
      <c r="U149" s="79" t="s">
        <v>96</v>
      </c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>
        <v>46081.0</v>
      </c>
      <c r="B150" s="76" t="s">
        <v>687</v>
      </c>
      <c r="C150" s="77" t="s">
        <v>688</v>
      </c>
      <c r="D150" s="76" t="s">
        <v>31</v>
      </c>
      <c r="E150" s="76"/>
      <c r="F150" s="76" t="s">
        <v>8</v>
      </c>
      <c r="G150" s="76">
        <v>300.0</v>
      </c>
      <c r="H150" s="76">
        <v>75.0</v>
      </c>
      <c r="I150" s="75">
        <v>46084.0</v>
      </c>
      <c r="J150" s="78">
        <v>10.18</v>
      </c>
      <c r="K150" s="76" t="s">
        <v>101</v>
      </c>
      <c r="L150" s="79" t="b">
        <v>1</v>
      </c>
      <c r="M150" s="80">
        <f t="shared" si="1"/>
        <v>46081.56465</v>
      </c>
      <c r="N150" s="79" t="b">
        <v>1</v>
      </c>
      <c r="O150" s="80">
        <f t="shared" si="2"/>
        <v>46081.56763</v>
      </c>
      <c r="P150" s="76" t="s">
        <v>101</v>
      </c>
      <c r="Q150" s="76" t="s">
        <v>11</v>
      </c>
      <c r="R150" s="76" t="b">
        <v>0</v>
      </c>
      <c r="S150" s="82" t="b">
        <v>0</v>
      </c>
      <c r="T150" s="76">
        <v>80.0</v>
      </c>
      <c r="U150" s="79" t="s">
        <v>96</v>
      </c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>
        <v>46081.0</v>
      </c>
      <c r="B151" s="76" t="s">
        <v>689</v>
      </c>
      <c r="C151" s="77" t="s">
        <v>690</v>
      </c>
      <c r="D151" s="76" t="s">
        <v>23</v>
      </c>
      <c r="E151" s="76"/>
      <c r="F151" s="76" t="s">
        <v>8</v>
      </c>
      <c r="G151" s="76">
        <v>100.0</v>
      </c>
      <c r="H151" s="76">
        <v>50.0</v>
      </c>
      <c r="I151" s="75">
        <v>46085.0</v>
      </c>
      <c r="J151" s="78">
        <v>10.18</v>
      </c>
      <c r="K151" s="76" t="s">
        <v>101</v>
      </c>
      <c r="L151" s="79" t="b">
        <v>1</v>
      </c>
      <c r="M151" s="80">
        <f t="shared" si="1"/>
        <v>46081.56057</v>
      </c>
      <c r="N151" s="79" t="b">
        <v>1</v>
      </c>
      <c r="O151" s="80">
        <f t="shared" si="2"/>
        <v>46081.56411</v>
      </c>
      <c r="P151" s="76" t="s">
        <v>101</v>
      </c>
      <c r="Q151" s="76" t="s">
        <v>11</v>
      </c>
      <c r="R151" s="76" t="b">
        <v>0</v>
      </c>
      <c r="S151" s="82" t="b">
        <v>0</v>
      </c>
      <c r="T151" s="76">
        <v>60.0</v>
      </c>
      <c r="U151" s="79" t="s">
        <v>96</v>
      </c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>
        <v>46081.0</v>
      </c>
      <c r="B152" s="76" t="s">
        <v>691</v>
      </c>
      <c r="C152" s="77" t="s">
        <v>692</v>
      </c>
      <c r="D152" s="76" t="s">
        <v>23</v>
      </c>
      <c r="E152" s="76"/>
      <c r="F152" s="76" t="s">
        <v>8</v>
      </c>
      <c r="G152" s="76">
        <v>200.0</v>
      </c>
      <c r="H152" s="76">
        <v>100.0</v>
      </c>
      <c r="I152" s="75">
        <v>46085.0</v>
      </c>
      <c r="J152" s="78">
        <v>14.44</v>
      </c>
      <c r="K152" s="76" t="s">
        <v>101</v>
      </c>
      <c r="L152" s="79" t="b">
        <v>1</v>
      </c>
      <c r="M152" s="80">
        <f t="shared" si="1"/>
        <v>46081.63963</v>
      </c>
      <c r="N152" s="79" t="b">
        <v>1</v>
      </c>
      <c r="O152" s="80">
        <f t="shared" si="2"/>
        <v>46081.64544</v>
      </c>
      <c r="P152" s="76" t="s">
        <v>101</v>
      </c>
      <c r="Q152" s="76" t="s">
        <v>11</v>
      </c>
      <c r="R152" s="76" t="b">
        <v>0</v>
      </c>
      <c r="S152" s="82" t="b">
        <v>0</v>
      </c>
      <c r="T152" s="76">
        <v>108.0</v>
      </c>
      <c r="U152" s="79" t="s">
        <v>96</v>
      </c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>
        <v>46081.0</v>
      </c>
      <c r="B153" s="76" t="s">
        <v>693</v>
      </c>
      <c r="C153" s="77" t="s">
        <v>694</v>
      </c>
      <c r="D153" s="76" t="s">
        <v>23</v>
      </c>
      <c r="E153" s="76"/>
      <c r="F153" s="76" t="s">
        <v>8</v>
      </c>
      <c r="G153" s="76">
        <v>500.0</v>
      </c>
      <c r="H153" s="76">
        <v>125.0</v>
      </c>
      <c r="I153" s="75">
        <v>46085.0</v>
      </c>
      <c r="J153" s="78">
        <v>14.44</v>
      </c>
      <c r="K153" s="76" t="s">
        <v>101</v>
      </c>
      <c r="L153" s="79" t="b">
        <v>1</v>
      </c>
      <c r="M153" s="80">
        <f t="shared" si="1"/>
        <v>46081.63335</v>
      </c>
      <c r="N153" s="79" t="b">
        <v>1</v>
      </c>
      <c r="O153" s="80">
        <f t="shared" si="2"/>
        <v>46081.63869</v>
      </c>
      <c r="P153" s="76" t="s">
        <v>101</v>
      </c>
      <c r="Q153" s="76" t="s">
        <v>11</v>
      </c>
      <c r="R153" s="76" t="b">
        <v>0</v>
      </c>
      <c r="S153" s="82" t="b">
        <v>0</v>
      </c>
      <c r="T153" s="76">
        <v>128.0</v>
      </c>
      <c r="U153" s="79" t="s">
        <v>96</v>
      </c>
      <c r="V153" s="83" t="s">
        <v>437</v>
      </c>
      <c r="W153" s="74"/>
      <c r="X153" s="74"/>
      <c r="Y153" s="74"/>
      <c r="Z153" s="74"/>
      <c r="AA153" s="74"/>
      <c r="AB153" s="74"/>
      <c r="AC153" s="74"/>
      <c r="AD153" s="74"/>
    </row>
    <row r="154">
      <c r="A154" s="96">
        <v>46081.0</v>
      </c>
      <c r="B154" s="97" t="s">
        <v>695</v>
      </c>
      <c r="C154" s="120" t="s">
        <v>696</v>
      </c>
      <c r="D154" s="97" t="s">
        <v>34</v>
      </c>
      <c r="E154" s="97"/>
      <c r="F154" s="97" t="s">
        <v>8</v>
      </c>
      <c r="G154" s="97">
        <v>84.0</v>
      </c>
      <c r="H154" s="97">
        <v>20.0</v>
      </c>
      <c r="I154" s="96">
        <v>46084.0</v>
      </c>
      <c r="J154" s="99">
        <v>15.11</v>
      </c>
      <c r="K154" s="97" t="s">
        <v>1</v>
      </c>
      <c r="L154" s="100" t="b">
        <v>1</v>
      </c>
      <c r="M154" s="101">
        <f t="shared" si="1"/>
        <v>46081.6496</v>
      </c>
      <c r="N154" s="100" t="b">
        <v>1</v>
      </c>
      <c r="O154" s="101">
        <f t="shared" si="2"/>
        <v>46081.65259</v>
      </c>
      <c r="P154" s="97" t="s">
        <v>101</v>
      </c>
      <c r="Q154" s="97" t="s">
        <v>38</v>
      </c>
      <c r="R154" s="97" t="b">
        <v>0</v>
      </c>
      <c r="S154" s="121" t="b">
        <v>0</v>
      </c>
      <c r="T154" s="97">
        <v>21.0</v>
      </c>
      <c r="U154" s="100" t="s">
        <v>28</v>
      </c>
      <c r="V154" s="102"/>
      <c r="W154" s="74"/>
      <c r="X154" s="74"/>
      <c r="Y154" s="74"/>
      <c r="Z154" s="74"/>
      <c r="AA154" s="74"/>
      <c r="AB154" s="74"/>
      <c r="AC154" s="74"/>
      <c r="AD154" s="74"/>
    </row>
    <row r="155">
      <c r="A155" s="103"/>
      <c r="B155" s="104"/>
      <c r="C155" s="122"/>
      <c r="D155" s="104"/>
      <c r="E155" s="104"/>
      <c r="F155" s="104"/>
      <c r="G155" s="104"/>
      <c r="H155" s="104"/>
      <c r="I155" s="103"/>
      <c r="J155" s="106"/>
      <c r="K155" s="104"/>
      <c r="L155" s="107"/>
      <c r="M155" s="108"/>
      <c r="N155" s="107"/>
      <c r="O155" s="108"/>
      <c r="P155" s="104"/>
      <c r="Q155" s="104"/>
      <c r="R155" s="104"/>
      <c r="S155" s="123"/>
      <c r="T155" s="104"/>
      <c r="U155" s="107"/>
      <c r="V155" s="109"/>
      <c r="W155" s="74"/>
      <c r="X155" s="74"/>
      <c r="Y155" s="74"/>
      <c r="Z155" s="74"/>
      <c r="AA155" s="74"/>
      <c r="AB155" s="74"/>
      <c r="AC155" s="74"/>
      <c r="AD155" s="74"/>
    </row>
    <row r="156">
      <c r="A156" s="110"/>
      <c r="B156" s="111"/>
      <c r="C156" s="117"/>
      <c r="D156" s="111"/>
      <c r="E156" s="111"/>
      <c r="F156" s="111"/>
      <c r="G156" s="111"/>
      <c r="H156" s="111"/>
      <c r="I156" s="110"/>
      <c r="J156" s="113"/>
      <c r="K156" s="111"/>
      <c r="L156" s="114"/>
      <c r="M156" s="115"/>
      <c r="N156" s="114"/>
      <c r="O156" s="115"/>
      <c r="P156" s="111"/>
      <c r="Q156" s="111"/>
      <c r="R156" s="111"/>
      <c r="S156" s="124"/>
      <c r="T156" s="111"/>
      <c r="U156" s="114"/>
      <c r="V156" s="74"/>
      <c r="W156" s="74"/>
      <c r="X156" s="74"/>
      <c r="Y156" s="74"/>
      <c r="Z156" s="74"/>
      <c r="AA156" s="74"/>
      <c r="AB156" s="74"/>
      <c r="AC156" s="74"/>
      <c r="AD156" s="74"/>
    </row>
    <row r="157">
      <c r="A157" s="110"/>
      <c r="B157" s="111"/>
      <c r="C157" s="117"/>
      <c r="D157" s="111"/>
      <c r="E157" s="111"/>
      <c r="F157" s="111"/>
      <c r="G157" s="111"/>
      <c r="H157" s="111"/>
      <c r="I157" s="110"/>
      <c r="J157" s="113"/>
      <c r="K157" s="111"/>
      <c r="L157" s="114"/>
      <c r="M157" s="115"/>
      <c r="N157" s="114"/>
      <c r="O157" s="115"/>
      <c r="P157" s="111"/>
      <c r="Q157" s="111"/>
      <c r="R157" s="111"/>
      <c r="S157" s="124"/>
      <c r="T157" s="111"/>
      <c r="U157" s="114"/>
      <c r="V157" s="74"/>
      <c r="W157" s="74"/>
      <c r="X157" s="74"/>
      <c r="Y157" s="74"/>
      <c r="Z157" s="74"/>
      <c r="AA157" s="74"/>
      <c r="AB157" s="74"/>
      <c r="AC157" s="74"/>
      <c r="AD157" s="74"/>
    </row>
    <row r="158">
      <c r="A158" s="110"/>
      <c r="B158" s="111"/>
      <c r="C158" s="117"/>
      <c r="D158" s="111"/>
      <c r="E158" s="111"/>
      <c r="F158" s="111"/>
      <c r="G158" s="111"/>
      <c r="H158" s="111"/>
      <c r="I158" s="110"/>
      <c r="J158" s="113"/>
      <c r="K158" s="111"/>
      <c r="L158" s="114"/>
      <c r="M158" s="115"/>
      <c r="N158" s="114"/>
      <c r="O158" s="115"/>
      <c r="P158" s="111"/>
      <c r="Q158" s="111"/>
      <c r="R158" s="111"/>
      <c r="S158" s="124"/>
      <c r="T158" s="111"/>
      <c r="U158" s="114"/>
      <c r="V158" s="74"/>
      <c r="W158" s="74"/>
      <c r="X158" s="74"/>
      <c r="Y158" s="74"/>
      <c r="Z158" s="74"/>
      <c r="AA158" s="74"/>
      <c r="AB158" s="74"/>
      <c r="AC158" s="74"/>
      <c r="AD158" s="74"/>
    </row>
    <row r="159">
      <c r="A159" s="110"/>
      <c r="B159" s="111"/>
      <c r="C159" s="117"/>
      <c r="D159" s="111"/>
      <c r="E159" s="111"/>
      <c r="F159" s="111"/>
      <c r="G159" s="111"/>
      <c r="H159" s="111"/>
      <c r="I159" s="110"/>
      <c r="J159" s="113"/>
      <c r="K159" s="111"/>
      <c r="L159" s="114"/>
      <c r="M159" s="115"/>
      <c r="N159" s="114"/>
      <c r="O159" s="115"/>
      <c r="P159" s="111"/>
      <c r="Q159" s="111"/>
      <c r="R159" s="111"/>
      <c r="S159" s="124"/>
      <c r="T159" s="111"/>
      <c r="U159" s="114"/>
      <c r="V159" s="74"/>
      <c r="W159" s="74"/>
      <c r="X159" s="74"/>
      <c r="Y159" s="74"/>
      <c r="Z159" s="74"/>
      <c r="AA159" s="74"/>
      <c r="AB159" s="74"/>
      <c r="AC159" s="74"/>
      <c r="AD159" s="74"/>
    </row>
    <row r="160">
      <c r="A160" s="110"/>
      <c r="B160" s="111"/>
      <c r="C160" s="117"/>
      <c r="D160" s="111"/>
      <c r="E160" s="111"/>
      <c r="F160" s="111"/>
      <c r="G160" s="111"/>
      <c r="H160" s="111"/>
      <c r="I160" s="110"/>
      <c r="J160" s="113"/>
      <c r="K160" s="111"/>
      <c r="L160" s="114"/>
      <c r="M160" s="115"/>
      <c r="N160" s="114"/>
      <c r="O160" s="115"/>
      <c r="P160" s="111"/>
      <c r="Q160" s="111"/>
      <c r="R160" s="111"/>
      <c r="S160" s="124"/>
      <c r="T160" s="111"/>
      <c r="U160" s="114"/>
      <c r="V160" s="74"/>
      <c r="W160" s="74"/>
      <c r="X160" s="74"/>
      <c r="Y160" s="74"/>
      <c r="Z160" s="74"/>
      <c r="AA160" s="74"/>
      <c r="AB160" s="74"/>
      <c r="AC160" s="74"/>
      <c r="AD160" s="74"/>
    </row>
    <row r="161">
      <c r="A161" s="110"/>
      <c r="B161" s="111"/>
      <c r="C161" s="117"/>
      <c r="D161" s="111"/>
      <c r="E161" s="111"/>
      <c r="F161" s="111"/>
      <c r="G161" s="111"/>
      <c r="H161" s="111"/>
      <c r="I161" s="110"/>
      <c r="J161" s="113"/>
      <c r="K161" s="111"/>
      <c r="L161" s="114"/>
      <c r="M161" s="115"/>
      <c r="N161" s="114"/>
      <c r="O161" s="115"/>
      <c r="P161" s="111"/>
      <c r="Q161" s="111"/>
      <c r="R161" s="111"/>
      <c r="S161" s="124"/>
      <c r="T161" s="111"/>
      <c r="U161" s="114"/>
      <c r="V161" s="74"/>
      <c r="W161" s="74"/>
      <c r="X161" s="74"/>
      <c r="Y161" s="74"/>
      <c r="Z161" s="74"/>
      <c r="AA161" s="74"/>
      <c r="AB161" s="74"/>
      <c r="AC161" s="74"/>
      <c r="AD161" s="74"/>
    </row>
    <row r="162">
      <c r="A162" s="110"/>
      <c r="B162" s="111"/>
      <c r="C162" s="117"/>
      <c r="D162" s="111"/>
      <c r="E162" s="111"/>
      <c r="F162" s="111"/>
      <c r="G162" s="111"/>
      <c r="H162" s="111"/>
      <c r="I162" s="110"/>
      <c r="J162" s="113"/>
      <c r="K162" s="111"/>
      <c r="L162" s="114"/>
      <c r="M162" s="115"/>
      <c r="N162" s="114"/>
      <c r="O162" s="115"/>
      <c r="P162" s="111"/>
      <c r="Q162" s="111"/>
      <c r="R162" s="111"/>
      <c r="S162" s="124"/>
      <c r="T162" s="111"/>
      <c r="U162" s="114"/>
      <c r="V162" s="74"/>
      <c r="W162" s="74"/>
      <c r="X162" s="74"/>
      <c r="Y162" s="74"/>
      <c r="Z162" s="74"/>
      <c r="AA162" s="74"/>
      <c r="AB162" s="74"/>
      <c r="AC162" s="74"/>
      <c r="AD162" s="74"/>
    </row>
    <row r="163">
      <c r="A163" s="110"/>
      <c r="B163" s="111"/>
      <c r="C163" s="117"/>
      <c r="D163" s="111"/>
      <c r="E163" s="111"/>
      <c r="F163" s="111"/>
      <c r="G163" s="111"/>
      <c r="H163" s="111"/>
      <c r="I163" s="110"/>
      <c r="J163" s="113"/>
      <c r="K163" s="111"/>
      <c r="L163" s="114"/>
      <c r="M163" s="115"/>
      <c r="N163" s="114"/>
      <c r="O163" s="115"/>
      <c r="P163" s="111"/>
      <c r="Q163" s="111"/>
      <c r="R163" s="111"/>
      <c r="S163" s="111"/>
      <c r="T163" s="111"/>
      <c r="U163" s="114"/>
      <c r="V163" s="74"/>
      <c r="W163" s="74"/>
      <c r="X163" s="74"/>
      <c r="Y163" s="74"/>
      <c r="Z163" s="74"/>
      <c r="AA163" s="74"/>
      <c r="AB163" s="74"/>
      <c r="AC163" s="74"/>
      <c r="AD163" s="74"/>
    </row>
    <row r="164">
      <c r="A164" s="110"/>
      <c r="B164" s="111"/>
      <c r="C164" s="112"/>
      <c r="D164" s="111"/>
      <c r="E164" s="111"/>
      <c r="F164" s="111"/>
      <c r="G164" s="111"/>
      <c r="H164" s="111"/>
      <c r="I164" s="110"/>
      <c r="J164" s="113"/>
      <c r="K164" s="111"/>
      <c r="L164" s="114"/>
      <c r="M164" s="115"/>
      <c r="N164" s="114"/>
      <c r="O164" s="115"/>
      <c r="P164" s="111"/>
      <c r="Q164" s="111"/>
      <c r="R164" s="111"/>
      <c r="S164" s="111"/>
      <c r="T164" s="111"/>
      <c r="U164" s="114"/>
      <c r="V164" s="74"/>
      <c r="W164" s="74"/>
      <c r="X164" s="74"/>
      <c r="Y164" s="74"/>
      <c r="Z164" s="74"/>
      <c r="AA164" s="74"/>
      <c r="AB164" s="74"/>
      <c r="AC164" s="74"/>
      <c r="AD164" s="74"/>
    </row>
    <row r="165">
      <c r="A165" s="110"/>
      <c r="B165" s="111"/>
      <c r="C165" s="112"/>
      <c r="D165" s="111"/>
      <c r="E165" s="111"/>
      <c r="F165" s="111"/>
      <c r="G165" s="111"/>
      <c r="H165" s="111"/>
      <c r="I165" s="110"/>
      <c r="J165" s="113"/>
      <c r="K165" s="111"/>
      <c r="L165" s="114"/>
      <c r="M165" s="115"/>
      <c r="N165" s="114"/>
      <c r="O165" s="115"/>
      <c r="P165" s="111"/>
      <c r="Q165" s="111"/>
      <c r="R165" s="111"/>
      <c r="S165" s="111"/>
      <c r="T165" s="111"/>
      <c r="U165" s="114"/>
      <c r="V165" s="74"/>
      <c r="W165" s="74"/>
      <c r="X165" s="74"/>
      <c r="Y165" s="74"/>
      <c r="Z165" s="74"/>
      <c r="AA165" s="74"/>
      <c r="AB165" s="74"/>
      <c r="AC165" s="74"/>
      <c r="AD165" s="74"/>
    </row>
    <row r="166">
      <c r="A166" s="110"/>
      <c r="B166" s="111"/>
      <c r="C166" s="112"/>
      <c r="D166" s="111"/>
      <c r="E166" s="111"/>
      <c r="F166" s="111"/>
      <c r="G166" s="111"/>
      <c r="H166" s="111"/>
      <c r="I166" s="110"/>
      <c r="J166" s="113"/>
      <c r="K166" s="111"/>
      <c r="L166" s="114"/>
      <c r="M166" s="115"/>
      <c r="N166" s="114"/>
      <c r="O166" s="115"/>
      <c r="P166" s="111"/>
      <c r="Q166" s="111"/>
      <c r="R166" s="111"/>
      <c r="S166" s="111"/>
      <c r="T166" s="111"/>
      <c r="U166" s="114"/>
      <c r="V166" s="74"/>
      <c r="W166" s="74"/>
      <c r="X166" s="74"/>
      <c r="Y166" s="74"/>
      <c r="Z166" s="74"/>
      <c r="AA166" s="74"/>
      <c r="AB166" s="74"/>
      <c r="AC166" s="74"/>
      <c r="AD166" s="74"/>
    </row>
    <row r="167">
      <c r="A167" s="110"/>
      <c r="B167" s="111"/>
      <c r="C167" s="112"/>
      <c r="D167" s="111"/>
      <c r="E167" s="111"/>
      <c r="F167" s="111"/>
      <c r="G167" s="111"/>
      <c r="H167" s="111"/>
      <c r="I167" s="110"/>
      <c r="J167" s="113"/>
      <c r="K167" s="111"/>
      <c r="L167" s="114"/>
      <c r="M167" s="115"/>
      <c r="N167" s="114"/>
      <c r="O167" s="115"/>
      <c r="P167" s="111"/>
      <c r="Q167" s="111"/>
      <c r="R167" s="111"/>
      <c r="S167" s="111"/>
      <c r="T167" s="111"/>
      <c r="U167" s="114"/>
      <c r="V167" s="74"/>
      <c r="W167" s="74"/>
      <c r="X167" s="74"/>
      <c r="Y167" s="74"/>
      <c r="Z167" s="74"/>
      <c r="AA167" s="74"/>
      <c r="AB167" s="74"/>
      <c r="AC167" s="74"/>
      <c r="AD167" s="74"/>
    </row>
    <row r="168">
      <c r="A168" s="110"/>
      <c r="B168" s="111"/>
      <c r="C168" s="112"/>
      <c r="D168" s="111"/>
      <c r="E168" s="111"/>
      <c r="F168" s="111"/>
      <c r="G168" s="111"/>
      <c r="H168" s="111"/>
      <c r="I168" s="110"/>
      <c r="J168" s="113"/>
      <c r="K168" s="111"/>
      <c r="L168" s="114"/>
      <c r="M168" s="115"/>
      <c r="N168" s="114"/>
      <c r="O168" s="115"/>
      <c r="P168" s="111"/>
      <c r="Q168" s="111"/>
      <c r="R168" s="111"/>
      <c r="S168" s="111"/>
      <c r="T168" s="111"/>
      <c r="U168" s="114"/>
      <c r="V168" s="74"/>
      <c r="W168" s="74"/>
      <c r="X168" s="74"/>
      <c r="Y168" s="74"/>
      <c r="Z168" s="74"/>
      <c r="AA168" s="74"/>
      <c r="AB168" s="74"/>
      <c r="AC168" s="74"/>
      <c r="AD168" s="74"/>
    </row>
    <row r="169">
      <c r="A169" s="110"/>
      <c r="B169" s="111"/>
      <c r="C169" s="112"/>
      <c r="D169" s="111"/>
      <c r="E169" s="111"/>
      <c r="F169" s="111"/>
      <c r="G169" s="111"/>
      <c r="H169" s="111"/>
      <c r="I169" s="110"/>
      <c r="J169" s="113"/>
      <c r="K169" s="111"/>
      <c r="L169" s="114"/>
      <c r="M169" s="115"/>
      <c r="N169" s="114"/>
      <c r="O169" s="115"/>
      <c r="P169" s="111"/>
      <c r="Q169" s="111"/>
      <c r="R169" s="111"/>
      <c r="S169" s="111"/>
      <c r="T169" s="111"/>
      <c r="U169" s="114"/>
      <c r="V169" s="74"/>
      <c r="W169" s="74"/>
      <c r="X169" s="74"/>
      <c r="Y169" s="74"/>
      <c r="Z169" s="74"/>
      <c r="AA169" s="74"/>
      <c r="AB169" s="74"/>
      <c r="AC169" s="74"/>
      <c r="AD169" s="74"/>
    </row>
    <row r="170">
      <c r="A170" s="110"/>
      <c r="B170" s="111"/>
      <c r="C170" s="112"/>
      <c r="D170" s="111"/>
      <c r="E170" s="111"/>
      <c r="F170" s="111"/>
      <c r="G170" s="111"/>
      <c r="H170" s="111"/>
      <c r="I170" s="110"/>
      <c r="J170" s="113"/>
      <c r="K170" s="111"/>
      <c r="L170" s="114"/>
      <c r="M170" s="115"/>
      <c r="N170" s="114"/>
      <c r="O170" s="115"/>
      <c r="P170" s="111"/>
      <c r="Q170" s="111"/>
      <c r="R170" s="111"/>
      <c r="S170" s="111"/>
      <c r="T170" s="111"/>
      <c r="U170" s="114"/>
      <c r="V170" s="74"/>
      <c r="W170" s="74"/>
      <c r="X170" s="74"/>
      <c r="Y170" s="74"/>
      <c r="Z170" s="74"/>
      <c r="AA170" s="74"/>
      <c r="AB170" s="74"/>
      <c r="AC170" s="74"/>
      <c r="AD170" s="74"/>
    </row>
    <row r="171">
      <c r="A171" s="110"/>
      <c r="B171" s="111"/>
      <c r="C171" s="112"/>
      <c r="D171" s="111"/>
      <c r="E171" s="111"/>
      <c r="F171" s="111"/>
      <c r="G171" s="111"/>
      <c r="H171" s="111"/>
      <c r="I171" s="110"/>
      <c r="J171" s="113"/>
      <c r="K171" s="111"/>
      <c r="L171" s="114"/>
      <c r="M171" s="115"/>
      <c r="N171" s="114"/>
      <c r="O171" s="115"/>
      <c r="P171" s="111"/>
      <c r="Q171" s="111"/>
      <c r="R171" s="111"/>
      <c r="S171" s="111"/>
      <c r="T171" s="111"/>
      <c r="U171" s="114"/>
      <c r="V171" s="74"/>
      <c r="W171" s="74"/>
      <c r="X171" s="74"/>
      <c r="Y171" s="74"/>
      <c r="Z171" s="74"/>
      <c r="AA171" s="74"/>
      <c r="AB171" s="74"/>
      <c r="AC171" s="74"/>
      <c r="AD171" s="74"/>
    </row>
    <row r="172">
      <c r="A172" s="110"/>
      <c r="B172" s="111"/>
      <c r="C172" s="112"/>
      <c r="D172" s="111"/>
      <c r="E172" s="111"/>
      <c r="F172" s="111"/>
      <c r="G172" s="111"/>
      <c r="H172" s="111"/>
      <c r="I172" s="110"/>
      <c r="J172" s="113"/>
      <c r="K172" s="111"/>
      <c r="L172" s="114"/>
      <c r="M172" s="115"/>
      <c r="N172" s="114"/>
      <c r="O172" s="115"/>
      <c r="P172" s="111"/>
      <c r="Q172" s="111"/>
      <c r="R172" s="111"/>
      <c r="S172" s="111"/>
      <c r="T172" s="111"/>
      <c r="U172" s="114"/>
      <c r="V172" s="74"/>
      <c r="W172" s="74"/>
      <c r="X172" s="74"/>
      <c r="Y172" s="74"/>
      <c r="Z172" s="74"/>
      <c r="AA172" s="74"/>
      <c r="AB172" s="74"/>
      <c r="AC172" s="74"/>
      <c r="AD172" s="74"/>
    </row>
    <row r="173">
      <c r="A173" s="116"/>
      <c r="B173" s="111"/>
      <c r="C173" s="117"/>
      <c r="D173" s="111"/>
      <c r="E173" s="111"/>
      <c r="F173" s="111"/>
      <c r="G173" s="111"/>
      <c r="H173" s="111"/>
      <c r="I173" s="116"/>
      <c r="J173" s="113"/>
      <c r="K173" s="111"/>
      <c r="L173" s="114"/>
      <c r="M173" s="115"/>
      <c r="N173" s="114"/>
      <c r="O173" s="115"/>
      <c r="P173" s="111"/>
      <c r="Q173" s="111"/>
      <c r="R173" s="111"/>
      <c r="S173" s="111"/>
      <c r="T173" s="111"/>
      <c r="U173" s="114"/>
      <c r="V173" s="74"/>
      <c r="W173" s="74"/>
      <c r="X173" s="74"/>
      <c r="Y173" s="74"/>
      <c r="Z173" s="74"/>
      <c r="AA173" s="74"/>
      <c r="AB173" s="74"/>
      <c r="AC173" s="74"/>
      <c r="AD173" s="74"/>
    </row>
    <row r="174">
      <c r="A174" s="116"/>
      <c r="B174" s="111"/>
      <c r="C174" s="117"/>
      <c r="D174" s="111"/>
      <c r="E174" s="111"/>
      <c r="F174" s="111"/>
      <c r="G174" s="111"/>
      <c r="H174" s="111"/>
      <c r="I174" s="116"/>
      <c r="J174" s="113"/>
      <c r="K174" s="111"/>
      <c r="L174" s="114"/>
      <c r="M174" s="115"/>
      <c r="N174" s="114"/>
      <c r="O174" s="115"/>
      <c r="P174" s="111"/>
      <c r="Q174" s="111"/>
      <c r="R174" s="111"/>
      <c r="S174" s="111"/>
      <c r="T174" s="111"/>
      <c r="U174" s="114"/>
      <c r="V174" s="74"/>
      <c r="W174" s="74"/>
      <c r="X174" s="74"/>
      <c r="Y174" s="74"/>
      <c r="Z174" s="74"/>
      <c r="AA174" s="74"/>
      <c r="AB174" s="74"/>
      <c r="AC174" s="74"/>
      <c r="AD174" s="74"/>
    </row>
    <row r="175">
      <c r="A175" s="116"/>
      <c r="B175" s="111"/>
      <c r="C175" s="117"/>
      <c r="D175" s="111"/>
      <c r="E175" s="111"/>
      <c r="F175" s="111"/>
      <c r="G175" s="111"/>
      <c r="H175" s="111"/>
      <c r="I175" s="116"/>
      <c r="J175" s="113"/>
      <c r="K175" s="111"/>
      <c r="L175" s="114"/>
      <c r="M175" s="115"/>
      <c r="N175" s="114"/>
      <c r="O175" s="115"/>
      <c r="P175" s="111"/>
      <c r="Q175" s="111"/>
      <c r="R175" s="111"/>
      <c r="S175" s="111"/>
      <c r="T175" s="111"/>
      <c r="U175" s="114"/>
      <c r="V175" s="118"/>
      <c r="W175" s="74"/>
      <c r="X175" s="74"/>
      <c r="Y175" s="74"/>
      <c r="Z175" s="74"/>
      <c r="AA175" s="74"/>
      <c r="AB175" s="74"/>
      <c r="AC175" s="74"/>
      <c r="AD175" s="74"/>
    </row>
    <row r="176">
      <c r="A176" s="116"/>
      <c r="B176" s="111"/>
      <c r="C176" s="117"/>
      <c r="D176" s="111"/>
      <c r="E176" s="111"/>
      <c r="F176" s="111"/>
      <c r="G176" s="111"/>
      <c r="H176" s="111"/>
      <c r="I176" s="116"/>
      <c r="J176" s="113"/>
      <c r="K176" s="111"/>
      <c r="L176" s="114"/>
      <c r="M176" s="115"/>
      <c r="N176" s="114"/>
      <c r="O176" s="115"/>
      <c r="P176" s="111"/>
      <c r="Q176" s="111"/>
      <c r="R176" s="111"/>
      <c r="S176" s="111"/>
      <c r="T176" s="111"/>
      <c r="U176" s="114"/>
      <c r="V176" s="74"/>
      <c r="W176" s="74"/>
      <c r="X176" s="74"/>
      <c r="Y176" s="74"/>
      <c r="Z176" s="74"/>
      <c r="AA176" s="74"/>
      <c r="AB176" s="74"/>
      <c r="AC176" s="74"/>
      <c r="AD176" s="74"/>
    </row>
    <row r="177">
      <c r="A177" s="116"/>
      <c r="B177" s="111"/>
      <c r="C177" s="117"/>
      <c r="D177" s="111"/>
      <c r="E177" s="111"/>
      <c r="F177" s="111"/>
      <c r="G177" s="111"/>
      <c r="H177" s="111"/>
      <c r="I177" s="116"/>
      <c r="J177" s="113"/>
      <c r="K177" s="111"/>
      <c r="L177" s="114"/>
      <c r="M177" s="115"/>
      <c r="N177" s="114"/>
      <c r="O177" s="115"/>
      <c r="P177" s="111"/>
      <c r="Q177" s="111"/>
      <c r="R177" s="111"/>
      <c r="S177" s="111"/>
      <c r="T177" s="111"/>
      <c r="U177" s="114"/>
      <c r="V177" s="74"/>
      <c r="W177" s="74"/>
      <c r="X177" s="74"/>
      <c r="Y177" s="74"/>
      <c r="Z177" s="74"/>
      <c r="AA177" s="74"/>
      <c r="AB177" s="74"/>
      <c r="AC177" s="74"/>
      <c r="AD177" s="74"/>
    </row>
    <row r="178">
      <c r="A178" s="116"/>
      <c r="B178" s="111"/>
      <c r="C178" s="117"/>
      <c r="D178" s="111"/>
      <c r="E178" s="111"/>
      <c r="F178" s="111"/>
      <c r="G178" s="111"/>
      <c r="H178" s="111"/>
      <c r="I178" s="116"/>
      <c r="J178" s="113"/>
      <c r="K178" s="111"/>
      <c r="L178" s="114"/>
      <c r="M178" s="115"/>
      <c r="N178" s="114"/>
      <c r="O178" s="115"/>
      <c r="P178" s="111"/>
      <c r="Q178" s="111"/>
      <c r="R178" s="111"/>
      <c r="S178" s="111"/>
      <c r="T178" s="111"/>
      <c r="U178" s="114"/>
      <c r="V178" s="74"/>
      <c r="W178" s="74"/>
      <c r="X178" s="74"/>
      <c r="Y178" s="74"/>
      <c r="Z178" s="74"/>
      <c r="AA178" s="74"/>
      <c r="AB178" s="74"/>
      <c r="AC178" s="74"/>
      <c r="AD178" s="74"/>
    </row>
    <row r="179">
      <c r="A179" s="116"/>
      <c r="B179" s="111"/>
      <c r="C179" s="117"/>
      <c r="D179" s="111"/>
      <c r="E179" s="111"/>
      <c r="F179" s="111"/>
      <c r="G179" s="111"/>
      <c r="H179" s="111"/>
      <c r="I179" s="116"/>
      <c r="J179" s="113"/>
      <c r="K179" s="111"/>
      <c r="L179" s="114"/>
      <c r="M179" s="115"/>
      <c r="N179" s="114"/>
      <c r="O179" s="115"/>
      <c r="P179" s="111"/>
      <c r="Q179" s="111"/>
      <c r="R179" s="111"/>
      <c r="S179" s="111"/>
      <c r="T179" s="111"/>
      <c r="U179" s="114"/>
      <c r="V179" s="74"/>
      <c r="W179" s="74"/>
      <c r="X179" s="74"/>
      <c r="Y179" s="74"/>
      <c r="Z179" s="74"/>
      <c r="AA179" s="74"/>
      <c r="AB179" s="74"/>
      <c r="AC179" s="74"/>
      <c r="AD179" s="74"/>
    </row>
    <row r="180">
      <c r="A180" s="116"/>
      <c r="B180" s="111"/>
      <c r="C180" s="117"/>
      <c r="D180" s="111"/>
      <c r="E180" s="111"/>
      <c r="F180" s="111"/>
      <c r="G180" s="111"/>
      <c r="H180" s="111"/>
      <c r="I180" s="116"/>
      <c r="J180" s="113"/>
      <c r="K180" s="111"/>
      <c r="L180" s="114"/>
      <c r="M180" s="115"/>
      <c r="N180" s="114"/>
      <c r="O180" s="115"/>
      <c r="P180" s="111"/>
      <c r="Q180" s="111"/>
      <c r="R180" s="111"/>
      <c r="S180" s="111"/>
      <c r="T180" s="111"/>
      <c r="U180" s="114"/>
      <c r="V180" s="74"/>
      <c r="W180" s="74"/>
      <c r="X180" s="74"/>
      <c r="Y180" s="74"/>
      <c r="Z180" s="74"/>
      <c r="AA180" s="74"/>
      <c r="AB180" s="74"/>
      <c r="AC180" s="74"/>
      <c r="AD180" s="74"/>
    </row>
    <row r="181">
      <c r="A181" s="116"/>
      <c r="B181" s="111"/>
      <c r="C181" s="117"/>
      <c r="D181" s="111"/>
      <c r="E181" s="111"/>
      <c r="F181" s="111"/>
      <c r="G181" s="111"/>
      <c r="H181" s="111"/>
      <c r="I181" s="116"/>
      <c r="J181" s="113"/>
      <c r="K181" s="111"/>
      <c r="L181" s="114"/>
      <c r="M181" s="115"/>
      <c r="N181" s="114"/>
      <c r="O181" s="115"/>
      <c r="P181" s="111"/>
      <c r="Q181" s="111"/>
      <c r="R181" s="111"/>
      <c r="S181" s="111"/>
      <c r="T181" s="111"/>
      <c r="U181" s="114"/>
      <c r="V181" s="74"/>
      <c r="W181" s="74"/>
      <c r="X181" s="74"/>
      <c r="Y181" s="74"/>
      <c r="Z181" s="74"/>
      <c r="AA181" s="74"/>
      <c r="AB181" s="74"/>
      <c r="AC181" s="74"/>
      <c r="AD181" s="74"/>
    </row>
    <row r="182">
      <c r="A182" s="116"/>
      <c r="B182" s="111"/>
      <c r="C182" s="117"/>
      <c r="D182" s="111"/>
      <c r="E182" s="111"/>
      <c r="F182" s="111"/>
      <c r="G182" s="111"/>
      <c r="H182" s="111"/>
      <c r="I182" s="116"/>
      <c r="J182" s="113"/>
      <c r="K182" s="111"/>
      <c r="L182" s="114"/>
      <c r="M182" s="115"/>
      <c r="N182" s="114"/>
      <c r="O182" s="115"/>
      <c r="P182" s="111"/>
      <c r="Q182" s="111"/>
      <c r="R182" s="111"/>
      <c r="S182" s="111"/>
      <c r="T182" s="111"/>
      <c r="U182" s="114"/>
      <c r="V182" s="74"/>
      <c r="W182" s="74"/>
      <c r="X182" s="74"/>
      <c r="Y182" s="74"/>
      <c r="Z182" s="74"/>
      <c r="AA182" s="74"/>
      <c r="AB182" s="74"/>
      <c r="AC182" s="74"/>
      <c r="AD182" s="74"/>
    </row>
    <row r="183">
      <c r="A183" s="116"/>
      <c r="B183" s="111"/>
      <c r="C183" s="117"/>
      <c r="D183" s="111"/>
      <c r="E183" s="111"/>
      <c r="F183" s="111"/>
      <c r="G183" s="111"/>
      <c r="H183" s="111"/>
      <c r="I183" s="116"/>
      <c r="J183" s="113"/>
      <c r="K183" s="111"/>
      <c r="L183" s="114"/>
      <c r="M183" s="115"/>
      <c r="N183" s="114"/>
      <c r="O183" s="115"/>
      <c r="P183" s="111"/>
      <c r="Q183" s="111"/>
      <c r="R183" s="111"/>
      <c r="S183" s="111"/>
      <c r="T183" s="111"/>
      <c r="U183" s="114"/>
      <c r="V183" s="74"/>
      <c r="W183" s="74"/>
      <c r="X183" s="74"/>
      <c r="Y183" s="74"/>
      <c r="Z183" s="74"/>
      <c r="AA183" s="74"/>
      <c r="AB183" s="74"/>
      <c r="AC183" s="74"/>
      <c r="AD183" s="74"/>
    </row>
    <row r="184">
      <c r="A184" s="116"/>
      <c r="B184" s="111"/>
      <c r="C184" s="117"/>
      <c r="D184" s="111"/>
      <c r="E184" s="111"/>
      <c r="F184" s="111"/>
      <c r="G184" s="111"/>
      <c r="H184" s="111"/>
      <c r="I184" s="116"/>
      <c r="J184" s="113"/>
      <c r="K184" s="111"/>
      <c r="L184" s="114"/>
      <c r="M184" s="115"/>
      <c r="N184" s="114"/>
      <c r="O184" s="115"/>
      <c r="P184" s="111"/>
      <c r="Q184" s="111"/>
      <c r="R184" s="111"/>
      <c r="S184" s="111"/>
      <c r="T184" s="111"/>
      <c r="U184" s="114"/>
      <c r="V184" s="74"/>
      <c r="W184" s="74"/>
      <c r="X184" s="74"/>
      <c r="Y184" s="74"/>
      <c r="Z184" s="74"/>
      <c r="AA184" s="74"/>
      <c r="AB184" s="74"/>
      <c r="AC184" s="74"/>
      <c r="AD184" s="74"/>
    </row>
    <row r="185">
      <c r="A185" s="116"/>
      <c r="B185" s="111"/>
      <c r="C185" s="117"/>
      <c r="D185" s="111"/>
      <c r="E185" s="111"/>
      <c r="F185" s="111"/>
      <c r="G185" s="111"/>
      <c r="H185" s="111"/>
      <c r="I185" s="116"/>
      <c r="J185" s="113"/>
      <c r="K185" s="111"/>
      <c r="L185" s="114"/>
      <c r="M185" s="115"/>
      <c r="N185" s="114"/>
      <c r="O185" s="115"/>
      <c r="P185" s="111"/>
      <c r="Q185" s="111"/>
      <c r="R185" s="111"/>
      <c r="S185" s="111"/>
      <c r="T185" s="111"/>
      <c r="U185" s="114"/>
      <c r="V185" s="74"/>
      <c r="W185" s="74"/>
      <c r="X185" s="74"/>
      <c r="Y185" s="74"/>
      <c r="Z185" s="74"/>
      <c r="AA185" s="74"/>
      <c r="AB185" s="74"/>
      <c r="AC185" s="74"/>
      <c r="AD185" s="74"/>
    </row>
    <row r="186">
      <c r="A186" s="116"/>
      <c r="B186" s="111"/>
      <c r="C186" s="117"/>
      <c r="D186" s="111"/>
      <c r="E186" s="111"/>
      <c r="F186" s="111"/>
      <c r="G186" s="111"/>
      <c r="H186" s="111"/>
      <c r="I186" s="116"/>
      <c r="J186" s="113"/>
      <c r="K186" s="111"/>
      <c r="L186" s="114"/>
      <c r="M186" s="115"/>
      <c r="N186" s="114"/>
      <c r="O186" s="115"/>
      <c r="P186" s="111"/>
      <c r="Q186" s="111"/>
      <c r="R186" s="111"/>
      <c r="S186" s="111"/>
      <c r="T186" s="111"/>
      <c r="U186" s="114"/>
      <c r="V186" s="74"/>
      <c r="W186" s="74"/>
      <c r="X186" s="74"/>
      <c r="Y186" s="74"/>
      <c r="Z186" s="74"/>
      <c r="AA186" s="74"/>
      <c r="AB186" s="74"/>
      <c r="AC186" s="74"/>
      <c r="AD186" s="74"/>
    </row>
    <row r="187">
      <c r="A187" s="116"/>
      <c r="B187" s="111"/>
      <c r="C187" s="117"/>
      <c r="D187" s="111"/>
      <c r="E187" s="111"/>
      <c r="F187" s="111"/>
      <c r="G187" s="111"/>
      <c r="H187" s="111"/>
      <c r="I187" s="116"/>
      <c r="J187" s="113"/>
      <c r="K187" s="111"/>
      <c r="L187" s="114"/>
      <c r="M187" s="115"/>
      <c r="N187" s="114"/>
      <c r="O187" s="115"/>
      <c r="P187" s="111"/>
      <c r="Q187" s="111"/>
      <c r="R187" s="111"/>
      <c r="S187" s="111"/>
      <c r="T187" s="111"/>
      <c r="U187" s="114"/>
      <c r="V187" s="74"/>
      <c r="W187" s="74"/>
      <c r="X187" s="74"/>
      <c r="Y187" s="74"/>
      <c r="Z187" s="74"/>
      <c r="AA187" s="74"/>
      <c r="AB187" s="74"/>
      <c r="AC187" s="74"/>
      <c r="AD187" s="74"/>
    </row>
    <row r="188">
      <c r="A188" s="116"/>
      <c r="B188" s="111"/>
      <c r="C188" s="117"/>
      <c r="D188" s="111"/>
      <c r="E188" s="111"/>
      <c r="F188" s="111"/>
      <c r="G188" s="111"/>
      <c r="H188" s="111"/>
      <c r="I188" s="116"/>
      <c r="J188" s="113"/>
      <c r="K188" s="111"/>
      <c r="L188" s="114"/>
      <c r="M188" s="115"/>
      <c r="N188" s="114"/>
      <c r="O188" s="115"/>
      <c r="P188" s="111"/>
      <c r="Q188" s="111"/>
      <c r="R188" s="111"/>
      <c r="S188" s="111"/>
      <c r="T188" s="111"/>
      <c r="U188" s="114"/>
      <c r="V188" s="74"/>
      <c r="W188" s="74"/>
      <c r="X188" s="74"/>
      <c r="Y188" s="74"/>
      <c r="Z188" s="74"/>
      <c r="AA188" s="74"/>
      <c r="AB188" s="74"/>
      <c r="AC188" s="74"/>
      <c r="AD188" s="74"/>
    </row>
    <row r="189">
      <c r="A189" s="116"/>
      <c r="B189" s="111"/>
      <c r="C189" s="117"/>
      <c r="D189" s="111"/>
      <c r="E189" s="111"/>
      <c r="F189" s="111"/>
      <c r="G189" s="111"/>
      <c r="H189" s="111"/>
      <c r="I189" s="116"/>
      <c r="J189" s="113"/>
      <c r="K189" s="111"/>
      <c r="L189" s="114"/>
      <c r="M189" s="115"/>
      <c r="N189" s="114"/>
      <c r="O189" s="115"/>
      <c r="P189" s="111"/>
      <c r="Q189" s="111"/>
      <c r="R189" s="111"/>
      <c r="S189" s="111"/>
      <c r="T189" s="111"/>
      <c r="U189" s="114"/>
      <c r="V189" s="74"/>
      <c r="W189" s="74"/>
      <c r="X189" s="74"/>
      <c r="Y189" s="74"/>
      <c r="Z189" s="74"/>
      <c r="AA189" s="74"/>
      <c r="AB189" s="74"/>
      <c r="AC189" s="74"/>
      <c r="AD189" s="74"/>
    </row>
    <row r="190">
      <c r="A190" s="116"/>
      <c r="B190" s="111"/>
      <c r="C190" s="117"/>
      <c r="D190" s="111"/>
      <c r="E190" s="111"/>
      <c r="F190" s="111"/>
      <c r="G190" s="111"/>
      <c r="H190" s="111"/>
      <c r="I190" s="116"/>
      <c r="J190" s="113"/>
      <c r="K190" s="111"/>
      <c r="L190" s="114"/>
      <c r="M190" s="115"/>
      <c r="N190" s="114"/>
      <c r="O190" s="115"/>
      <c r="P190" s="111"/>
      <c r="Q190" s="111"/>
      <c r="R190" s="111"/>
      <c r="S190" s="111"/>
      <c r="T190" s="111"/>
      <c r="U190" s="114"/>
      <c r="V190" s="74"/>
      <c r="W190" s="74"/>
      <c r="X190" s="74"/>
      <c r="Y190" s="74"/>
      <c r="Z190" s="74"/>
      <c r="AA190" s="74"/>
      <c r="AB190" s="74"/>
      <c r="AC190" s="74"/>
      <c r="AD190" s="74"/>
    </row>
    <row r="191">
      <c r="A191" s="116"/>
      <c r="B191" s="111"/>
      <c r="C191" s="117"/>
      <c r="D191" s="111"/>
      <c r="E191" s="111"/>
      <c r="F191" s="111"/>
      <c r="G191" s="111"/>
      <c r="H191" s="111"/>
      <c r="I191" s="116"/>
      <c r="J191" s="113"/>
      <c r="K191" s="111"/>
      <c r="L191" s="114"/>
      <c r="M191" s="115"/>
      <c r="N191" s="114"/>
      <c r="O191" s="115"/>
      <c r="P191" s="111"/>
      <c r="Q191" s="111"/>
      <c r="R191" s="111"/>
      <c r="S191" s="111"/>
      <c r="T191" s="111"/>
      <c r="U191" s="114"/>
      <c r="V191" s="74"/>
      <c r="W191" s="74"/>
      <c r="X191" s="74"/>
      <c r="Y191" s="74"/>
      <c r="Z191" s="74"/>
      <c r="AA191" s="74"/>
      <c r="AB191" s="74"/>
      <c r="AC191" s="74"/>
      <c r="AD191" s="74"/>
    </row>
    <row r="192">
      <c r="A192" s="116"/>
      <c r="B192" s="111"/>
      <c r="C192" s="117"/>
      <c r="D192" s="111"/>
      <c r="E192" s="111"/>
      <c r="F192" s="111"/>
      <c r="G192" s="111"/>
      <c r="H192" s="111"/>
      <c r="I192" s="116"/>
      <c r="J192" s="113"/>
      <c r="K192" s="111"/>
      <c r="L192" s="114"/>
      <c r="M192" s="115"/>
      <c r="N192" s="114"/>
      <c r="O192" s="115"/>
      <c r="P192" s="111"/>
      <c r="Q192" s="111"/>
      <c r="R192" s="111"/>
      <c r="S192" s="111"/>
      <c r="T192" s="111"/>
      <c r="U192" s="114"/>
      <c r="V192" s="74"/>
      <c r="W192" s="74"/>
      <c r="X192" s="74"/>
      <c r="Y192" s="74"/>
      <c r="Z192" s="74"/>
      <c r="AA192" s="74"/>
      <c r="AB192" s="74"/>
      <c r="AC192" s="74"/>
      <c r="AD192" s="74"/>
    </row>
    <row r="193">
      <c r="A193" s="116"/>
      <c r="B193" s="111"/>
      <c r="C193" s="117"/>
      <c r="D193" s="111"/>
      <c r="E193" s="111"/>
      <c r="F193" s="111"/>
      <c r="G193" s="111"/>
      <c r="H193" s="111"/>
      <c r="I193" s="116"/>
      <c r="J193" s="113"/>
      <c r="K193" s="111"/>
      <c r="L193" s="114"/>
      <c r="M193" s="115"/>
      <c r="N193" s="114"/>
      <c r="O193" s="115"/>
      <c r="P193" s="111"/>
      <c r="Q193" s="111"/>
      <c r="R193" s="111"/>
      <c r="S193" s="111"/>
      <c r="T193" s="111"/>
      <c r="U193" s="114"/>
      <c r="V193" s="74"/>
      <c r="W193" s="74"/>
      <c r="X193" s="74"/>
      <c r="Y193" s="74"/>
      <c r="Z193" s="74"/>
      <c r="AA193" s="74"/>
      <c r="AB193" s="74"/>
      <c r="AC193" s="74"/>
      <c r="AD193" s="74"/>
    </row>
    <row r="194">
      <c r="A194" s="116"/>
      <c r="B194" s="111"/>
      <c r="C194" s="117"/>
      <c r="D194" s="111"/>
      <c r="E194" s="111"/>
      <c r="F194" s="111"/>
      <c r="G194" s="111"/>
      <c r="H194" s="111"/>
      <c r="I194" s="116"/>
      <c r="J194" s="113"/>
      <c r="K194" s="111"/>
      <c r="L194" s="114"/>
      <c r="M194" s="115"/>
      <c r="N194" s="114"/>
      <c r="O194" s="115"/>
      <c r="P194" s="111"/>
      <c r="Q194" s="111"/>
      <c r="R194" s="111"/>
      <c r="S194" s="111"/>
      <c r="T194" s="111"/>
      <c r="U194" s="114"/>
      <c r="V194" s="74"/>
      <c r="W194" s="74"/>
      <c r="X194" s="74"/>
      <c r="Y194" s="74"/>
      <c r="Z194" s="74"/>
      <c r="AA194" s="74"/>
      <c r="AB194" s="74"/>
      <c r="AC194" s="74"/>
      <c r="AD194" s="74"/>
    </row>
    <row r="195">
      <c r="A195" s="116"/>
      <c r="B195" s="111"/>
      <c r="C195" s="117"/>
      <c r="D195" s="111"/>
      <c r="E195" s="111"/>
      <c r="F195" s="111"/>
      <c r="G195" s="111"/>
      <c r="H195" s="111"/>
      <c r="I195" s="116"/>
      <c r="J195" s="113"/>
      <c r="K195" s="111"/>
      <c r="L195" s="114"/>
      <c r="M195" s="115"/>
      <c r="N195" s="114"/>
      <c r="O195" s="115"/>
      <c r="P195" s="111"/>
      <c r="Q195" s="111"/>
      <c r="R195" s="111"/>
      <c r="S195" s="111"/>
      <c r="T195" s="111"/>
      <c r="U195" s="114"/>
      <c r="V195" s="74"/>
      <c r="W195" s="74"/>
      <c r="X195" s="74"/>
      <c r="Y195" s="74"/>
      <c r="Z195" s="74"/>
      <c r="AA195" s="74"/>
      <c r="AB195" s="74"/>
      <c r="AC195" s="74"/>
      <c r="AD195" s="74"/>
    </row>
    <row r="196">
      <c r="A196" s="116"/>
      <c r="B196" s="111"/>
      <c r="C196" s="117"/>
      <c r="D196" s="111"/>
      <c r="E196" s="111"/>
      <c r="F196" s="111"/>
      <c r="G196" s="111"/>
      <c r="H196" s="111"/>
      <c r="I196" s="116"/>
      <c r="J196" s="113"/>
      <c r="K196" s="111"/>
      <c r="L196" s="114"/>
      <c r="M196" s="115"/>
      <c r="N196" s="114"/>
      <c r="O196" s="115"/>
      <c r="P196" s="111"/>
      <c r="Q196" s="111"/>
      <c r="R196" s="111"/>
      <c r="S196" s="111"/>
      <c r="T196" s="111"/>
      <c r="U196" s="114"/>
      <c r="V196" s="74"/>
      <c r="W196" s="74"/>
      <c r="X196" s="74"/>
      <c r="Y196" s="74"/>
      <c r="Z196" s="74"/>
      <c r="AA196" s="74"/>
      <c r="AB196" s="74"/>
      <c r="AC196" s="74"/>
      <c r="AD196" s="74"/>
    </row>
    <row r="197">
      <c r="A197" s="116"/>
      <c r="B197" s="111"/>
      <c r="C197" s="117"/>
      <c r="D197" s="111"/>
      <c r="E197" s="111"/>
      <c r="F197" s="111"/>
      <c r="G197" s="111"/>
      <c r="H197" s="111"/>
      <c r="I197" s="116"/>
      <c r="J197" s="113"/>
      <c r="K197" s="111"/>
      <c r="L197" s="114"/>
      <c r="M197" s="115"/>
      <c r="N197" s="114"/>
      <c r="O197" s="115"/>
      <c r="P197" s="111"/>
      <c r="Q197" s="111"/>
      <c r="R197" s="111"/>
      <c r="S197" s="111"/>
      <c r="T197" s="111"/>
      <c r="U197" s="114"/>
      <c r="V197" s="74"/>
      <c r="W197" s="74"/>
      <c r="X197" s="74"/>
      <c r="Y197" s="74"/>
      <c r="Z197" s="74"/>
      <c r="AA197" s="74"/>
      <c r="AB197" s="74"/>
      <c r="AC197" s="74"/>
      <c r="AD197" s="74"/>
    </row>
    <row r="198">
      <c r="A198" s="116"/>
      <c r="B198" s="111"/>
      <c r="C198" s="117"/>
      <c r="D198" s="111"/>
      <c r="E198" s="111"/>
      <c r="F198" s="111"/>
      <c r="G198" s="111"/>
      <c r="H198" s="111"/>
      <c r="I198" s="116"/>
      <c r="J198" s="113"/>
      <c r="K198" s="111"/>
      <c r="L198" s="114"/>
      <c r="M198" s="115"/>
      <c r="N198" s="114"/>
      <c r="O198" s="115"/>
      <c r="P198" s="111"/>
      <c r="Q198" s="111"/>
      <c r="R198" s="111"/>
      <c r="S198" s="111"/>
      <c r="T198" s="111"/>
      <c r="U198" s="114"/>
      <c r="V198" s="74"/>
      <c r="W198" s="74"/>
      <c r="X198" s="74"/>
      <c r="Y198" s="74"/>
      <c r="Z198" s="74"/>
      <c r="AA198" s="74"/>
      <c r="AB198" s="74"/>
      <c r="AC198" s="74"/>
      <c r="AD198" s="74"/>
    </row>
    <row r="199">
      <c r="A199" s="116"/>
      <c r="B199" s="111"/>
      <c r="C199" s="117"/>
      <c r="D199" s="111"/>
      <c r="E199" s="111"/>
      <c r="F199" s="111"/>
      <c r="G199" s="111"/>
      <c r="H199" s="111"/>
      <c r="I199" s="116"/>
      <c r="J199" s="113"/>
      <c r="K199" s="111"/>
      <c r="L199" s="114"/>
      <c r="M199" s="115"/>
      <c r="N199" s="114"/>
      <c r="O199" s="115"/>
      <c r="P199" s="111"/>
      <c r="Q199" s="111"/>
      <c r="R199" s="111"/>
      <c r="S199" s="111"/>
      <c r="T199" s="111"/>
      <c r="U199" s="114"/>
      <c r="V199" s="74"/>
      <c r="W199" s="74"/>
      <c r="X199" s="74"/>
      <c r="Y199" s="74"/>
      <c r="Z199" s="74"/>
      <c r="AA199" s="74"/>
      <c r="AB199" s="74"/>
      <c r="AC199" s="74"/>
      <c r="AD199" s="74"/>
    </row>
    <row r="200">
      <c r="A200" s="116"/>
      <c r="B200" s="111"/>
      <c r="C200" s="117"/>
      <c r="D200" s="111"/>
      <c r="E200" s="111"/>
      <c r="F200" s="111"/>
      <c r="G200" s="111"/>
      <c r="H200" s="111"/>
      <c r="I200" s="116"/>
      <c r="J200" s="113"/>
      <c r="K200" s="111"/>
      <c r="L200" s="114"/>
      <c r="M200" s="115"/>
      <c r="N200" s="114"/>
      <c r="O200" s="115"/>
      <c r="P200" s="111"/>
      <c r="Q200" s="111"/>
      <c r="R200" s="111"/>
      <c r="S200" s="111"/>
      <c r="T200" s="111"/>
      <c r="U200" s="114"/>
      <c r="V200" s="74"/>
      <c r="W200" s="74"/>
      <c r="X200" s="74"/>
      <c r="Y200" s="74"/>
      <c r="Z200" s="74"/>
      <c r="AA200" s="74"/>
      <c r="AB200" s="74"/>
      <c r="AC200" s="74"/>
      <c r="AD200" s="74"/>
    </row>
    <row r="201">
      <c r="A201" s="116"/>
      <c r="B201" s="111"/>
      <c r="C201" s="117"/>
      <c r="D201" s="111"/>
      <c r="E201" s="111"/>
      <c r="F201" s="111"/>
      <c r="G201" s="111"/>
      <c r="H201" s="111"/>
      <c r="I201" s="116"/>
      <c r="J201" s="113"/>
      <c r="K201" s="111"/>
      <c r="L201" s="114"/>
      <c r="M201" s="115"/>
      <c r="N201" s="114"/>
      <c r="O201" s="115"/>
      <c r="P201" s="111"/>
      <c r="Q201" s="111"/>
      <c r="R201" s="111"/>
      <c r="S201" s="111"/>
      <c r="T201" s="111"/>
      <c r="U201" s="114"/>
      <c r="V201" s="74"/>
      <c r="W201" s="74"/>
      <c r="X201" s="74"/>
      <c r="Y201" s="74"/>
      <c r="Z201" s="74"/>
      <c r="AA201" s="74"/>
      <c r="AB201" s="74"/>
      <c r="AC201" s="74"/>
      <c r="AD201" s="74"/>
    </row>
    <row r="202">
      <c r="A202" s="116"/>
      <c r="B202" s="111"/>
      <c r="C202" s="117"/>
      <c r="D202" s="111"/>
      <c r="E202" s="111"/>
      <c r="F202" s="111"/>
      <c r="G202" s="111"/>
      <c r="H202" s="111"/>
      <c r="I202" s="116"/>
      <c r="J202" s="113"/>
      <c r="K202" s="111"/>
      <c r="L202" s="114"/>
      <c r="M202" s="115"/>
      <c r="N202" s="114"/>
      <c r="O202" s="115"/>
      <c r="P202" s="111"/>
      <c r="Q202" s="111"/>
      <c r="R202" s="111"/>
      <c r="S202" s="111"/>
      <c r="T202" s="111"/>
      <c r="U202" s="114"/>
      <c r="V202" s="74"/>
      <c r="W202" s="74"/>
      <c r="X202" s="74"/>
      <c r="Y202" s="74"/>
      <c r="Z202" s="74"/>
      <c r="AA202" s="74"/>
      <c r="AB202" s="74"/>
      <c r="AC202" s="74"/>
      <c r="AD202" s="74"/>
    </row>
    <row r="203">
      <c r="A203" s="116"/>
      <c r="B203" s="111"/>
      <c r="C203" s="117"/>
      <c r="D203" s="111"/>
      <c r="E203" s="111"/>
      <c r="F203" s="111"/>
      <c r="G203" s="111"/>
      <c r="H203" s="111"/>
      <c r="I203" s="116"/>
      <c r="J203" s="113"/>
      <c r="K203" s="111"/>
      <c r="L203" s="114"/>
      <c r="M203" s="115"/>
      <c r="N203" s="114"/>
      <c r="O203" s="115"/>
      <c r="P203" s="111"/>
      <c r="Q203" s="111"/>
      <c r="R203" s="111"/>
      <c r="S203" s="111"/>
      <c r="T203" s="111"/>
      <c r="U203" s="114"/>
      <c r="V203" s="74"/>
      <c r="W203" s="74"/>
      <c r="X203" s="74"/>
      <c r="Y203" s="74"/>
      <c r="Z203" s="74"/>
      <c r="AA203" s="74"/>
      <c r="AB203" s="74"/>
      <c r="AC203" s="74"/>
      <c r="AD203" s="74"/>
    </row>
    <row r="204">
      <c r="A204" s="116"/>
      <c r="B204" s="111"/>
      <c r="C204" s="117"/>
      <c r="D204" s="111"/>
      <c r="E204" s="111"/>
      <c r="F204" s="111"/>
      <c r="G204" s="111"/>
      <c r="H204" s="111"/>
      <c r="I204" s="116"/>
      <c r="J204" s="113"/>
      <c r="K204" s="111"/>
      <c r="L204" s="114"/>
      <c r="M204" s="115"/>
      <c r="N204" s="114"/>
      <c r="O204" s="115"/>
      <c r="P204" s="111"/>
      <c r="Q204" s="111"/>
      <c r="R204" s="111"/>
      <c r="S204" s="111"/>
      <c r="T204" s="111"/>
      <c r="U204" s="114"/>
      <c r="V204" s="74"/>
      <c r="W204" s="74"/>
      <c r="X204" s="74"/>
      <c r="Y204" s="74"/>
      <c r="Z204" s="74"/>
      <c r="AA204" s="74"/>
      <c r="AB204" s="74"/>
      <c r="AC204" s="74"/>
      <c r="AD204" s="74"/>
    </row>
    <row r="205">
      <c r="A205" s="116"/>
      <c r="B205" s="111"/>
      <c r="C205" s="117"/>
      <c r="D205" s="111"/>
      <c r="E205" s="111"/>
      <c r="F205" s="111"/>
      <c r="G205" s="111"/>
      <c r="H205" s="111"/>
      <c r="I205" s="116"/>
      <c r="J205" s="113"/>
      <c r="K205" s="111"/>
      <c r="L205" s="114"/>
      <c r="M205" s="115"/>
      <c r="N205" s="114"/>
      <c r="O205" s="115"/>
      <c r="P205" s="111"/>
      <c r="Q205" s="111"/>
      <c r="R205" s="111"/>
      <c r="S205" s="111"/>
      <c r="T205" s="111"/>
      <c r="U205" s="114"/>
      <c r="V205" s="74"/>
      <c r="W205" s="74"/>
      <c r="X205" s="74"/>
      <c r="Y205" s="74"/>
      <c r="Z205" s="74"/>
      <c r="AA205" s="74"/>
      <c r="AB205" s="74"/>
      <c r="AC205" s="74"/>
      <c r="AD205" s="74"/>
    </row>
    <row r="206">
      <c r="A206" s="116"/>
      <c r="B206" s="111"/>
      <c r="C206" s="117"/>
      <c r="D206" s="111"/>
      <c r="E206" s="111"/>
      <c r="F206" s="111"/>
      <c r="G206" s="111"/>
      <c r="H206" s="111"/>
      <c r="I206" s="116"/>
      <c r="J206" s="113"/>
      <c r="K206" s="111"/>
      <c r="L206" s="114"/>
      <c r="M206" s="115"/>
      <c r="N206" s="114"/>
      <c r="O206" s="115"/>
      <c r="P206" s="111"/>
      <c r="Q206" s="111"/>
      <c r="R206" s="111"/>
      <c r="S206" s="111"/>
      <c r="T206" s="111"/>
      <c r="U206" s="114"/>
      <c r="V206" s="74"/>
      <c r="W206" s="74"/>
      <c r="X206" s="74"/>
      <c r="Y206" s="74"/>
      <c r="Z206" s="74"/>
      <c r="AA206" s="74"/>
      <c r="AB206" s="74"/>
      <c r="AC206" s="74"/>
      <c r="AD206" s="74"/>
    </row>
    <row r="207">
      <c r="A207" s="116"/>
      <c r="B207" s="111"/>
      <c r="C207" s="117"/>
      <c r="D207" s="111"/>
      <c r="E207" s="111"/>
      <c r="F207" s="111"/>
      <c r="G207" s="111"/>
      <c r="H207" s="111"/>
      <c r="I207" s="116"/>
      <c r="J207" s="113"/>
      <c r="K207" s="111"/>
      <c r="L207" s="114"/>
      <c r="M207" s="115"/>
      <c r="N207" s="114"/>
      <c r="O207" s="115"/>
      <c r="P207" s="111"/>
      <c r="Q207" s="111"/>
      <c r="R207" s="111"/>
      <c r="S207" s="111"/>
      <c r="T207" s="111"/>
      <c r="U207" s="114"/>
      <c r="V207" s="74"/>
      <c r="W207" s="74"/>
      <c r="X207" s="74"/>
      <c r="Y207" s="74"/>
      <c r="Z207" s="74"/>
      <c r="AA207" s="74"/>
      <c r="AB207" s="74"/>
      <c r="AC207" s="74"/>
      <c r="AD207" s="74"/>
    </row>
    <row r="208">
      <c r="A208" s="116"/>
      <c r="B208" s="111"/>
      <c r="C208" s="117"/>
      <c r="D208" s="111"/>
      <c r="E208" s="111"/>
      <c r="F208" s="111"/>
      <c r="G208" s="111"/>
      <c r="H208" s="111"/>
      <c r="I208" s="116"/>
      <c r="J208" s="113"/>
      <c r="K208" s="111"/>
      <c r="L208" s="114"/>
      <c r="M208" s="115"/>
      <c r="N208" s="114"/>
      <c r="O208" s="115"/>
      <c r="P208" s="111"/>
      <c r="Q208" s="111"/>
      <c r="R208" s="111"/>
      <c r="S208" s="111"/>
      <c r="T208" s="111"/>
      <c r="U208" s="114"/>
      <c r="V208" s="74"/>
      <c r="W208" s="74"/>
      <c r="X208" s="74"/>
      <c r="Y208" s="74"/>
      <c r="Z208" s="74"/>
      <c r="AA208" s="74"/>
      <c r="AB208" s="74"/>
      <c r="AC208" s="74"/>
      <c r="AD208" s="74"/>
    </row>
    <row r="209">
      <c r="A209" s="116"/>
      <c r="B209" s="111"/>
      <c r="C209" s="117"/>
      <c r="D209" s="111"/>
      <c r="E209" s="111"/>
      <c r="F209" s="111"/>
      <c r="G209" s="111"/>
      <c r="H209" s="111"/>
      <c r="I209" s="116"/>
      <c r="J209" s="113"/>
      <c r="K209" s="111"/>
      <c r="L209" s="114"/>
      <c r="M209" s="115"/>
      <c r="N209" s="114"/>
      <c r="O209" s="115"/>
      <c r="P209" s="111"/>
      <c r="Q209" s="111"/>
      <c r="R209" s="111"/>
      <c r="S209" s="111"/>
      <c r="T209" s="111"/>
      <c r="U209" s="114"/>
      <c r="V209" s="74"/>
      <c r="W209" s="74"/>
      <c r="X209" s="74"/>
      <c r="Y209" s="74"/>
      <c r="Z209" s="74"/>
      <c r="AA209" s="74"/>
      <c r="AB209" s="74"/>
      <c r="AC209" s="74"/>
      <c r="AD209" s="74"/>
    </row>
    <row r="210">
      <c r="A210" s="116"/>
      <c r="B210" s="111"/>
      <c r="C210" s="117"/>
      <c r="D210" s="111"/>
      <c r="E210" s="111"/>
      <c r="F210" s="111"/>
      <c r="G210" s="111"/>
      <c r="H210" s="111"/>
      <c r="I210" s="116"/>
      <c r="J210" s="113"/>
      <c r="K210" s="111"/>
      <c r="L210" s="114"/>
      <c r="M210" s="115"/>
      <c r="N210" s="114"/>
      <c r="O210" s="115"/>
      <c r="P210" s="111"/>
      <c r="Q210" s="111"/>
      <c r="R210" s="111"/>
      <c r="S210" s="111"/>
      <c r="T210" s="111"/>
      <c r="U210" s="114"/>
      <c r="V210" s="74"/>
      <c r="W210" s="74"/>
      <c r="X210" s="74"/>
      <c r="Y210" s="74"/>
      <c r="Z210" s="74"/>
      <c r="AA210" s="74"/>
      <c r="AB210" s="74"/>
      <c r="AC210" s="74"/>
      <c r="AD210" s="74"/>
    </row>
    <row r="211">
      <c r="A211" s="116"/>
      <c r="B211" s="111"/>
      <c r="C211" s="117"/>
      <c r="D211" s="111"/>
      <c r="E211" s="111"/>
      <c r="F211" s="111"/>
      <c r="G211" s="111"/>
      <c r="H211" s="111"/>
      <c r="I211" s="116"/>
      <c r="J211" s="113"/>
      <c r="K211" s="111"/>
      <c r="L211" s="114"/>
      <c r="M211" s="115"/>
      <c r="N211" s="114"/>
      <c r="O211" s="115"/>
      <c r="P211" s="111"/>
      <c r="Q211" s="111"/>
      <c r="R211" s="111"/>
      <c r="S211" s="111"/>
      <c r="T211" s="111"/>
      <c r="U211" s="114"/>
      <c r="V211" s="74"/>
      <c r="W211" s="74"/>
      <c r="X211" s="74"/>
      <c r="Y211" s="74"/>
      <c r="Z211" s="74"/>
      <c r="AA211" s="74"/>
      <c r="AB211" s="74"/>
      <c r="AC211" s="74"/>
      <c r="AD211" s="74"/>
    </row>
    <row r="212">
      <c r="A212" s="116"/>
      <c r="B212" s="111"/>
      <c r="C212" s="117"/>
      <c r="D212" s="111"/>
      <c r="E212" s="111"/>
      <c r="F212" s="111"/>
      <c r="G212" s="111"/>
      <c r="H212" s="111"/>
      <c r="I212" s="116"/>
      <c r="J212" s="113"/>
      <c r="K212" s="111"/>
      <c r="L212" s="114"/>
      <c r="M212" s="115"/>
      <c r="N212" s="114"/>
      <c r="O212" s="115"/>
      <c r="P212" s="111"/>
      <c r="Q212" s="111"/>
      <c r="R212" s="111"/>
      <c r="S212" s="111"/>
      <c r="T212" s="111"/>
      <c r="U212" s="114"/>
      <c r="V212" s="74"/>
      <c r="W212" s="74"/>
      <c r="X212" s="74"/>
      <c r="Y212" s="74"/>
      <c r="Z212" s="74"/>
      <c r="AA212" s="74"/>
      <c r="AB212" s="74"/>
      <c r="AC212" s="74"/>
      <c r="AD212" s="74"/>
    </row>
    <row r="213">
      <c r="A213" s="116"/>
      <c r="B213" s="111"/>
      <c r="C213" s="117"/>
      <c r="D213" s="111"/>
      <c r="E213" s="111"/>
      <c r="F213" s="111"/>
      <c r="G213" s="111"/>
      <c r="H213" s="111"/>
      <c r="I213" s="116"/>
      <c r="J213" s="113"/>
      <c r="K213" s="111"/>
      <c r="L213" s="114"/>
      <c r="M213" s="115"/>
      <c r="N213" s="114"/>
      <c r="O213" s="115"/>
      <c r="P213" s="111"/>
      <c r="Q213" s="111"/>
      <c r="R213" s="111"/>
      <c r="S213" s="111"/>
      <c r="T213" s="111"/>
      <c r="U213" s="114"/>
      <c r="V213" s="74"/>
      <c r="W213" s="74"/>
      <c r="X213" s="74"/>
      <c r="Y213" s="74"/>
      <c r="Z213" s="74"/>
      <c r="AA213" s="74"/>
      <c r="AB213" s="74"/>
      <c r="AC213" s="74"/>
      <c r="AD213" s="74"/>
    </row>
    <row r="214">
      <c r="A214" s="116"/>
      <c r="B214" s="111"/>
      <c r="C214" s="117"/>
      <c r="D214" s="111"/>
      <c r="E214" s="111"/>
      <c r="F214" s="111"/>
      <c r="G214" s="111"/>
      <c r="H214" s="111"/>
      <c r="I214" s="116"/>
      <c r="J214" s="113"/>
      <c r="K214" s="111"/>
      <c r="L214" s="114"/>
      <c r="M214" s="115"/>
      <c r="N214" s="114"/>
      <c r="O214" s="115"/>
      <c r="P214" s="111"/>
      <c r="Q214" s="111"/>
      <c r="R214" s="111"/>
      <c r="S214" s="111"/>
      <c r="T214" s="111"/>
      <c r="U214" s="114"/>
      <c r="V214" s="74"/>
      <c r="W214" s="74"/>
      <c r="X214" s="74"/>
      <c r="Y214" s="74"/>
      <c r="Z214" s="74"/>
      <c r="AA214" s="74"/>
      <c r="AB214" s="74"/>
      <c r="AC214" s="74"/>
      <c r="AD214" s="74"/>
    </row>
    <row r="215">
      <c r="A215" s="116"/>
      <c r="B215" s="111"/>
      <c r="C215" s="117"/>
      <c r="D215" s="111"/>
      <c r="E215" s="111"/>
      <c r="F215" s="111"/>
      <c r="G215" s="111"/>
      <c r="H215" s="111"/>
      <c r="I215" s="116"/>
      <c r="J215" s="113"/>
      <c r="K215" s="111"/>
      <c r="L215" s="114"/>
      <c r="M215" s="115"/>
      <c r="N215" s="114"/>
      <c r="O215" s="115"/>
      <c r="P215" s="111"/>
      <c r="Q215" s="111"/>
      <c r="R215" s="111"/>
      <c r="S215" s="111"/>
      <c r="T215" s="111"/>
      <c r="U215" s="114"/>
      <c r="V215" s="74"/>
      <c r="W215" s="74"/>
      <c r="X215" s="74"/>
      <c r="Y215" s="74"/>
      <c r="Z215" s="74"/>
      <c r="AA215" s="74"/>
      <c r="AB215" s="74"/>
      <c r="AC215" s="74"/>
      <c r="AD215" s="74"/>
    </row>
    <row r="216">
      <c r="A216" s="116"/>
      <c r="B216" s="111"/>
      <c r="C216" s="117"/>
      <c r="D216" s="111"/>
      <c r="E216" s="111"/>
      <c r="F216" s="111"/>
      <c r="G216" s="111"/>
      <c r="H216" s="111"/>
      <c r="I216" s="116"/>
      <c r="J216" s="113"/>
      <c r="K216" s="111"/>
      <c r="L216" s="114"/>
      <c r="M216" s="115"/>
      <c r="N216" s="114"/>
      <c r="O216" s="115"/>
      <c r="P216" s="111"/>
      <c r="Q216" s="111"/>
      <c r="R216" s="111"/>
      <c r="S216" s="111"/>
      <c r="T216" s="111"/>
      <c r="U216" s="114"/>
      <c r="V216" s="74"/>
      <c r="W216" s="74"/>
      <c r="X216" s="74"/>
      <c r="Y216" s="74"/>
      <c r="Z216" s="74"/>
      <c r="AA216" s="74"/>
      <c r="AB216" s="74"/>
      <c r="AC216" s="74"/>
      <c r="AD216" s="74"/>
    </row>
    <row r="217">
      <c r="A217" s="116"/>
      <c r="B217" s="111"/>
      <c r="C217" s="117"/>
      <c r="D217" s="111"/>
      <c r="E217" s="111"/>
      <c r="F217" s="111"/>
      <c r="G217" s="111"/>
      <c r="H217" s="111"/>
      <c r="I217" s="116"/>
      <c r="J217" s="113"/>
      <c r="K217" s="111"/>
      <c r="L217" s="114"/>
      <c r="M217" s="115"/>
      <c r="N217" s="114"/>
      <c r="O217" s="115"/>
      <c r="P217" s="111"/>
      <c r="Q217" s="111"/>
      <c r="R217" s="111"/>
      <c r="S217" s="111"/>
      <c r="T217" s="111"/>
      <c r="U217" s="114"/>
      <c r="V217" s="74"/>
      <c r="W217" s="74"/>
      <c r="X217" s="74"/>
      <c r="Y217" s="74"/>
      <c r="Z217" s="74"/>
      <c r="AA217" s="74"/>
      <c r="AB217" s="74"/>
      <c r="AC217" s="74"/>
      <c r="AD217" s="74"/>
    </row>
    <row r="218">
      <c r="A218" s="116"/>
      <c r="B218" s="111"/>
      <c r="C218" s="117"/>
      <c r="D218" s="111"/>
      <c r="E218" s="111"/>
      <c r="F218" s="111"/>
      <c r="G218" s="111"/>
      <c r="H218" s="111"/>
      <c r="I218" s="116"/>
      <c r="J218" s="113"/>
      <c r="K218" s="111"/>
      <c r="L218" s="114"/>
      <c r="M218" s="115"/>
      <c r="N218" s="114"/>
      <c r="O218" s="115"/>
      <c r="P218" s="111"/>
      <c r="Q218" s="111"/>
      <c r="R218" s="111"/>
      <c r="S218" s="111"/>
      <c r="T218" s="111"/>
      <c r="U218" s="114"/>
      <c r="V218" s="74"/>
      <c r="W218" s="74"/>
      <c r="X218" s="74"/>
      <c r="Y218" s="74"/>
      <c r="Z218" s="74"/>
      <c r="AA218" s="74"/>
      <c r="AB218" s="74"/>
      <c r="AC218" s="74"/>
      <c r="AD218" s="74"/>
    </row>
    <row r="219">
      <c r="A219" s="116"/>
      <c r="B219" s="111"/>
      <c r="C219" s="117"/>
      <c r="D219" s="111"/>
      <c r="E219" s="111"/>
      <c r="F219" s="111"/>
      <c r="G219" s="111"/>
      <c r="H219" s="111"/>
      <c r="I219" s="116"/>
      <c r="J219" s="113"/>
      <c r="K219" s="111"/>
      <c r="L219" s="114"/>
      <c r="M219" s="115"/>
      <c r="N219" s="114"/>
      <c r="O219" s="115"/>
      <c r="P219" s="111"/>
      <c r="Q219" s="111"/>
      <c r="R219" s="111"/>
      <c r="S219" s="111"/>
      <c r="T219" s="111"/>
      <c r="U219" s="114"/>
      <c r="V219" s="74"/>
      <c r="W219" s="74"/>
      <c r="X219" s="74"/>
      <c r="Y219" s="74"/>
      <c r="Z219" s="74"/>
      <c r="AA219" s="74"/>
      <c r="AB219" s="74"/>
      <c r="AC219" s="74"/>
      <c r="AD219" s="74"/>
    </row>
    <row r="220">
      <c r="A220" s="116"/>
      <c r="B220" s="111"/>
      <c r="C220" s="117"/>
      <c r="D220" s="111"/>
      <c r="E220" s="111"/>
      <c r="F220" s="111"/>
      <c r="G220" s="111"/>
      <c r="H220" s="111"/>
      <c r="I220" s="116"/>
      <c r="J220" s="113"/>
      <c r="K220" s="111"/>
      <c r="L220" s="114"/>
      <c r="M220" s="115"/>
      <c r="N220" s="114"/>
      <c r="O220" s="115"/>
      <c r="P220" s="111"/>
      <c r="Q220" s="111"/>
      <c r="R220" s="111"/>
      <c r="S220" s="111"/>
      <c r="T220" s="111"/>
      <c r="U220" s="114"/>
      <c r="V220" s="74"/>
      <c r="W220" s="74"/>
      <c r="X220" s="74"/>
      <c r="Y220" s="74"/>
      <c r="Z220" s="74"/>
      <c r="AA220" s="74"/>
      <c r="AB220" s="74"/>
      <c r="AC220" s="74"/>
      <c r="AD220" s="74"/>
    </row>
    <row r="221">
      <c r="A221" s="116"/>
      <c r="B221" s="111"/>
      <c r="C221" s="117"/>
      <c r="D221" s="111"/>
      <c r="E221" s="111"/>
      <c r="F221" s="111"/>
      <c r="G221" s="111"/>
      <c r="H221" s="111"/>
      <c r="I221" s="116"/>
      <c r="J221" s="113"/>
      <c r="K221" s="111"/>
      <c r="L221" s="114"/>
      <c r="M221" s="115"/>
      <c r="N221" s="114"/>
      <c r="O221" s="115"/>
      <c r="P221" s="111"/>
      <c r="Q221" s="111"/>
      <c r="R221" s="111"/>
      <c r="S221" s="111"/>
      <c r="T221" s="111"/>
      <c r="U221" s="114"/>
      <c r="V221" s="74"/>
      <c r="W221" s="74"/>
      <c r="X221" s="74"/>
      <c r="Y221" s="74"/>
      <c r="Z221" s="74"/>
      <c r="AA221" s="74"/>
      <c r="AB221" s="74"/>
      <c r="AC221" s="74"/>
      <c r="AD221" s="74"/>
    </row>
    <row r="222">
      <c r="A222" s="116"/>
      <c r="B222" s="111"/>
      <c r="C222" s="117"/>
      <c r="D222" s="111"/>
      <c r="E222" s="111"/>
      <c r="F222" s="111"/>
      <c r="G222" s="111"/>
      <c r="H222" s="111"/>
      <c r="I222" s="116"/>
      <c r="J222" s="113"/>
      <c r="K222" s="111"/>
      <c r="L222" s="114"/>
      <c r="M222" s="115"/>
      <c r="N222" s="114"/>
      <c r="O222" s="115"/>
      <c r="P222" s="111"/>
      <c r="Q222" s="111"/>
      <c r="R222" s="111"/>
      <c r="S222" s="111"/>
      <c r="T222" s="111"/>
      <c r="U222" s="114"/>
      <c r="V222" s="74"/>
      <c r="W222" s="74"/>
      <c r="X222" s="74"/>
      <c r="Y222" s="74"/>
      <c r="Z222" s="74"/>
      <c r="AA222" s="74"/>
      <c r="AB222" s="74"/>
      <c r="AC222" s="74"/>
      <c r="AD222" s="74"/>
    </row>
    <row r="223">
      <c r="A223" s="116"/>
      <c r="B223" s="111"/>
      <c r="C223" s="117"/>
      <c r="D223" s="111"/>
      <c r="E223" s="111"/>
      <c r="F223" s="111"/>
      <c r="G223" s="111"/>
      <c r="H223" s="111"/>
      <c r="I223" s="116"/>
      <c r="J223" s="113"/>
      <c r="K223" s="111"/>
      <c r="L223" s="114"/>
      <c r="M223" s="115"/>
      <c r="N223" s="114"/>
      <c r="O223" s="115"/>
      <c r="P223" s="111"/>
      <c r="Q223" s="111"/>
      <c r="R223" s="111"/>
      <c r="S223" s="111"/>
      <c r="T223" s="111"/>
      <c r="U223" s="114"/>
      <c r="V223" s="74"/>
      <c r="W223" s="74"/>
      <c r="X223" s="74"/>
      <c r="Y223" s="74"/>
      <c r="Z223" s="74"/>
      <c r="AA223" s="74"/>
      <c r="AB223" s="74"/>
      <c r="AC223" s="74"/>
      <c r="AD223" s="74"/>
    </row>
    <row r="224">
      <c r="A224" s="116"/>
      <c r="B224" s="111"/>
      <c r="C224" s="117"/>
      <c r="D224" s="111"/>
      <c r="E224" s="111"/>
      <c r="F224" s="111"/>
      <c r="G224" s="111"/>
      <c r="H224" s="111"/>
      <c r="I224" s="116"/>
      <c r="J224" s="113"/>
      <c r="K224" s="111"/>
      <c r="L224" s="114"/>
      <c r="M224" s="115"/>
      <c r="N224" s="114"/>
      <c r="O224" s="115"/>
      <c r="P224" s="111"/>
      <c r="Q224" s="111"/>
      <c r="R224" s="111"/>
      <c r="S224" s="111"/>
      <c r="T224" s="111"/>
      <c r="U224" s="114"/>
      <c r="V224" s="74"/>
      <c r="W224" s="74"/>
      <c r="X224" s="74"/>
      <c r="Y224" s="74"/>
      <c r="Z224" s="74"/>
      <c r="AA224" s="74"/>
      <c r="AB224" s="74"/>
      <c r="AC224" s="74"/>
      <c r="AD224" s="74"/>
    </row>
    <row r="225">
      <c r="A225" s="116"/>
      <c r="B225" s="111"/>
      <c r="C225" s="117"/>
      <c r="D225" s="111"/>
      <c r="E225" s="111"/>
      <c r="F225" s="111"/>
      <c r="G225" s="111"/>
      <c r="H225" s="111"/>
      <c r="I225" s="116"/>
      <c r="J225" s="113"/>
      <c r="K225" s="111"/>
      <c r="L225" s="114"/>
      <c r="M225" s="115"/>
      <c r="N225" s="114"/>
      <c r="O225" s="115"/>
      <c r="P225" s="111"/>
      <c r="Q225" s="111"/>
      <c r="R225" s="111"/>
      <c r="S225" s="111"/>
      <c r="T225" s="111"/>
      <c r="U225" s="114"/>
      <c r="V225" s="74"/>
      <c r="W225" s="74"/>
      <c r="X225" s="74"/>
      <c r="Y225" s="74"/>
      <c r="Z225" s="74"/>
      <c r="AA225" s="74"/>
      <c r="AB225" s="74"/>
      <c r="AC225" s="74"/>
      <c r="AD225" s="74"/>
    </row>
    <row r="226">
      <c r="A226" s="116"/>
      <c r="B226" s="111"/>
      <c r="C226" s="117"/>
      <c r="D226" s="111"/>
      <c r="E226" s="111"/>
      <c r="F226" s="111"/>
      <c r="G226" s="111"/>
      <c r="H226" s="111"/>
      <c r="I226" s="116"/>
      <c r="J226" s="113"/>
      <c r="K226" s="111"/>
      <c r="L226" s="114"/>
      <c r="M226" s="115"/>
      <c r="N226" s="114"/>
      <c r="O226" s="115"/>
      <c r="P226" s="111"/>
      <c r="Q226" s="111"/>
      <c r="R226" s="111"/>
      <c r="S226" s="111"/>
      <c r="T226" s="111"/>
      <c r="U226" s="114"/>
      <c r="V226" s="74"/>
      <c r="W226" s="74"/>
      <c r="X226" s="74"/>
      <c r="Y226" s="74"/>
      <c r="Z226" s="74"/>
      <c r="AA226" s="74"/>
      <c r="AB226" s="74"/>
      <c r="AC226" s="74"/>
      <c r="AD226" s="74"/>
    </row>
    <row r="227">
      <c r="A227" s="116"/>
      <c r="B227" s="111"/>
      <c r="C227" s="117"/>
      <c r="D227" s="111"/>
      <c r="E227" s="111"/>
      <c r="F227" s="111"/>
      <c r="G227" s="111"/>
      <c r="H227" s="111"/>
      <c r="I227" s="116"/>
      <c r="J227" s="113"/>
      <c r="K227" s="111"/>
      <c r="L227" s="114"/>
      <c r="M227" s="115"/>
      <c r="N227" s="114"/>
      <c r="O227" s="115"/>
      <c r="P227" s="111"/>
      <c r="Q227" s="111"/>
      <c r="R227" s="111"/>
      <c r="S227" s="111"/>
      <c r="T227" s="111"/>
      <c r="U227" s="114"/>
      <c r="V227" s="74"/>
      <c r="W227" s="74"/>
      <c r="X227" s="74"/>
      <c r="Y227" s="74"/>
      <c r="Z227" s="74"/>
      <c r="AA227" s="74"/>
      <c r="AB227" s="74"/>
      <c r="AC227" s="74"/>
      <c r="AD227" s="74"/>
    </row>
    <row r="228">
      <c r="A228" s="116"/>
      <c r="B228" s="111"/>
      <c r="C228" s="117"/>
      <c r="D228" s="111"/>
      <c r="E228" s="111"/>
      <c r="F228" s="111"/>
      <c r="G228" s="111"/>
      <c r="H228" s="111"/>
      <c r="I228" s="116"/>
      <c r="J228" s="113"/>
      <c r="K228" s="111"/>
      <c r="L228" s="114"/>
      <c r="M228" s="115"/>
      <c r="N228" s="114"/>
      <c r="O228" s="115"/>
      <c r="P228" s="111"/>
      <c r="Q228" s="111"/>
      <c r="R228" s="111"/>
      <c r="S228" s="111"/>
      <c r="T228" s="111"/>
      <c r="U228" s="114"/>
      <c r="V228" s="74"/>
      <c r="W228" s="74"/>
      <c r="X228" s="74"/>
      <c r="Y228" s="74"/>
      <c r="Z228" s="74"/>
      <c r="AA228" s="74"/>
      <c r="AB228" s="74"/>
      <c r="AC228" s="74"/>
      <c r="AD228" s="74"/>
    </row>
    <row r="229">
      <c r="A229" s="116"/>
      <c r="B229" s="111"/>
      <c r="C229" s="117"/>
      <c r="D229" s="111"/>
      <c r="E229" s="111"/>
      <c r="F229" s="111"/>
      <c r="G229" s="111"/>
      <c r="H229" s="111"/>
      <c r="I229" s="116"/>
      <c r="J229" s="113"/>
      <c r="K229" s="111"/>
      <c r="L229" s="114"/>
      <c r="M229" s="115"/>
      <c r="N229" s="114"/>
      <c r="O229" s="115"/>
      <c r="P229" s="111"/>
      <c r="Q229" s="111"/>
      <c r="R229" s="111"/>
      <c r="S229" s="111"/>
      <c r="T229" s="111"/>
      <c r="U229" s="114"/>
      <c r="V229" s="74"/>
      <c r="W229" s="74"/>
      <c r="X229" s="74"/>
      <c r="Y229" s="74"/>
      <c r="Z229" s="74"/>
      <c r="AA229" s="74"/>
      <c r="AB229" s="74"/>
      <c r="AC229" s="74"/>
      <c r="AD229" s="74"/>
    </row>
    <row r="230">
      <c r="A230" s="116"/>
      <c r="B230" s="111"/>
      <c r="C230" s="117"/>
      <c r="D230" s="111"/>
      <c r="E230" s="111"/>
      <c r="F230" s="111"/>
      <c r="G230" s="111"/>
      <c r="H230" s="111"/>
      <c r="I230" s="116"/>
      <c r="J230" s="113"/>
      <c r="K230" s="111"/>
      <c r="L230" s="114"/>
      <c r="M230" s="115"/>
      <c r="N230" s="114"/>
      <c r="O230" s="115"/>
      <c r="P230" s="111"/>
      <c r="Q230" s="111"/>
      <c r="R230" s="111"/>
      <c r="S230" s="111"/>
      <c r="T230" s="111"/>
      <c r="U230" s="114"/>
      <c r="V230" s="74"/>
      <c r="W230" s="74"/>
      <c r="X230" s="74"/>
      <c r="Y230" s="74"/>
      <c r="Z230" s="74"/>
      <c r="AA230" s="74"/>
      <c r="AB230" s="74"/>
      <c r="AC230" s="74"/>
      <c r="AD230" s="74"/>
    </row>
    <row r="231">
      <c r="A231" s="116"/>
      <c r="B231" s="111"/>
      <c r="C231" s="117"/>
      <c r="D231" s="111"/>
      <c r="E231" s="111"/>
      <c r="F231" s="111"/>
      <c r="G231" s="111"/>
      <c r="H231" s="111"/>
      <c r="I231" s="116"/>
      <c r="J231" s="113"/>
      <c r="K231" s="111"/>
      <c r="L231" s="114"/>
      <c r="M231" s="115"/>
      <c r="N231" s="114"/>
      <c r="O231" s="115"/>
      <c r="P231" s="111"/>
      <c r="Q231" s="111"/>
      <c r="R231" s="111"/>
      <c r="S231" s="111"/>
      <c r="T231" s="111"/>
      <c r="U231" s="114"/>
      <c r="V231" s="74"/>
      <c r="W231" s="74"/>
      <c r="X231" s="74"/>
      <c r="Y231" s="74"/>
      <c r="Z231" s="74"/>
      <c r="AA231" s="74"/>
      <c r="AB231" s="74"/>
      <c r="AC231" s="74"/>
      <c r="AD231" s="74"/>
    </row>
    <row r="232">
      <c r="A232" s="116"/>
      <c r="B232" s="111"/>
      <c r="C232" s="117"/>
      <c r="D232" s="111"/>
      <c r="E232" s="111"/>
      <c r="F232" s="111"/>
      <c r="G232" s="111"/>
      <c r="H232" s="111"/>
      <c r="I232" s="116"/>
      <c r="J232" s="113"/>
      <c r="K232" s="111"/>
      <c r="L232" s="114"/>
      <c r="M232" s="115"/>
      <c r="N232" s="114"/>
      <c r="O232" s="115"/>
      <c r="P232" s="111"/>
      <c r="Q232" s="111"/>
      <c r="R232" s="111"/>
      <c r="S232" s="111"/>
      <c r="T232" s="111"/>
      <c r="U232" s="114"/>
      <c r="V232" s="74"/>
      <c r="W232" s="74"/>
      <c r="X232" s="74"/>
      <c r="Y232" s="74"/>
      <c r="Z232" s="74"/>
      <c r="AA232" s="74"/>
      <c r="AB232" s="74"/>
      <c r="AC232" s="74"/>
      <c r="AD232" s="74"/>
    </row>
    <row r="233">
      <c r="A233" s="116"/>
      <c r="B233" s="111"/>
      <c r="C233" s="117"/>
      <c r="D233" s="111"/>
      <c r="E233" s="111"/>
      <c r="F233" s="111"/>
      <c r="G233" s="111"/>
      <c r="H233" s="111"/>
      <c r="I233" s="116"/>
      <c r="J233" s="113"/>
      <c r="K233" s="111"/>
      <c r="L233" s="114"/>
      <c r="M233" s="115"/>
      <c r="N233" s="114"/>
      <c r="O233" s="115"/>
      <c r="P233" s="111"/>
      <c r="Q233" s="111"/>
      <c r="R233" s="111"/>
      <c r="S233" s="111"/>
      <c r="T233" s="111"/>
      <c r="U233" s="114"/>
      <c r="V233" s="74"/>
      <c r="W233" s="74"/>
      <c r="X233" s="74"/>
      <c r="Y233" s="74"/>
      <c r="Z233" s="74"/>
      <c r="AA233" s="74"/>
      <c r="AB233" s="74"/>
      <c r="AC233" s="74"/>
      <c r="AD233" s="74"/>
    </row>
    <row r="234">
      <c r="A234" s="116"/>
      <c r="B234" s="111"/>
      <c r="C234" s="117"/>
      <c r="D234" s="111"/>
      <c r="E234" s="111"/>
      <c r="F234" s="111"/>
      <c r="G234" s="111"/>
      <c r="H234" s="111"/>
      <c r="I234" s="116"/>
      <c r="J234" s="113"/>
      <c r="K234" s="111"/>
      <c r="L234" s="114"/>
      <c r="M234" s="115"/>
      <c r="N234" s="114"/>
      <c r="O234" s="115"/>
      <c r="P234" s="111"/>
      <c r="Q234" s="111"/>
      <c r="R234" s="111"/>
      <c r="S234" s="111"/>
      <c r="T234" s="111"/>
      <c r="U234" s="114"/>
      <c r="V234" s="74"/>
      <c r="W234" s="74"/>
      <c r="X234" s="74"/>
      <c r="Y234" s="74"/>
      <c r="Z234" s="74"/>
      <c r="AA234" s="74"/>
      <c r="AB234" s="74"/>
      <c r="AC234" s="74"/>
      <c r="AD234" s="74"/>
    </row>
    <row r="235">
      <c r="A235" s="116"/>
      <c r="B235" s="111"/>
      <c r="C235" s="117"/>
      <c r="D235" s="111"/>
      <c r="E235" s="111"/>
      <c r="F235" s="111"/>
      <c r="G235" s="111"/>
      <c r="H235" s="111"/>
      <c r="I235" s="116"/>
      <c r="J235" s="113"/>
      <c r="K235" s="111"/>
      <c r="L235" s="114"/>
      <c r="M235" s="115"/>
      <c r="N235" s="114"/>
      <c r="O235" s="115"/>
      <c r="P235" s="111"/>
      <c r="Q235" s="111"/>
      <c r="R235" s="111"/>
      <c r="S235" s="111"/>
      <c r="T235" s="111"/>
      <c r="U235" s="114"/>
      <c r="V235" s="74"/>
      <c r="W235" s="74"/>
      <c r="X235" s="74"/>
      <c r="Y235" s="74"/>
      <c r="Z235" s="74"/>
      <c r="AA235" s="74"/>
      <c r="AB235" s="74"/>
      <c r="AC235" s="74"/>
      <c r="AD235" s="74"/>
    </row>
    <row r="236">
      <c r="A236" s="116"/>
      <c r="B236" s="111"/>
      <c r="C236" s="117"/>
      <c r="D236" s="111"/>
      <c r="E236" s="111"/>
      <c r="F236" s="111"/>
      <c r="G236" s="111"/>
      <c r="H236" s="111"/>
      <c r="I236" s="116"/>
      <c r="J236" s="113"/>
      <c r="K236" s="111"/>
      <c r="L236" s="114"/>
      <c r="M236" s="115"/>
      <c r="N236" s="114"/>
      <c r="O236" s="115"/>
      <c r="P236" s="111"/>
      <c r="Q236" s="111"/>
      <c r="R236" s="111"/>
      <c r="S236" s="111"/>
      <c r="T236" s="111"/>
      <c r="U236" s="114"/>
      <c r="V236" s="74"/>
      <c r="W236" s="74"/>
      <c r="X236" s="74"/>
      <c r="Y236" s="74"/>
      <c r="Z236" s="74"/>
      <c r="AA236" s="74"/>
      <c r="AB236" s="74"/>
      <c r="AC236" s="74"/>
      <c r="AD236" s="74"/>
    </row>
    <row r="237">
      <c r="A237" s="116"/>
      <c r="B237" s="111"/>
      <c r="C237" s="117"/>
      <c r="D237" s="111"/>
      <c r="E237" s="111"/>
      <c r="F237" s="111"/>
      <c r="G237" s="111"/>
      <c r="H237" s="111"/>
      <c r="I237" s="116"/>
      <c r="J237" s="113"/>
      <c r="K237" s="111"/>
      <c r="L237" s="114"/>
      <c r="M237" s="115"/>
      <c r="N237" s="114"/>
      <c r="O237" s="115"/>
      <c r="P237" s="111"/>
      <c r="Q237" s="111"/>
      <c r="R237" s="111"/>
      <c r="S237" s="111"/>
      <c r="T237" s="111"/>
      <c r="U237" s="114"/>
      <c r="V237" s="74"/>
      <c r="W237" s="74"/>
      <c r="X237" s="74"/>
      <c r="Y237" s="74"/>
      <c r="Z237" s="74"/>
      <c r="AA237" s="74"/>
      <c r="AB237" s="74"/>
      <c r="AC237" s="74"/>
      <c r="AD237" s="74"/>
    </row>
    <row r="238">
      <c r="A238" s="116"/>
      <c r="B238" s="111"/>
      <c r="C238" s="117"/>
      <c r="D238" s="111"/>
      <c r="E238" s="111"/>
      <c r="F238" s="111"/>
      <c r="G238" s="111"/>
      <c r="H238" s="111"/>
      <c r="I238" s="116"/>
      <c r="J238" s="113"/>
      <c r="K238" s="111"/>
      <c r="L238" s="114"/>
      <c r="M238" s="115"/>
      <c r="N238" s="114"/>
      <c r="O238" s="115"/>
      <c r="P238" s="111"/>
      <c r="Q238" s="111"/>
      <c r="R238" s="111"/>
      <c r="S238" s="111"/>
      <c r="T238" s="111"/>
      <c r="U238" s="114"/>
      <c r="V238" s="74"/>
      <c r="W238" s="74"/>
      <c r="X238" s="74"/>
      <c r="Y238" s="74"/>
      <c r="Z238" s="74"/>
      <c r="AA238" s="74"/>
      <c r="AB238" s="74"/>
      <c r="AC238" s="74"/>
      <c r="AD238" s="74"/>
    </row>
    <row r="239">
      <c r="A239" s="116"/>
      <c r="B239" s="111"/>
      <c r="C239" s="117"/>
      <c r="D239" s="111"/>
      <c r="E239" s="111"/>
      <c r="F239" s="111"/>
      <c r="G239" s="111"/>
      <c r="H239" s="111"/>
      <c r="I239" s="116"/>
      <c r="J239" s="113"/>
      <c r="K239" s="111"/>
      <c r="L239" s="114"/>
      <c r="M239" s="115"/>
      <c r="N239" s="114"/>
      <c r="O239" s="115"/>
      <c r="P239" s="111"/>
      <c r="Q239" s="111"/>
      <c r="R239" s="111"/>
      <c r="S239" s="111"/>
      <c r="T239" s="111"/>
      <c r="U239" s="114"/>
      <c r="V239" s="74"/>
      <c r="W239" s="74"/>
      <c r="X239" s="74"/>
      <c r="Y239" s="74"/>
      <c r="Z239" s="74"/>
      <c r="AA239" s="74"/>
      <c r="AB239" s="74"/>
      <c r="AC239" s="74"/>
      <c r="AD239" s="74"/>
    </row>
    <row r="240">
      <c r="A240" s="116"/>
      <c r="B240" s="111"/>
      <c r="C240" s="117"/>
      <c r="D240" s="111"/>
      <c r="E240" s="111"/>
      <c r="F240" s="111"/>
      <c r="G240" s="111"/>
      <c r="H240" s="111"/>
      <c r="I240" s="116"/>
      <c r="J240" s="113"/>
      <c r="K240" s="111"/>
      <c r="L240" s="114"/>
      <c r="M240" s="115"/>
      <c r="N240" s="114"/>
      <c r="O240" s="115"/>
      <c r="P240" s="111"/>
      <c r="Q240" s="111"/>
      <c r="R240" s="111"/>
      <c r="S240" s="111"/>
      <c r="T240" s="111"/>
      <c r="U240" s="114"/>
      <c r="V240" s="74"/>
      <c r="W240" s="74"/>
      <c r="X240" s="74"/>
      <c r="Y240" s="74"/>
      <c r="Z240" s="74"/>
      <c r="AA240" s="74"/>
      <c r="AB240" s="74"/>
      <c r="AC240" s="74"/>
      <c r="AD240" s="74"/>
    </row>
    <row r="241">
      <c r="A241" s="116"/>
      <c r="B241" s="111"/>
      <c r="C241" s="117"/>
      <c r="D241" s="111"/>
      <c r="E241" s="111"/>
      <c r="F241" s="111"/>
      <c r="G241" s="111"/>
      <c r="H241" s="111"/>
      <c r="I241" s="116"/>
      <c r="J241" s="113"/>
      <c r="K241" s="111"/>
      <c r="L241" s="114"/>
      <c r="M241" s="115"/>
      <c r="N241" s="114"/>
      <c r="O241" s="115"/>
      <c r="P241" s="111"/>
      <c r="Q241" s="111"/>
      <c r="R241" s="111"/>
      <c r="S241" s="111"/>
      <c r="T241" s="111"/>
      <c r="U241" s="114"/>
      <c r="V241" s="74"/>
      <c r="W241" s="74"/>
      <c r="X241" s="74"/>
      <c r="Y241" s="74"/>
      <c r="Z241" s="74"/>
      <c r="AA241" s="74"/>
      <c r="AB241" s="74"/>
      <c r="AC241" s="74"/>
      <c r="AD241" s="74"/>
    </row>
    <row r="242">
      <c r="A242" s="116"/>
      <c r="B242" s="111"/>
      <c r="C242" s="117"/>
      <c r="D242" s="111"/>
      <c r="E242" s="111"/>
      <c r="F242" s="111"/>
      <c r="G242" s="111"/>
      <c r="H242" s="111"/>
      <c r="I242" s="116"/>
      <c r="J242" s="113"/>
      <c r="K242" s="111"/>
      <c r="L242" s="114"/>
      <c r="M242" s="115"/>
      <c r="N242" s="114"/>
      <c r="O242" s="115"/>
      <c r="P242" s="111"/>
      <c r="Q242" s="111"/>
      <c r="R242" s="111"/>
      <c r="S242" s="111"/>
      <c r="T242" s="111"/>
      <c r="U242" s="114"/>
      <c r="V242" s="74"/>
      <c r="W242" s="74"/>
      <c r="X242" s="74"/>
      <c r="Y242" s="74"/>
      <c r="Z242" s="74"/>
      <c r="AA242" s="74"/>
      <c r="AB242" s="74"/>
      <c r="AC242" s="74"/>
      <c r="AD242" s="74"/>
    </row>
    <row r="243">
      <c r="A243" s="116"/>
      <c r="B243" s="111"/>
      <c r="C243" s="117"/>
      <c r="D243" s="111"/>
      <c r="E243" s="111"/>
      <c r="F243" s="111"/>
      <c r="G243" s="111"/>
      <c r="H243" s="111"/>
      <c r="I243" s="116"/>
      <c r="J243" s="113"/>
      <c r="K243" s="111"/>
      <c r="L243" s="114"/>
      <c r="M243" s="115"/>
      <c r="N243" s="114"/>
      <c r="O243" s="115"/>
      <c r="P243" s="111"/>
      <c r="Q243" s="111"/>
      <c r="R243" s="111"/>
      <c r="S243" s="111"/>
      <c r="T243" s="111"/>
      <c r="U243" s="114"/>
      <c r="V243" s="74"/>
      <c r="W243" s="74"/>
      <c r="X243" s="74"/>
      <c r="Y243" s="74"/>
      <c r="Z243" s="74"/>
      <c r="AA243" s="74"/>
      <c r="AB243" s="74"/>
      <c r="AC243" s="74"/>
      <c r="AD243" s="74"/>
    </row>
    <row r="244">
      <c r="A244" s="116"/>
      <c r="B244" s="111"/>
      <c r="C244" s="117"/>
      <c r="D244" s="111"/>
      <c r="E244" s="111"/>
      <c r="F244" s="111"/>
      <c r="G244" s="111"/>
      <c r="H244" s="111"/>
      <c r="I244" s="116"/>
      <c r="J244" s="113"/>
      <c r="K244" s="111"/>
      <c r="L244" s="114"/>
      <c r="M244" s="115"/>
      <c r="N244" s="114"/>
      <c r="O244" s="115"/>
      <c r="P244" s="111"/>
      <c r="Q244" s="111"/>
      <c r="R244" s="111"/>
      <c r="S244" s="111"/>
      <c r="T244" s="111"/>
      <c r="U244" s="114"/>
      <c r="V244" s="74"/>
      <c r="W244" s="74"/>
      <c r="X244" s="74"/>
      <c r="Y244" s="74"/>
      <c r="Z244" s="74"/>
      <c r="AA244" s="74"/>
      <c r="AB244" s="74"/>
      <c r="AC244" s="74"/>
      <c r="AD244" s="74"/>
    </row>
    <row r="245">
      <c r="A245" s="116"/>
      <c r="B245" s="111"/>
      <c r="C245" s="117"/>
      <c r="D245" s="111"/>
      <c r="E245" s="111"/>
      <c r="F245" s="111"/>
      <c r="G245" s="111"/>
      <c r="H245" s="111"/>
      <c r="I245" s="116"/>
      <c r="J245" s="113"/>
      <c r="K245" s="111"/>
      <c r="L245" s="114"/>
      <c r="M245" s="115"/>
      <c r="N245" s="114"/>
      <c r="O245" s="115"/>
      <c r="P245" s="111"/>
      <c r="Q245" s="111"/>
      <c r="R245" s="111"/>
      <c r="S245" s="111"/>
      <c r="T245" s="111"/>
      <c r="U245" s="114"/>
      <c r="V245" s="74"/>
      <c r="W245" s="74"/>
      <c r="X245" s="74"/>
      <c r="Y245" s="74"/>
      <c r="Z245" s="74"/>
      <c r="AA245" s="74"/>
      <c r="AB245" s="74"/>
      <c r="AC245" s="74"/>
      <c r="AD245" s="74"/>
    </row>
    <row r="246">
      <c r="A246" s="116"/>
      <c r="B246" s="111"/>
      <c r="C246" s="117"/>
      <c r="D246" s="111"/>
      <c r="E246" s="111"/>
      <c r="F246" s="111"/>
      <c r="G246" s="111"/>
      <c r="H246" s="111"/>
      <c r="I246" s="116"/>
      <c r="J246" s="113"/>
      <c r="K246" s="111"/>
      <c r="L246" s="114"/>
      <c r="M246" s="115"/>
      <c r="N246" s="114"/>
      <c r="O246" s="115"/>
      <c r="P246" s="111"/>
      <c r="Q246" s="111"/>
      <c r="R246" s="111"/>
      <c r="S246" s="111"/>
      <c r="T246" s="111"/>
      <c r="U246" s="114"/>
      <c r="V246" s="74"/>
      <c r="W246" s="74"/>
      <c r="X246" s="74"/>
      <c r="Y246" s="74"/>
      <c r="Z246" s="74"/>
      <c r="AA246" s="74"/>
      <c r="AB246" s="74"/>
      <c r="AC246" s="74"/>
      <c r="AD246" s="74"/>
    </row>
    <row r="247">
      <c r="A247" s="116"/>
      <c r="B247" s="111"/>
      <c r="C247" s="117"/>
      <c r="D247" s="111"/>
      <c r="E247" s="111"/>
      <c r="F247" s="111"/>
      <c r="G247" s="111"/>
      <c r="H247" s="111"/>
      <c r="I247" s="116"/>
      <c r="J247" s="113"/>
      <c r="K247" s="111"/>
      <c r="L247" s="114"/>
      <c r="M247" s="115"/>
      <c r="N247" s="114"/>
      <c r="O247" s="115"/>
      <c r="P247" s="111"/>
      <c r="Q247" s="111"/>
      <c r="R247" s="111"/>
      <c r="S247" s="111"/>
      <c r="T247" s="111"/>
      <c r="U247" s="114"/>
      <c r="V247" s="74"/>
      <c r="W247" s="74"/>
      <c r="X247" s="74"/>
      <c r="Y247" s="74"/>
      <c r="Z247" s="74"/>
      <c r="AA247" s="74"/>
      <c r="AB247" s="74"/>
      <c r="AC247" s="74"/>
      <c r="AD247" s="74"/>
    </row>
    <row r="248">
      <c r="A248" s="116"/>
      <c r="B248" s="111"/>
      <c r="C248" s="117"/>
      <c r="D248" s="111"/>
      <c r="E248" s="111"/>
      <c r="F248" s="111"/>
      <c r="G248" s="111"/>
      <c r="H248" s="111"/>
      <c r="I248" s="116"/>
      <c r="J248" s="113"/>
      <c r="K248" s="111"/>
      <c r="L248" s="114"/>
      <c r="M248" s="115"/>
      <c r="N248" s="114"/>
      <c r="O248" s="115"/>
      <c r="P248" s="111"/>
      <c r="Q248" s="111"/>
      <c r="R248" s="111"/>
      <c r="S248" s="111"/>
      <c r="T248" s="111"/>
      <c r="U248" s="114"/>
      <c r="V248" s="74"/>
      <c r="W248" s="74"/>
      <c r="X248" s="74"/>
      <c r="Y248" s="74"/>
      <c r="Z248" s="74"/>
      <c r="AA248" s="74"/>
      <c r="AB248" s="74"/>
      <c r="AC248" s="74"/>
      <c r="AD248" s="74"/>
    </row>
    <row r="249">
      <c r="A249" s="116"/>
      <c r="B249" s="111"/>
      <c r="C249" s="117"/>
      <c r="D249" s="111"/>
      <c r="E249" s="111"/>
      <c r="F249" s="111"/>
      <c r="G249" s="111"/>
      <c r="H249" s="111"/>
      <c r="I249" s="116"/>
      <c r="J249" s="113"/>
      <c r="K249" s="111"/>
      <c r="L249" s="114"/>
      <c r="M249" s="115"/>
      <c r="N249" s="114"/>
      <c r="O249" s="115"/>
      <c r="P249" s="111"/>
      <c r="Q249" s="111"/>
      <c r="R249" s="111"/>
      <c r="S249" s="111"/>
      <c r="T249" s="111"/>
      <c r="U249" s="114"/>
      <c r="V249" s="74"/>
      <c r="W249" s="74"/>
      <c r="X249" s="74"/>
      <c r="Y249" s="74"/>
      <c r="Z249" s="74"/>
      <c r="AA249" s="74"/>
      <c r="AB249" s="74"/>
      <c r="AC249" s="74"/>
      <c r="AD249" s="74"/>
    </row>
    <row r="250">
      <c r="A250" s="116"/>
      <c r="B250" s="111"/>
      <c r="C250" s="117"/>
      <c r="D250" s="111"/>
      <c r="E250" s="111"/>
      <c r="F250" s="111"/>
      <c r="G250" s="111"/>
      <c r="H250" s="111"/>
      <c r="I250" s="116"/>
      <c r="J250" s="113"/>
      <c r="K250" s="111"/>
      <c r="L250" s="114"/>
      <c r="M250" s="115"/>
      <c r="N250" s="114"/>
      <c r="O250" s="115"/>
      <c r="P250" s="111"/>
      <c r="Q250" s="111"/>
      <c r="R250" s="111"/>
      <c r="S250" s="111"/>
      <c r="T250" s="111"/>
      <c r="U250" s="114"/>
      <c r="V250" s="74"/>
      <c r="W250" s="74"/>
      <c r="X250" s="74"/>
      <c r="Y250" s="74"/>
      <c r="Z250" s="74"/>
      <c r="AA250" s="74"/>
      <c r="AB250" s="74"/>
      <c r="AC250" s="74"/>
      <c r="AD250" s="74"/>
    </row>
    <row r="251">
      <c r="A251" s="116"/>
      <c r="B251" s="111"/>
      <c r="C251" s="117"/>
      <c r="D251" s="111"/>
      <c r="E251" s="111"/>
      <c r="F251" s="111"/>
      <c r="G251" s="111"/>
      <c r="H251" s="111"/>
      <c r="I251" s="116"/>
      <c r="J251" s="113"/>
      <c r="K251" s="111"/>
      <c r="L251" s="114"/>
      <c r="M251" s="115"/>
      <c r="N251" s="114"/>
      <c r="O251" s="115"/>
      <c r="P251" s="111"/>
      <c r="Q251" s="111"/>
      <c r="R251" s="111"/>
      <c r="S251" s="111"/>
      <c r="T251" s="111"/>
      <c r="U251" s="114"/>
      <c r="V251" s="74"/>
      <c r="W251" s="74"/>
      <c r="X251" s="74"/>
      <c r="Y251" s="74"/>
      <c r="Z251" s="74"/>
      <c r="AA251" s="74"/>
      <c r="AB251" s="74"/>
      <c r="AC251" s="74"/>
      <c r="AD251" s="74"/>
    </row>
    <row r="252">
      <c r="A252" s="116"/>
      <c r="B252" s="111"/>
      <c r="C252" s="117"/>
      <c r="D252" s="111"/>
      <c r="E252" s="111"/>
      <c r="F252" s="111"/>
      <c r="G252" s="111"/>
      <c r="H252" s="111"/>
      <c r="I252" s="116"/>
      <c r="J252" s="113"/>
      <c r="K252" s="111"/>
      <c r="L252" s="114"/>
      <c r="M252" s="115"/>
      <c r="N252" s="114"/>
      <c r="O252" s="115"/>
      <c r="P252" s="111"/>
      <c r="Q252" s="111"/>
      <c r="R252" s="111"/>
      <c r="S252" s="111"/>
      <c r="T252" s="111"/>
      <c r="U252" s="114"/>
      <c r="V252" s="74"/>
      <c r="W252" s="74"/>
      <c r="X252" s="74"/>
      <c r="Y252" s="74"/>
      <c r="Z252" s="74"/>
      <c r="AA252" s="74"/>
      <c r="AB252" s="74"/>
      <c r="AC252" s="74"/>
      <c r="AD252" s="74"/>
    </row>
    <row r="253">
      <c r="A253" s="116"/>
      <c r="B253" s="111"/>
      <c r="C253" s="117"/>
      <c r="D253" s="111"/>
      <c r="E253" s="111"/>
      <c r="F253" s="111"/>
      <c r="G253" s="111"/>
      <c r="H253" s="111"/>
      <c r="I253" s="116"/>
      <c r="J253" s="113"/>
      <c r="K253" s="111"/>
      <c r="L253" s="114"/>
      <c r="M253" s="115"/>
      <c r="N253" s="114"/>
      <c r="O253" s="115"/>
      <c r="P253" s="111"/>
      <c r="Q253" s="111"/>
      <c r="R253" s="111"/>
      <c r="S253" s="111"/>
      <c r="T253" s="111"/>
      <c r="U253" s="114"/>
      <c r="V253" s="74"/>
      <c r="W253" s="74"/>
      <c r="X253" s="74"/>
      <c r="Y253" s="74"/>
      <c r="Z253" s="74"/>
      <c r="AA253" s="74"/>
      <c r="AB253" s="74"/>
      <c r="AC253" s="74"/>
      <c r="AD253" s="74"/>
    </row>
    <row r="254">
      <c r="A254" s="116"/>
      <c r="B254" s="111"/>
      <c r="C254" s="117"/>
      <c r="D254" s="111"/>
      <c r="E254" s="111"/>
      <c r="F254" s="111"/>
      <c r="G254" s="111"/>
      <c r="H254" s="111"/>
      <c r="I254" s="116"/>
      <c r="J254" s="113"/>
      <c r="K254" s="111"/>
      <c r="L254" s="114"/>
      <c r="M254" s="115"/>
      <c r="N254" s="114"/>
      <c r="O254" s="115"/>
      <c r="P254" s="111"/>
      <c r="Q254" s="111"/>
      <c r="R254" s="111"/>
      <c r="S254" s="111"/>
      <c r="T254" s="111"/>
      <c r="U254" s="114"/>
      <c r="V254" s="74"/>
      <c r="W254" s="74"/>
      <c r="X254" s="74"/>
      <c r="Y254" s="74"/>
      <c r="Z254" s="74"/>
      <c r="AA254" s="74"/>
      <c r="AB254" s="74"/>
      <c r="AC254" s="74"/>
      <c r="AD254" s="74"/>
    </row>
    <row r="255">
      <c r="A255" s="116"/>
      <c r="B255" s="111"/>
      <c r="C255" s="117"/>
      <c r="D255" s="111"/>
      <c r="E255" s="111"/>
      <c r="F255" s="111"/>
      <c r="G255" s="111"/>
      <c r="H255" s="111"/>
      <c r="I255" s="116"/>
      <c r="J255" s="113"/>
      <c r="K255" s="111"/>
      <c r="L255" s="114"/>
      <c r="M255" s="115"/>
      <c r="N255" s="114"/>
      <c r="O255" s="115"/>
      <c r="P255" s="111"/>
      <c r="Q255" s="111"/>
      <c r="R255" s="111"/>
      <c r="S255" s="111"/>
      <c r="T255" s="111"/>
      <c r="U255" s="114"/>
      <c r="V255" s="74"/>
      <c r="W255" s="74"/>
      <c r="X255" s="74"/>
      <c r="Y255" s="74"/>
      <c r="Z255" s="74"/>
      <c r="AA255" s="74"/>
      <c r="AB255" s="74"/>
      <c r="AC255" s="74"/>
      <c r="AD255" s="74"/>
    </row>
    <row r="256">
      <c r="A256" s="116"/>
      <c r="B256" s="111"/>
      <c r="C256" s="117"/>
      <c r="D256" s="111"/>
      <c r="E256" s="111"/>
      <c r="F256" s="111"/>
      <c r="G256" s="111"/>
      <c r="H256" s="111"/>
      <c r="I256" s="116"/>
      <c r="J256" s="113"/>
      <c r="K256" s="111"/>
      <c r="L256" s="114"/>
      <c r="M256" s="115"/>
      <c r="N256" s="114"/>
      <c r="O256" s="115"/>
      <c r="P256" s="111"/>
      <c r="Q256" s="111"/>
      <c r="R256" s="111"/>
      <c r="S256" s="111"/>
      <c r="T256" s="111"/>
      <c r="U256" s="114"/>
      <c r="V256" s="74"/>
      <c r="W256" s="74"/>
      <c r="X256" s="74"/>
      <c r="Y256" s="74"/>
      <c r="Z256" s="74"/>
      <c r="AA256" s="74"/>
      <c r="AB256" s="74"/>
      <c r="AC256" s="74"/>
      <c r="AD256" s="74"/>
    </row>
    <row r="257">
      <c r="A257" s="116"/>
      <c r="B257" s="111"/>
      <c r="C257" s="117"/>
      <c r="D257" s="111"/>
      <c r="E257" s="111"/>
      <c r="F257" s="111"/>
      <c r="G257" s="111"/>
      <c r="H257" s="111"/>
      <c r="I257" s="116"/>
      <c r="J257" s="113"/>
      <c r="K257" s="111"/>
      <c r="L257" s="114"/>
      <c r="M257" s="115"/>
      <c r="N257" s="114"/>
      <c r="O257" s="115"/>
      <c r="P257" s="111"/>
      <c r="Q257" s="111"/>
      <c r="R257" s="111"/>
      <c r="S257" s="111"/>
      <c r="T257" s="111"/>
      <c r="U257" s="114"/>
      <c r="V257" s="74"/>
      <c r="W257" s="74"/>
      <c r="X257" s="74"/>
      <c r="Y257" s="74"/>
      <c r="Z257" s="74"/>
      <c r="AA257" s="74"/>
      <c r="AB257" s="74"/>
      <c r="AC257" s="74"/>
      <c r="AD257" s="74"/>
    </row>
    <row r="258">
      <c r="A258" s="116"/>
      <c r="B258" s="111"/>
      <c r="C258" s="117"/>
      <c r="D258" s="111"/>
      <c r="E258" s="111"/>
      <c r="F258" s="111"/>
      <c r="G258" s="111"/>
      <c r="H258" s="111"/>
      <c r="I258" s="116"/>
      <c r="J258" s="113"/>
      <c r="K258" s="111"/>
      <c r="L258" s="114"/>
      <c r="M258" s="115"/>
      <c r="N258" s="114"/>
      <c r="O258" s="115"/>
      <c r="P258" s="111"/>
      <c r="Q258" s="111"/>
      <c r="R258" s="111"/>
      <c r="S258" s="111"/>
      <c r="T258" s="111"/>
      <c r="U258" s="114"/>
      <c r="V258" s="74"/>
      <c r="W258" s="74"/>
      <c r="X258" s="74"/>
      <c r="Y258" s="74"/>
      <c r="Z258" s="74"/>
      <c r="AA258" s="74"/>
      <c r="AB258" s="74"/>
      <c r="AC258" s="74"/>
      <c r="AD258" s="74"/>
    </row>
    <row r="259">
      <c r="A259" s="116"/>
      <c r="B259" s="111"/>
      <c r="C259" s="117"/>
      <c r="D259" s="111"/>
      <c r="E259" s="111"/>
      <c r="F259" s="111"/>
      <c r="G259" s="111"/>
      <c r="H259" s="111"/>
      <c r="I259" s="116"/>
      <c r="J259" s="113"/>
      <c r="K259" s="111"/>
      <c r="L259" s="114"/>
      <c r="M259" s="115"/>
      <c r="N259" s="114"/>
      <c r="O259" s="115"/>
      <c r="P259" s="111"/>
      <c r="Q259" s="111"/>
      <c r="R259" s="111"/>
      <c r="S259" s="111"/>
      <c r="T259" s="111"/>
      <c r="U259" s="114"/>
      <c r="V259" s="74"/>
      <c r="W259" s="74"/>
      <c r="X259" s="74"/>
      <c r="Y259" s="74"/>
      <c r="Z259" s="74"/>
      <c r="AA259" s="74"/>
      <c r="AB259" s="74"/>
      <c r="AC259" s="74"/>
      <c r="AD259" s="74"/>
    </row>
    <row r="260">
      <c r="A260" s="116"/>
      <c r="B260" s="111"/>
      <c r="C260" s="117"/>
      <c r="D260" s="111"/>
      <c r="E260" s="111"/>
      <c r="F260" s="111"/>
      <c r="G260" s="111"/>
      <c r="H260" s="111"/>
      <c r="I260" s="116"/>
      <c r="J260" s="113"/>
      <c r="K260" s="111"/>
      <c r="L260" s="114"/>
      <c r="M260" s="115"/>
      <c r="N260" s="114"/>
      <c r="O260" s="115"/>
      <c r="P260" s="111"/>
      <c r="Q260" s="111"/>
      <c r="R260" s="111"/>
      <c r="S260" s="111"/>
      <c r="T260" s="111"/>
      <c r="U260" s="114"/>
      <c r="V260" s="74"/>
      <c r="W260" s="74"/>
      <c r="X260" s="74"/>
      <c r="Y260" s="74"/>
      <c r="Z260" s="74"/>
      <c r="AA260" s="74"/>
      <c r="AB260" s="74"/>
      <c r="AC260" s="74"/>
      <c r="AD260" s="74"/>
    </row>
    <row r="261">
      <c r="A261" s="116"/>
      <c r="B261" s="111"/>
      <c r="C261" s="117"/>
      <c r="D261" s="111"/>
      <c r="E261" s="111"/>
      <c r="F261" s="111"/>
      <c r="G261" s="111"/>
      <c r="H261" s="111"/>
      <c r="I261" s="116"/>
      <c r="J261" s="113"/>
      <c r="K261" s="111"/>
      <c r="L261" s="114"/>
      <c r="M261" s="115"/>
      <c r="N261" s="114"/>
      <c r="O261" s="115"/>
      <c r="P261" s="111"/>
      <c r="Q261" s="111"/>
      <c r="R261" s="111"/>
      <c r="S261" s="111"/>
      <c r="T261" s="111"/>
      <c r="U261" s="114"/>
      <c r="V261" s="74"/>
      <c r="W261" s="74"/>
      <c r="X261" s="74"/>
      <c r="Y261" s="74"/>
      <c r="Z261" s="74"/>
      <c r="AA261" s="74"/>
      <c r="AB261" s="74"/>
      <c r="AC261" s="74"/>
      <c r="AD261" s="74"/>
    </row>
    <row r="262">
      <c r="A262" s="116"/>
      <c r="B262" s="111"/>
      <c r="C262" s="117"/>
      <c r="D262" s="111"/>
      <c r="E262" s="111"/>
      <c r="F262" s="111"/>
      <c r="G262" s="111"/>
      <c r="H262" s="111"/>
      <c r="I262" s="116"/>
      <c r="J262" s="113"/>
      <c r="K262" s="111"/>
      <c r="L262" s="114"/>
      <c r="M262" s="115"/>
      <c r="N262" s="114"/>
      <c r="O262" s="115"/>
      <c r="P262" s="111"/>
      <c r="Q262" s="111"/>
      <c r="R262" s="111"/>
      <c r="S262" s="111"/>
      <c r="T262" s="111"/>
      <c r="U262" s="114"/>
      <c r="V262" s="74"/>
      <c r="W262" s="74"/>
      <c r="X262" s="74"/>
      <c r="Y262" s="74"/>
      <c r="Z262" s="74"/>
      <c r="AA262" s="74"/>
      <c r="AB262" s="74"/>
      <c r="AC262" s="74"/>
      <c r="AD262" s="74"/>
    </row>
    <row r="263">
      <c r="A263" s="116"/>
      <c r="B263" s="111"/>
      <c r="C263" s="117"/>
      <c r="D263" s="111"/>
      <c r="E263" s="111"/>
      <c r="F263" s="111"/>
      <c r="G263" s="111"/>
      <c r="H263" s="111"/>
      <c r="I263" s="116"/>
      <c r="J263" s="113"/>
      <c r="K263" s="111"/>
      <c r="L263" s="114"/>
      <c r="M263" s="115"/>
      <c r="N263" s="114"/>
      <c r="O263" s="115"/>
      <c r="P263" s="111"/>
      <c r="Q263" s="111"/>
      <c r="R263" s="111"/>
      <c r="S263" s="111"/>
      <c r="T263" s="111"/>
      <c r="U263" s="114"/>
      <c r="V263" s="74"/>
      <c r="W263" s="74"/>
      <c r="X263" s="74"/>
      <c r="Y263" s="74"/>
      <c r="Z263" s="74"/>
      <c r="AA263" s="74"/>
      <c r="AB263" s="74"/>
      <c r="AC263" s="74"/>
      <c r="AD263" s="74"/>
    </row>
    <row r="264">
      <c r="A264" s="116"/>
      <c r="B264" s="111"/>
      <c r="C264" s="117"/>
      <c r="D264" s="111"/>
      <c r="E264" s="111"/>
      <c r="F264" s="111"/>
      <c r="G264" s="111"/>
      <c r="H264" s="111"/>
      <c r="I264" s="116"/>
      <c r="J264" s="113"/>
      <c r="K264" s="111"/>
      <c r="L264" s="114"/>
      <c r="M264" s="115"/>
      <c r="N264" s="114"/>
      <c r="O264" s="115"/>
      <c r="P264" s="111"/>
      <c r="Q264" s="111"/>
      <c r="R264" s="111"/>
      <c r="S264" s="111"/>
      <c r="T264" s="111"/>
      <c r="U264" s="114"/>
      <c r="V264" s="74"/>
      <c r="W264" s="74"/>
      <c r="X264" s="74"/>
      <c r="Y264" s="74"/>
      <c r="Z264" s="74"/>
      <c r="AA264" s="74"/>
      <c r="AB264" s="74"/>
      <c r="AC264" s="74"/>
      <c r="AD264" s="74"/>
    </row>
    <row r="265">
      <c r="A265" s="116"/>
      <c r="B265" s="111"/>
      <c r="C265" s="117"/>
      <c r="D265" s="111"/>
      <c r="E265" s="111"/>
      <c r="F265" s="111"/>
      <c r="G265" s="111"/>
      <c r="H265" s="111"/>
      <c r="I265" s="116"/>
      <c r="J265" s="113"/>
      <c r="K265" s="111"/>
      <c r="L265" s="114"/>
      <c r="M265" s="115"/>
      <c r="N265" s="114"/>
      <c r="O265" s="115"/>
      <c r="P265" s="111"/>
      <c r="Q265" s="111"/>
      <c r="R265" s="111"/>
      <c r="S265" s="111"/>
      <c r="T265" s="111"/>
      <c r="U265" s="114"/>
      <c r="V265" s="74"/>
      <c r="W265" s="74"/>
      <c r="X265" s="74"/>
      <c r="Y265" s="74"/>
      <c r="Z265" s="74"/>
      <c r="AA265" s="74"/>
      <c r="AB265" s="74"/>
      <c r="AC265" s="74"/>
      <c r="AD265" s="74"/>
    </row>
    <row r="266">
      <c r="A266" s="116"/>
      <c r="B266" s="111"/>
      <c r="C266" s="117"/>
      <c r="D266" s="111"/>
      <c r="E266" s="111"/>
      <c r="F266" s="111"/>
      <c r="G266" s="111"/>
      <c r="H266" s="111"/>
      <c r="I266" s="116"/>
      <c r="J266" s="113"/>
      <c r="K266" s="111"/>
      <c r="L266" s="114"/>
      <c r="M266" s="115"/>
      <c r="N266" s="114"/>
      <c r="O266" s="115"/>
      <c r="P266" s="111"/>
      <c r="Q266" s="111"/>
      <c r="R266" s="111"/>
      <c r="S266" s="111"/>
      <c r="T266" s="111"/>
      <c r="U266" s="114"/>
      <c r="V266" s="74"/>
      <c r="W266" s="74"/>
      <c r="X266" s="74"/>
      <c r="Y266" s="74"/>
      <c r="Z266" s="74"/>
      <c r="AA266" s="74"/>
      <c r="AB266" s="74"/>
      <c r="AC266" s="74"/>
      <c r="AD266" s="74"/>
    </row>
    <row r="267">
      <c r="A267" s="116"/>
      <c r="B267" s="111"/>
      <c r="C267" s="117"/>
      <c r="D267" s="111"/>
      <c r="E267" s="111"/>
      <c r="F267" s="111"/>
      <c r="G267" s="111"/>
      <c r="H267" s="111"/>
      <c r="I267" s="116"/>
      <c r="J267" s="113"/>
      <c r="K267" s="111"/>
      <c r="L267" s="114"/>
      <c r="M267" s="115"/>
      <c r="N267" s="114"/>
      <c r="O267" s="115"/>
      <c r="P267" s="111"/>
      <c r="Q267" s="111"/>
      <c r="R267" s="111"/>
      <c r="S267" s="111"/>
      <c r="T267" s="111"/>
      <c r="U267" s="114"/>
      <c r="V267" s="74"/>
      <c r="W267" s="74"/>
      <c r="X267" s="74"/>
      <c r="Y267" s="74"/>
      <c r="Z267" s="74"/>
      <c r="AA267" s="74"/>
      <c r="AB267" s="74"/>
      <c r="AC267" s="74"/>
      <c r="AD267" s="74"/>
    </row>
    <row r="268">
      <c r="A268" s="116"/>
      <c r="B268" s="111"/>
      <c r="C268" s="117"/>
      <c r="D268" s="111"/>
      <c r="E268" s="111"/>
      <c r="F268" s="111"/>
      <c r="G268" s="111"/>
      <c r="H268" s="111"/>
      <c r="I268" s="116"/>
      <c r="J268" s="113"/>
      <c r="K268" s="111"/>
      <c r="L268" s="114"/>
      <c r="M268" s="115"/>
      <c r="N268" s="114"/>
      <c r="O268" s="115"/>
      <c r="P268" s="111"/>
      <c r="Q268" s="111"/>
      <c r="R268" s="111"/>
      <c r="S268" s="111"/>
      <c r="T268" s="111"/>
      <c r="U268" s="114"/>
      <c r="V268" s="74"/>
      <c r="W268" s="74"/>
      <c r="X268" s="74"/>
      <c r="Y268" s="74"/>
      <c r="Z268" s="74"/>
      <c r="AA268" s="74"/>
      <c r="AB268" s="74"/>
      <c r="AC268" s="74"/>
      <c r="AD268" s="74"/>
    </row>
    <row r="269">
      <c r="A269" s="116"/>
      <c r="B269" s="111"/>
      <c r="C269" s="117"/>
      <c r="D269" s="111"/>
      <c r="E269" s="111"/>
      <c r="F269" s="111"/>
      <c r="G269" s="111"/>
      <c r="H269" s="111"/>
      <c r="I269" s="116"/>
      <c r="J269" s="113"/>
      <c r="K269" s="111"/>
      <c r="L269" s="114"/>
      <c r="M269" s="115"/>
      <c r="N269" s="114"/>
      <c r="O269" s="115"/>
      <c r="P269" s="111"/>
      <c r="Q269" s="111"/>
      <c r="R269" s="111"/>
      <c r="S269" s="111"/>
      <c r="T269" s="111"/>
      <c r="U269" s="114"/>
      <c r="V269" s="74"/>
      <c r="W269" s="74"/>
      <c r="X269" s="74"/>
      <c r="Y269" s="74"/>
      <c r="Z269" s="74"/>
      <c r="AA269" s="74"/>
      <c r="AB269" s="74"/>
      <c r="AC269" s="74"/>
      <c r="AD269" s="74"/>
    </row>
    <row r="270">
      <c r="A270" s="116"/>
      <c r="B270" s="111"/>
      <c r="C270" s="117"/>
      <c r="D270" s="111"/>
      <c r="E270" s="111"/>
      <c r="F270" s="111"/>
      <c r="G270" s="111"/>
      <c r="H270" s="111"/>
      <c r="I270" s="116"/>
      <c r="J270" s="113"/>
      <c r="K270" s="111"/>
      <c r="L270" s="114"/>
      <c r="M270" s="115"/>
      <c r="N270" s="114"/>
      <c r="O270" s="115"/>
      <c r="P270" s="111"/>
      <c r="Q270" s="111"/>
      <c r="R270" s="111"/>
      <c r="S270" s="111"/>
      <c r="T270" s="111"/>
      <c r="U270" s="114"/>
      <c r="V270" s="74"/>
      <c r="W270" s="74"/>
      <c r="X270" s="74"/>
      <c r="Y270" s="74"/>
      <c r="Z270" s="74"/>
      <c r="AA270" s="74"/>
      <c r="AB270" s="74"/>
      <c r="AC270" s="74"/>
      <c r="AD270" s="74"/>
    </row>
    <row r="271">
      <c r="A271" s="116"/>
      <c r="B271" s="111"/>
      <c r="C271" s="117"/>
      <c r="D271" s="111"/>
      <c r="E271" s="111"/>
      <c r="F271" s="111"/>
      <c r="G271" s="111"/>
      <c r="H271" s="111"/>
      <c r="I271" s="116"/>
      <c r="J271" s="113"/>
      <c r="K271" s="111"/>
      <c r="L271" s="114"/>
      <c r="M271" s="115"/>
      <c r="N271" s="114"/>
      <c r="O271" s="115"/>
      <c r="P271" s="111"/>
      <c r="Q271" s="111"/>
      <c r="R271" s="111"/>
      <c r="S271" s="111"/>
      <c r="T271" s="111"/>
      <c r="U271" s="114"/>
      <c r="V271" s="74"/>
      <c r="W271" s="74"/>
      <c r="X271" s="74"/>
      <c r="Y271" s="74"/>
      <c r="Z271" s="74"/>
      <c r="AA271" s="74"/>
      <c r="AB271" s="74"/>
      <c r="AC271" s="74"/>
      <c r="AD271" s="74"/>
    </row>
    <row r="272">
      <c r="A272" s="116"/>
      <c r="B272" s="111"/>
      <c r="C272" s="117"/>
      <c r="D272" s="111"/>
      <c r="E272" s="111"/>
      <c r="F272" s="111"/>
      <c r="G272" s="111"/>
      <c r="H272" s="111"/>
      <c r="I272" s="116"/>
      <c r="J272" s="113"/>
      <c r="K272" s="111"/>
      <c r="L272" s="114"/>
      <c r="M272" s="115"/>
      <c r="N272" s="114"/>
      <c r="O272" s="115"/>
      <c r="P272" s="111"/>
      <c r="Q272" s="111"/>
      <c r="R272" s="111"/>
      <c r="S272" s="111"/>
      <c r="T272" s="111"/>
      <c r="U272" s="114"/>
      <c r="V272" s="74"/>
      <c r="W272" s="74"/>
      <c r="X272" s="74"/>
      <c r="Y272" s="74"/>
      <c r="Z272" s="74"/>
      <c r="AA272" s="74"/>
      <c r="AB272" s="74"/>
      <c r="AC272" s="74"/>
      <c r="AD272" s="74"/>
    </row>
    <row r="273">
      <c r="A273" s="116"/>
      <c r="B273" s="111"/>
      <c r="C273" s="117"/>
      <c r="D273" s="111"/>
      <c r="E273" s="111"/>
      <c r="F273" s="111"/>
      <c r="G273" s="111"/>
      <c r="H273" s="111"/>
      <c r="I273" s="116"/>
      <c r="J273" s="113"/>
      <c r="K273" s="111"/>
      <c r="L273" s="114"/>
      <c r="M273" s="115"/>
      <c r="N273" s="114"/>
      <c r="O273" s="115"/>
      <c r="P273" s="111"/>
      <c r="Q273" s="111"/>
      <c r="R273" s="111"/>
      <c r="S273" s="111"/>
      <c r="T273" s="111"/>
      <c r="U273" s="114"/>
      <c r="V273" s="74"/>
      <c r="W273" s="74"/>
      <c r="X273" s="74"/>
      <c r="Y273" s="74"/>
      <c r="Z273" s="74"/>
      <c r="AA273" s="74"/>
      <c r="AB273" s="74"/>
      <c r="AC273" s="74"/>
      <c r="AD273" s="74"/>
    </row>
    <row r="274">
      <c r="A274" s="116"/>
      <c r="B274" s="111"/>
      <c r="C274" s="117"/>
      <c r="D274" s="111"/>
      <c r="E274" s="111"/>
      <c r="F274" s="111"/>
      <c r="G274" s="111"/>
      <c r="H274" s="111"/>
      <c r="I274" s="116"/>
      <c r="J274" s="113"/>
      <c r="K274" s="111"/>
      <c r="L274" s="114"/>
      <c r="M274" s="115"/>
      <c r="N274" s="114"/>
      <c r="O274" s="115"/>
      <c r="P274" s="111"/>
      <c r="Q274" s="111"/>
      <c r="R274" s="111"/>
      <c r="S274" s="111"/>
      <c r="T274" s="111"/>
      <c r="U274" s="114"/>
      <c r="V274" s="74"/>
      <c r="W274" s="74"/>
      <c r="X274" s="74"/>
      <c r="Y274" s="74"/>
      <c r="Z274" s="74"/>
      <c r="AA274" s="74"/>
      <c r="AB274" s="74"/>
      <c r="AC274" s="74"/>
      <c r="AD274" s="74"/>
    </row>
    <row r="275">
      <c r="A275" s="116"/>
      <c r="B275" s="111"/>
      <c r="C275" s="117"/>
      <c r="D275" s="111"/>
      <c r="E275" s="111"/>
      <c r="F275" s="111"/>
      <c r="G275" s="111"/>
      <c r="H275" s="111"/>
      <c r="I275" s="116"/>
      <c r="J275" s="113"/>
      <c r="K275" s="111"/>
      <c r="L275" s="114"/>
      <c r="M275" s="115"/>
      <c r="N275" s="114"/>
      <c r="O275" s="115"/>
      <c r="P275" s="111"/>
      <c r="Q275" s="111"/>
      <c r="R275" s="111"/>
      <c r="S275" s="111"/>
      <c r="T275" s="111"/>
      <c r="U275" s="114"/>
      <c r="V275" s="74"/>
      <c r="W275" s="74"/>
      <c r="X275" s="74"/>
      <c r="Y275" s="74"/>
      <c r="Z275" s="74"/>
      <c r="AA275" s="74"/>
      <c r="AB275" s="74"/>
      <c r="AC275" s="74"/>
      <c r="AD275" s="74"/>
    </row>
    <row r="276">
      <c r="A276" s="116"/>
      <c r="B276" s="111"/>
      <c r="C276" s="117"/>
      <c r="D276" s="111"/>
      <c r="E276" s="111"/>
      <c r="F276" s="111"/>
      <c r="G276" s="111"/>
      <c r="H276" s="111"/>
      <c r="I276" s="116"/>
      <c r="J276" s="113"/>
      <c r="K276" s="111"/>
      <c r="L276" s="114"/>
      <c r="M276" s="115"/>
      <c r="N276" s="114"/>
      <c r="O276" s="115"/>
      <c r="P276" s="111"/>
      <c r="Q276" s="111"/>
      <c r="R276" s="111"/>
      <c r="S276" s="111"/>
      <c r="T276" s="111"/>
      <c r="U276" s="114"/>
      <c r="V276" s="74"/>
      <c r="W276" s="74"/>
      <c r="X276" s="74"/>
      <c r="Y276" s="74"/>
      <c r="Z276" s="74"/>
      <c r="AA276" s="74"/>
      <c r="AB276" s="74"/>
      <c r="AC276" s="74"/>
      <c r="AD276" s="74"/>
    </row>
    <row r="277">
      <c r="A277" s="116"/>
      <c r="B277" s="111"/>
      <c r="C277" s="117"/>
      <c r="D277" s="111"/>
      <c r="E277" s="111"/>
      <c r="F277" s="111"/>
      <c r="G277" s="111"/>
      <c r="H277" s="111"/>
      <c r="I277" s="116"/>
      <c r="J277" s="113"/>
      <c r="K277" s="111"/>
      <c r="L277" s="114"/>
      <c r="M277" s="115"/>
      <c r="N277" s="114"/>
      <c r="O277" s="115"/>
      <c r="P277" s="111"/>
      <c r="Q277" s="111"/>
      <c r="R277" s="111"/>
      <c r="S277" s="111"/>
      <c r="T277" s="111"/>
      <c r="U277" s="114"/>
      <c r="V277" s="74"/>
      <c r="W277" s="74"/>
      <c r="X277" s="74"/>
      <c r="Y277" s="74"/>
      <c r="Z277" s="74"/>
      <c r="AA277" s="74"/>
      <c r="AB277" s="74"/>
      <c r="AC277" s="74"/>
      <c r="AD277" s="74"/>
    </row>
    <row r="278">
      <c r="A278" s="116"/>
      <c r="B278" s="111"/>
      <c r="C278" s="117"/>
      <c r="D278" s="111"/>
      <c r="E278" s="111"/>
      <c r="F278" s="111"/>
      <c r="G278" s="111"/>
      <c r="H278" s="111"/>
      <c r="I278" s="116"/>
      <c r="J278" s="113"/>
      <c r="K278" s="111"/>
      <c r="L278" s="114"/>
      <c r="M278" s="115"/>
      <c r="N278" s="114"/>
      <c r="O278" s="115"/>
      <c r="P278" s="111"/>
      <c r="Q278" s="111"/>
      <c r="R278" s="111"/>
      <c r="S278" s="111"/>
      <c r="T278" s="111"/>
      <c r="U278" s="114"/>
      <c r="V278" s="74"/>
      <c r="W278" s="74"/>
      <c r="X278" s="74"/>
      <c r="Y278" s="74"/>
      <c r="Z278" s="74"/>
      <c r="AA278" s="74"/>
      <c r="AB278" s="74"/>
      <c r="AC278" s="74"/>
      <c r="AD278" s="74"/>
    </row>
    <row r="279">
      <c r="A279" s="116"/>
      <c r="B279" s="111"/>
      <c r="C279" s="117"/>
      <c r="D279" s="111"/>
      <c r="E279" s="111"/>
      <c r="F279" s="111"/>
      <c r="G279" s="111"/>
      <c r="H279" s="111"/>
      <c r="I279" s="116"/>
      <c r="J279" s="113"/>
      <c r="K279" s="111"/>
      <c r="L279" s="114"/>
      <c r="M279" s="115"/>
      <c r="N279" s="114"/>
      <c r="O279" s="115"/>
      <c r="P279" s="111"/>
      <c r="Q279" s="111"/>
      <c r="R279" s="111"/>
      <c r="S279" s="111"/>
      <c r="T279" s="111"/>
      <c r="U279" s="114"/>
      <c r="V279" s="74"/>
      <c r="W279" s="74"/>
      <c r="X279" s="74"/>
      <c r="Y279" s="74"/>
      <c r="Z279" s="74"/>
      <c r="AA279" s="74"/>
      <c r="AB279" s="74"/>
      <c r="AC279" s="74"/>
      <c r="AD279" s="74"/>
    </row>
    <row r="280">
      <c r="A280" s="116"/>
      <c r="B280" s="111"/>
      <c r="C280" s="117"/>
      <c r="D280" s="111"/>
      <c r="E280" s="111"/>
      <c r="F280" s="111"/>
      <c r="G280" s="111"/>
      <c r="H280" s="111"/>
      <c r="I280" s="116"/>
      <c r="J280" s="113"/>
      <c r="K280" s="111"/>
      <c r="L280" s="114"/>
      <c r="M280" s="115"/>
      <c r="N280" s="114"/>
      <c r="O280" s="115"/>
      <c r="P280" s="111"/>
      <c r="Q280" s="111"/>
      <c r="R280" s="111"/>
      <c r="S280" s="111"/>
      <c r="T280" s="111"/>
      <c r="U280" s="114"/>
      <c r="V280" s="74"/>
      <c r="W280" s="74"/>
      <c r="X280" s="74"/>
      <c r="Y280" s="74"/>
      <c r="Z280" s="74"/>
      <c r="AA280" s="74"/>
      <c r="AB280" s="74"/>
      <c r="AC280" s="74"/>
      <c r="AD280" s="74"/>
    </row>
    <row r="281">
      <c r="A281" s="116"/>
      <c r="B281" s="111"/>
      <c r="C281" s="117"/>
      <c r="D281" s="111"/>
      <c r="E281" s="111"/>
      <c r="F281" s="111"/>
      <c r="G281" s="111"/>
      <c r="H281" s="111"/>
      <c r="I281" s="116"/>
      <c r="J281" s="113"/>
      <c r="K281" s="111"/>
      <c r="L281" s="114"/>
      <c r="M281" s="115"/>
      <c r="N281" s="114"/>
      <c r="O281" s="115"/>
      <c r="P281" s="111"/>
      <c r="Q281" s="111"/>
      <c r="R281" s="111"/>
      <c r="S281" s="111"/>
      <c r="T281" s="111"/>
      <c r="U281" s="114"/>
      <c r="V281" s="74"/>
      <c r="W281" s="74"/>
      <c r="X281" s="74"/>
      <c r="Y281" s="74"/>
      <c r="Z281" s="74"/>
      <c r="AA281" s="74"/>
      <c r="AB281" s="74"/>
      <c r="AC281" s="74"/>
      <c r="AD281" s="74"/>
    </row>
    <row r="282">
      <c r="A282" s="116"/>
      <c r="B282" s="111"/>
      <c r="C282" s="117"/>
      <c r="D282" s="111"/>
      <c r="E282" s="111"/>
      <c r="F282" s="111"/>
      <c r="G282" s="111"/>
      <c r="H282" s="111"/>
      <c r="I282" s="116"/>
      <c r="J282" s="113"/>
      <c r="K282" s="111"/>
      <c r="L282" s="114"/>
      <c r="M282" s="115"/>
      <c r="N282" s="114"/>
      <c r="O282" s="115"/>
      <c r="P282" s="111"/>
      <c r="Q282" s="111"/>
      <c r="R282" s="111"/>
      <c r="S282" s="111"/>
      <c r="T282" s="111"/>
      <c r="U282" s="114"/>
      <c r="V282" s="74"/>
      <c r="W282" s="74"/>
      <c r="X282" s="74"/>
      <c r="Y282" s="74"/>
      <c r="Z282" s="74"/>
      <c r="AA282" s="74"/>
      <c r="AB282" s="74"/>
      <c r="AC282" s="74"/>
      <c r="AD282" s="74"/>
    </row>
    <row r="283">
      <c r="A283" s="116"/>
      <c r="B283" s="111"/>
      <c r="C283" s="117"/>
      <c r="D283" s="111"/>
      <c r="E283" s="111"/>
      <c r="F283" s="111"/>
      <c r="G283" s="111"/>
      <c r="H283" s="111"/>
      <c r="I283" s="116"/>
      <c r="J283" s="113"/>
      <c r="K283" s="111"/>
      <c r="L283" s="114"/>
      <c r="M283" s="115"/>
      <c r="N283" s="114"/>
      <c r="O283" s="115"/>
      <c r="P283" s="111"/>
      <c r="Q283" s="111"/>
      <c r="R283" s="111"/>
      <c r="S283" s="111"/>
      <c r="T283" s="111"/>
      <c r="U283" s="114"/>
      <c r="V283" s="74"/>
      <c r="W283" s="74"/>
      <c r="X283" s="74"/>
      <c r="Y283" s="74"/>
      <c r="Z283" s="74"/>
      <c r="AA283" s="74"/>
      <c r="AB283" s="74"/>
      <c r="AC283" s="74"/>
      <c r="AD283" s="74"/>
    </row>
    <row r="284">
      <c r="A284" s="116"/>
      <c r="B284" s="111"/>
      <c r="C284" s="117"/>
      <c r="D284" s="111"/>
      <c r="E284" s="111"/>
      <c r="F284" s="111"/>
      <c r="G284" s="111"/>
      <c r="H284" s="111"/>
      <c r="I284" s="116"/>
      <c r="J284" s="113"/>
      <c r="K284" s="111"/>
      <c r="L284" s="114"/>
      <c r="M284" s="115"/>
      <c r="N284" s="114"/>
      <c r="O284" s="115"/>
      <c r="P284" s="111"/>
      <c r="Q284" s="111"/>
      <c r="R284" s="111"/>
      <c r="S284" s="111"/>
      <c r="T284" s="111"/>
      <c r="U284" s="114"/>
      <c r="V284" s="74"/>
      <c r="W284" s="74"/>
      <c r="X284" s="74"/>
      <c r="Y284" s="74"/>
      <c r="Z284" s="74"/>
      <c r="AA284" s="74"/>
      <c r="AB284" s="74"/>
      <c r="AC284" s="74"/>
      <c r="AD284" s="74"/>
    </row>
    <row r="285">
      <c r="A285" s="116"/>
      <c r="B285" s="111"/>
      <c r="C285" s="117"/>
      <c r="D285" s="111"/>
      <c r="E285" s="111"/>
      <c r="F285" s="111"/>
      <c r="G285" s="111"/>
      <c r="H285" s="111"/>
      <c r="I285" s="116"/>
      <c r="J285" s="113"/>
      <c r="K285" s="111"/>
      <c r="L285" s="114"/>
      <c r="M285" s="115"/>
      <c r="N285" s="114"/>
      <c r="O285" s="115"/>
      <c r="P285" s="111"/>
      <c r="Q285" s="111"/>
      <c r="R285" s="111"/>
      <c r="S285" s="111"/>
      <c r="T285" s="111"/>
      <c r="U285" s="114"/>
      <c r="V285" s="74"/>
      <c r="W285" s="74"/>
      <c r="X285" s="74"/>
      <c r="Y285" s="74"/>
      <c r="Z285" s="74"/>
      <c r="AA285" s="74"/>
      <c r="AB285" s="74"/>
      <c r="AC285" s="74"/>
      <c r="AD285" s="74"/>
    </row>
    <row r="286">
      <c r="A286" s="116"/>
      <c r="B286" s="111"/>
      <c r="C286" s="117"/>
      <c r="D286" s="111"/>
      <c r="E286" s="111"/>
      <c r="F286" s="111"/>
      <c r="G286" s="111"/>
      <c r="H286" s="111"/>
      <c r="I286" s="116"/>
      <c r="J286" s="113"/>
      <c r="K286" s="111"/>
      <c r="L286" s="114"/>
      <c r="M286" s="115"/>
      <c r="N286" s="114"/>
      <c r="O286" s="115"/>
      <c r="P286" s="111"/>
      <c r="Q286" s="111"/>
      <c r="R286" s="111"/>
      <c r="S286" s="111"/>
      <c r="T286" s="111"/>
      <c r="U286" s="114"/>
      <c r="V286" s="74"/>
      <c r="W286" s="74"/>
      <c r="X286" s="74"/>
      <c r="Y286" s="74"/>
      <c r="Z286" s="74"/>
      <c r="AA286" s="74"/>
      <c r="AB286" s="74"/>
      <c r="AC286" s="74"/>
      <c r="AD286" s="74"/>
    </row>
    <row r="287">
      <c r="A287" s="116"/>
      <c r="B287" s="111"/>
      <c r="C287" s="117"/>
      <c r="D287" s="111"/>
      <c r="E287" s="111"/>
      <c r="F287" s="111"/>
      <c r="G287" s="111"/>
      <c r="H287" s="111"/>
      <c r="I287" s="116"/>
      <c r="J287" s="113"/>
      <c r="K287" s="111"/>
      <c r="L287" s="114"/>
      <c r="M287" s="115"/>
      <c r="N287" s="114"/>
      <c r="O287" s="115"/>
      <c r="P287" s="111"/>
      <c r="Q287" s="111"/>
      <c r="R287" s="111"/>
      <c r="S287" s="111"/>
      <c r="T287" s="111"/>
      <c r="U287" s="114"/>
      <c r="V287" s="74"/>
      <c r="W287" s="74"/>
      <c r="X287" s="74"/>
      <c r="Y287" s="74"/>
      <c r="Z287" s="74"/>
      <c r="AA287" s="74"/>
      <c r="AB287" s="74"/>
      <c r="AC287" s="74"/>
      <c r="AD287" s="74"/>
    </row>
    <row r="288">
      <c r="A288" s="116"/>
      <c r="B288" s="111"/>
      <c r="C288" s="117"/>
      <c r="D288" s="111"/>
      <c r="E288" s="111"/>
      <c r="F288" s="111"/>
      <c r="G288" s="111"/>
      <c r="H288" s="111"/>
      <c r="I288" s="116"/>
      <c r="J288" s="113"/>
      <c r="K288" s="111"/>
      <c r="L288" s="114"/>
      <c r="M288" s="115"/>
      <c r="N288" s="114"/>
      <c r="O288" s="115"/>
      <c r="P288" s="111"/>
      <c r="Q288" s="111"/>
      <c r="R288" s="111"/>
      <c r="S288" s="111"/>
      <c r="T288" s="111"/>
      <c r="U288" s="114"/>
      <c r="V288" s="74"/>
      <c r="W288" s="74"/>
      <c r="X288" s="74"/>
      <c r="Y288" s="74"/>
      <c r="Z288" s="74"/>
      <c r="AA288" s="74"/>
      <c r="AB288" s="74"/>
      <c r="AC288" s="74"/>
      <c r="AD288" s="74"/>
    </row>
    <row r="289">
      <c r="A289" s="116"/>
      <c r="B289" s="111"/>
      <c r="C289" s="117"/>
      <c r="D289" s="111"/>
      <c r="E289" s="111"/>
      <c r="F289" s="111"/>
      <c r="G289" s="111"/>
      <c r="H289" s="111"/>
      <c r="I289" s="116"/>
      <c r="J289" s="113"/>
      <c r="K289" s="111"/>
      <c r="L289" s="114"/>
      <c r="M289" s="115"/>
      <c r="N289" s="114"/>
      <c r="O289" s="115"/>
      <c r="P289" s="111"/>
      <c r="Q289" s="111"/>
      <c r="R289" s="111"/>
      <c r="S289" s="111"/>
      <c r="T289" s="111"/>
      <c r="U289" s="114"/>
      <c r="V289" s="74"/>
      <c r="W289" s="74"/>
      <c r="X289" s="74"/>
      <c r="Y289" s="74"/>
      <c r="Z289" s="74"/>
      <c r="AA289" s="74"/>
      <c r="AB289" s="74"/>
      <c r="AC289" s="74"/>
      <c r="AD289" s="74"/>
    </row>
    <row r="290">
      <c r="A290" s="116"/>
      <c r="B290" s="111"/>
      <c r="C290" s="117"/>
      <c r="D290" s="111"/>
      <c r="E290" s="111"/>
      <c r="F290" s="111"/>
      <c r="G290" s="111"/>
      <c r="H290" s="111"/>
      <c r="I290" s="116"/>
      <c r="J290" s="113"/>
      <c r="K290" s="111"/>
      <c r="L290" s="114"/>
      <c r="M290" s="115"/>
      <c r="N290" s="114"/>
      <c r="O290" s="115"/>
      <c r="P290" s="111"/>
      <c r="Q290" s="111"/>
      <c r="R290" s="111"/>
      <c r="S290" s="111"/>
      <c r="T290" s="111"/>
      <c r="U290" s="114"/>
      <c r="V290" s="74"/>
      <c r="W290" s="74"/>
      <c r="X290" s="74"/>
      <c r="Y290" s="74"/>
      <c r="Z290" s="74"/>
      <c r="AA290" s="74"/>
      <c r="AB290" s="74"/>
      <c r="AC290" s="74"/>
      <c r="AD290" s="74"/>
    </row>
    <row r="291">
      <c r="A291" s="116"/>
      <c r="B291" s="111"/>
      <c r="C291" s="117"/>
      <c r="D291" s="111"/>
      <c r="E291" s="111"/>
      <c r="F291" s="111"/>
      <c r="G291" s="111"/>
      <c r="H291" s="111"/>
      <c r="I291" s="116"/>
      <c r="J291" s="113"/>
      <c r="K291" s="111"/>
      <c r="L291" s="114"/>
      <c r="M291" s="115"/>
      <c r="N291" s="114"/>
      <c r="O291" s="115"/>
      <c r="P291" s="111"/>
      <c r="Q291" s="111"/>
      <c r="R291" s="111"/>
      <c r="S291" s="111"/>
      <c r="T291" s="111"/>
      <c r="U291" s="114"/>
      <c r="V291" s="74"/>
      <c r="W291" s="74"/>
      <c r="X291" s="74"/>
      <c r="Y291" s="74"/>
      <c r="Z291" s="74"/>
      <c r="AA291" s="74"/>
      <c r="AB291" s="74"/>
      <c r="AC291" s="74"/>
      <c r="AD291" s="74"/>
    </row>
    <row r="292">
      <c r="A292" s="116"/>
      <c r="B292" s="111"/>
      <c r="C292" s="117"/>
      <c r="D292" s="111"/>
      <c r="E292" s="111"/>
      <c r="F292" s="111"/>
      <c r="G292" s="111"/>
      <c r="H292" s="111"/>
      <c r="I292" s="116"/>
      <c r="J292" s="113"/>
      <c r="K292" s="111"/>
      <c r="L292" s="114"/>
      <c r="M292" s="115"/>
      <c r="N292" s="114"/>
      <c r="O292" s="115"/>
      <c r="P292" s="111"/>
      <c r="Q292" s="111"/>
      <c r="R292" s="111"/>
      <c r="S292" s="111"/>
      <c r="T292" s="111"/>
      <c r="U292" s="114"/>
      <c r="V292" s="74"/>
      <c r="W292" s="74"/>
      <c r="X292" s="74"/>
      <c r="Y292" s="74"/>
      <c r="Z292" s="74"/>
      <c r="AA292" s="74"/>
      <c r="AB292" s="74"/>
      <c r="AC292" s="74"/>
      <c r="AD292" s="74"/>
    </row>
    <row r="293">
      <c r="A293" s="116"/>
      <c r="B293" s="111"/>
      <c r="C293" s="117"/>
      <c r="D293" s="111"/>
      <c r="E293" s="111"/>
      <c r="F293" s="111"/>
      <c r="G293" s="111"/>
      <c r="H293" s="111"/>
      <c r="I293" s="116"/>
      <c r="J293" s="113"/>
      <c r="K293" s="111"/>
      <c r="L293" s="114"/>
      <c r="M293" s="115"/>
      <c r="N293" s="114"/>
      <c r="O293" s="115"/>
      <c r="P293" s="111"/>
      <c r="Q293" s="111"/>
      <c r="R293" s="111"/>
      <c r="S293" s="111"/>
      <c r="T293" s="111"/>
      <c r="U293" s="114"/>
      <c r="V293" s="74"/>
      <c r="W293" s="74"/>
      <c r="X293" s="74"/>
      <c r="Y293" s="74"/>
      <c r="Z293" s="74"/>
      <c r="AA293" s="74"/>
      <c r="AB293" s="74"/>
      <c r="AC293" s="74"/>
      <c r="AD293" s="74"/>
    </row>
    <row r="294">
      <c r="A294" s="116"/>
      <c r="B294" s="111"/>
      <c r="C294" s="117"/>
      <c r="D294" s="111"/>
      <c r="E294" s="111"/>
      <c r="F294" s="111"/>
      <c r="G294" s="111"/>
      <c r="H294" s="111"/>
      <c r="I294" s="116"/>
      <c r="J294" s="113"/>
      <c r="K294" s="111"/>
      <c r="L294" s="114"/>
      <c r="M294" s="115"/>
      <c r="N294" s="114"/>
      <c r="O294" s="115"/>
      <c r="P294" s="111"/>
      <c r="Q294" s="111"/>
      <c r="R294" s="111"/>
      <c r="S294" s="111"/>
      <c r="T294" s="111"/>
      <c r="U294" s="114"/>
      <c r="V294" s="74"/>
      <c r="W294" s="74"/>
      <c r="X294" s="74"/>
      <c r="Y294" s="74"/>
      <c r="Z294" s="74"/>
      <c r="AA294" s="74"/>
      <c r="AB294" s="74"/>
      <c r="AC294" s="74"/>
      <c r="AD294" s="74"/>
    </row>
    <row r="295">
      <c r="A295" s="116"/>
      <c r="B295" s="111"/>
      <c r="C295" s="117"/>
      <c r="D295" s="111"/>
      <c r="E295" s="111"/>
      <c r="F295" s="111"/>
      <c r="G295" s="111"/>
      <c r="H295" s="111"/>
      <c r="I295" s="116"/>
      <c r="J295" s="113"/>
      <c r="K295" s="111"/>
      <c r="L295" s="114"/>
      <c r="M295" s="115"/>
      <c r="N295" s="114"/>
      <c r="O295" s="115"/>
      <c r="P295" s="111"/>
      <c r="Q295" s="111"/>
      <c r="R295" s="111"/>
      <c r="S295" s="111"/>
      <c r="T295" s="111"/>
      <c r="U295" s="114"/>
      <c r="V295" s="74"/>
      <c r="W295" s="74"/>
      <c r="X295" s="74"/>
      <c r="Y295" s="74"/>
      <c r="Z295" s="74"/>
      <c r="AA295" s="74"/>
      <c r="AB295" s="74"/>
      <c r="AC295" s="74"/>
      <c r="AD295" s="74"/>
    </row>
    <row r="296">
      <c r="A296" s="116"/>
      <c r="B296" s="111"/>
      <c r="C296" s="117"/>
      <c r="D296" s="111"/>
      <c r="E296" s="111"/>
      <c r="F296" s="111"/>
      <c r="G296" s="111"/>
      <c r="H296" s="111"/>
      <c r="I296" s="116"/>
      <c r="J296" s="113"/>
      <c r="K296" s="111"/>
      <c r="L296" s="114"/>
      <c r="M296" s="115"/>
      <c r="N296" s="114"/>
      <c r="O296" s="115"/>
      <c r="P296" s="111"/>
      <c r="Q296" s="111"/>
      <c r="R296" s="111"/>
      <c r="S296" s="111"/>
      <c r="T296" s="111"/>
      <c r="U296" s="114"/>
      <c r="V296" s="74"/>
      <c r="W296" s="74"/>
      <c r="X296" s="74"/>
      <c r="Y296" s="74"/>
      <c r="Z296" s="74"/>
      <c r="AA296" s="74"/>
      <c r="AB296" s="74"/>
      <c r="AC296" s="74"/>
      <c r="AD296" s="74"/>
    </row>
    <row r="297">
      <c r="A297" s="116"/>
      <c r="B297" s="111"/>
      <c r="C297" s="117"/>
      <c r="D297" s="111"/>
      <c r="E297" s="111"/>
      <c r="F297" s="111"/>
      <c r="G297" s="111"/>
      <c r="H297" s="111"/>
      <c r="I297" s="116"/>
      <c r="J297" s="113"/>
      <c r="K297" s="111"/>
      <c r="L297" s="114"/>
      <c r="M297" s="115"/>
      <c r="N297" s="114"/>
      <c r="O297" s="115"/>
      <c r="P297" s="111"/>
      <c r="Q297" s="111"/>
      <c r="R297" s="111"/>
      <c r="S297" s="111"/>
      <c r="T297" s="111"/>
      <c r="U297" s="114"/>
      <c r="V297" s="74"/>
      <c r="W297" s="74"/>
      <c r="X297" s="74"/>
      <c r="Y297" s="74"/>
      <c r="Z297" s="74"/>
      <c r="AA297" s="74"/>
      <c r="AB297" s="74"/>
      <c r="AC297" s="74"/>
      <c r="AD297" s="74"/>
    </row>
    <row r="298">
      <c r="A298" s="116"/>
      <c r="B298" s="111"/>
      <c r="C298" s="117"/>
      <c r="D298" s="111"/>
      <c r="E298" s="111"/>
      <c r="F298" s="111"/>
      <c r="G298" s="111"/>
      <c r="H298" s="111"/>
      <c r="I298" s="116"/>
      <c r="J298" s="113"/>
      <c r="K298" s="111"/>
      <c r="L298" s="114"/>
      <c r="M298" s="115"/>
      <c r="N298" s="114"/>
      <c r="O298" s="115"/>
      <c r="P298" s="111"/>
      <c r="Q298" s="111"/>
      <c r="R298" s="111"/>
      <c r="S298" s="111"/>
      <c r="T298" s="111"/>
      <c r="U298" s="114"/>
      <c r="V298" s="74"/>
      <c r="W298" s="74"/>
      <c r="X298" s="74"/>
      <c r="Y298" s="74"/>
      <c r="Z298" s="74"/>
      <c r="AA298" s="74"/>
      <c r="AB298" s="74"/>
      <c r="AC298" s="74"/>
      <c r="AD298" s="74"/>
    </row>
    <row r="299">
      <c r="A299" s="116"/>
      <c r="B299" s="111"/>
      <c r="C299" s="117"/>
      <c r="D299" s="111"/>
      <c r="E299" s="111"/>
      <c r="F299" s="111"/>
      <c r="G299" s="111"/>
      <c r="H299" s="111"/>
      <c r="I299" s="116"/>
      <c r="J299" s="113"/>
      <c r="K299" s="111"/>
      <c r="L299" s="114"/>
      <c r="M299" s="115"/>
      <c r="N299" s="114"/>
      <c r="O299" s="115"/>
      <c r="P299" s="111"/>
      <c r="Q299" s="111"/>
      <c r="R299" s="111"/>
      <c r="S299" s="111"/>
      <c r="T299" s="111"/>
      <c r="U299" s="114"/>
      <c r="V299" s="74"/>
      <c r="W299" s="74"/>
      <c r="X299" s="74"/>
      <c r="Y299" s="74"/>
      <c r="Z299" s="74"/>
      <c r="AA299" s="74"/>
      <c r="AB299" s="74"/>
      <c r="AC299" s="74"/>
      <c r="AD299" s="74"/>
    </row>
    <row r="300">
      <c r="A300" s="116"/>
      <c r="B300" s="111"/>
      <c r="C300" s="117"/>
      <c r="D300" s="111"/>
      <c r="E300" s="111"/>
      <c r="F300" s="111"/>
      <c r="G300" s="111"/>
      <c r="H300" s="111"/>
      <c r="I300" s="116"/>
      <c r="J300" s="113"/>
      <c r="K300" s="111"/>
      <c r="L300" s="114"/>
      <c r="M300" s="115"/>
      <c r="N300" s="114"/>
      <c r="O300" s="115"/>
      <c r="P300" s="111"/>
      <c r="Q300" s="111"/>
      <c r="R300" s="111"/>
      <c r="S300" s="111"/>
      <c r="T300" s="111"/>
      <c r="U300" s="114"/>
      <c r="V300" s="74"/>
      <c r="W300" s="74"/>
      <c r="X300" s="74"/>
      <c r="Y300" s="74"/>
      <c r="Z300" s="74"/>
      <c r="AA300" s="74"/>
      <c r="AB300" s="74"/>
      <c r="AC300" s="74"/>
      <c r="AD300" s="74"/>
    </row>
    <row r="301">
      <c r="A301" s="116"/>
      <c r="B301" s="111"/>
      <c r="C301" s="117"/>
      <c r="D301" s="111"/>
      <c r="E301" s="111"/>
      <c r="F301" s="111"/>
      <c r="G301" s="111"/>
      <c r="H301" s="111"/>
      <c r="I301" s="116"/>
      <c r="J301" s="113"/>
      <c r="K301" s="111"/>
      <c r="L301" s="114"/>
      <c r="M301" s="115"/>
      <c r="N301" s="114"/>
      <c r="O301" s="115"/>
      <c r="P301" s="111"/>
      <c r="Q301" s="111"/>
      <c r="R301" s="111"/>
      <c r="S301" s="111"/>
      <c r="T301" s="111"/>
      <c r="U301" s="114"/>
      <c r="V301" s="74"/>
      <c r="W301" s="74"/>
      <c r="X301" s="74"/>
      <c r="Y301" s="74"/>
      <c r="Z301" s="74"/>
      <c r="AA301" s="74"/>
      <c r="AB301" s="74"/>
      <c r="AC301" s="74"/>
      <c r="AD301" s="74"/>
    </row>
    <row r="302">
      <c r="A302" s="116"/>
      <c r="B302" s="111"/>
      <c r="C302" s="117"/>
      <c r="D302" s="111"/>
      <c r="E302" s="111"/>
      <c r="F302" s="111"/>
      <c r="G302" s="111"/>
      <c r="H302" s="111"/>
      <c r="I302" s="116"/>
      <c r="J302" s="113"/>
      <c r="K302" s="111"/>
      <c r="L302" s="114"/>
      <c r="M302" s="115"/>
      <c r="N302" s="114"/>
      <c r="O302" s="115"/>
      <c r="P302" s="111"/>
      <c r="Q302" s="111"/>
      <c r="R302" s="111"/>
      <c r="S302" s="111"/>
      <c r="T302" s="111"/>
      <c r="U302" s="114"/>
      <c r="V302" s="74"/>
      <c r="W302" s="74"/>
      <c r="X302" s="74"/>
      <c r="Y302" s="74"/>
      <c r="Z302" s="74"/>
      <c r="AA302" s="74"/>
      <c r="AB302" s="74"/>
      <c r="AC302" s="74"/>
      <c r="AD302" s="74"/>
    </row>
    <row r="303">
      <c r="A303" s="116"/>
      <c r="B303" s="111"/>
      <c r="C303" s="117"/>
      <c r="D303" s="111"/>
      <c r="E303" s="111"/>
      <c r="F303" s="111"/>
      <c r="G303" s="111"/>
      <c r="H303" s="111"/>
      <c r="I303" s="116"/>
      <c r="J303" s="113"/>
      <c r="K303" s="111"/>
      <c r="L303" s="114"/>
      <c r="M303" s="115"/>
      <c r="N303" s="114"/>
      <c r="O303" s="115"/>
      <c r="P303" s="111"/>
      <c r="Q303" s="111"/>
      <c r="R303" s="111"/>
      <c r="S303" s="111"/>
      <c r="T303" s="111"/>
      <c r="U303" s="114"/>
      <c r="V303" s="74"/>
      <c r="W303" s="74"/>
      <c r="X303" s="74"/>
      <c r="Y303" s="74"/>
      <c r="Z303" s="74"/>
      <c r="AA303" s="74"/>
      <c r="AB303" s="74"/>
      <c r="AC303" s="74"/>
      <c r="AD303" s="74"/>
    </row>
    <row r="304">
      <c r="A304" s="116"/>
      <c r="B304" s="111"/>
      <c r="C304" s="117"/>
      <c r="D304" s="111"/>
      <c r="E304" s="111"/>
      <c r="F304" s="111"/>
      <c r="G304" s="111"/>
      <c r="H304" s="111"/>
      <c r="I304" s="116"/>
      <c r="J304" s="113"/>
      <c r="K304" s="111"/>
      <c r="L304" s="114"/>
      <c r="M304" s="115"/>
      <c r="N304" s="114"/>
      <c r="O304" s="115"/>
      <c r="P304" s="111"/>
      <c r="Q304" s="111"/>
      <c r="R304" s="111"/>
      <c r="S304" s="111"/>
      <c r="T304" s="111"/>
      <c r="U304" s="114"/>
      <c r="V304" s="74"/>
      <c r="W304" s="74"/>
      <c r="X304" s="74"/>
      <c r="Y304" s="74"/>
      <c r="Z304" s="74"/>
      <c r="AA304" s="74"/>
      <c r="AB304" s="74"/>
      <c r="AC304" s="74"/>
      <c r="AD304" s="74"/>
    </row>
    <row r="305">
      <c r="A305" s="116"/>
      <c r="B305" s="111"/>
      <c r="C305" s="117"/>
      <c r="D305" s="111"/>
      <c r="E305" s="111"/>
      <c r="F305" s="111"/>
      <c r="G305" s="111"/>
      <c r="H305" s="111"/>
      <c r="I305" s="116"/>
      <c r="J305" s="113"/>
      <c r="K305" s="111"/>
      <c r="L305" s="114"/>
      <c r="M305" s="115"/>
      <c r="N305" s="114"/>
      <c r="O305" s="115"/>
      <c r="P305" s="111"/>
      <c r="Q305" s="111"/>
      <c r="R305" s="111"/>
      <c r="S305" s="111"/>
      <c r="T305" s="111"/>
      <c r="U305" s="114"/>
      <c r="V305" s="74"/>
      <c r="W305" s="74"/>
      <c r="X305" s="74"/>
      <c r="Y305" s="74"/>
      <c r="Z305" s="74"/>
      <c r="AA305" s="74"/>
      <c r="AB305" s="74"/>
      <c r="AC305" s="74"/>
      <c r="AD305" s="74"/>
    </row>
    <row r="306">
      <c r="A306" s="116"/>
      <c r="B306" s="111"/>
      <c r="C306" s="117"/>
      <c r="D306" s="111"/>
      <c r="E306" s="111"/>
      <c r="F306" s="111"/>
      <c r="G306" s="111"/>
      <c r="H306" s="111"/>
      <c r="I306" s="116"/>
      <c r="J306" s="113"/>
      <c r="K306" s="111"/>
      <c r="L306" s="114"/>
      <c r="M306" s="115"/>
      <c r="N306" s="114"/>
      <c r="O306" s="115"/>
      <c r="P306" s="111"/>
      <c r="Q306" s="111"/>
      <c r="R306" s="111"/>
      <c r="S306" s="111"/>
      <c r="T306" s="111"/>
      <c r="U306" s="114"/>
      <c r="V306" s="74"/>
      <c r="W306" s="74"/>
      <c r="X306" s="74"/>
      <c r="Y306" s="74"/>
      <c r="Z306" s="74"/>
      <c r="AA306" s="74"/>
      <c r="AB306" s="74"/>
      <c r="AC306" s="74"/>
      <c r="AD306" s="74"/>
    </row>
    <row r="307">
      <c r="A307" s="116"/>
      <c r="B307" s="111"/>
      <c r="C307" s="117"/>
      <c r="D307" s="111"/>
      <c r="E307" s="111"/>
      <c r="F307" s="111"/>
      <c r="G307" s="111"/>
      <c r="H307" s="111"/>
      <c r="I307" s="116"/>
      <c r="J307" s="113"/>
      <c r="K307" s="111"/>
      <c r="L307" s="114"/>
      <c r="M307" s="115"/>
      <c r="N307" s="114"/>
      <c r="O307" s="115"/>
      <c r="P307" s="111"/>
      <c r="Q307" s="111"/>
      <c r="R307" s="111"/>
      <c r="S307" s="111"/>
      <c r="T307" s="111"/>
      <c r="U307" s="114"/>
      <c r="V307" s="74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126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B12:C12">
    <cfRule type="expression" dxfId="0" priority="1">
      <formula>$U12="รอปรุกระดาษก่อนพิมพ์"</formula>
    </cfRule>
  </conditionalFormatting>
  <conditionalFormatting sqref="A21:V21">
    <cfRule type="expression" dxfId="0" priority="2">
      <formula>$U21="รอส่งไฟล์"</formula>
    </cfRule>
  </conditionalFormatting>
  <conditionalFormatting sqref="V11:V307">
    <cfRule type="expression" dxfId="1" priority="3">
      <formula>$O11=True</formula>
    </cfRule>
  </conditionalFormatting>
  <conditionalFormatting sqref="A11:V307">
    <cfRule type="expression" dxfId="2" priority="4">
      <formula>$N11=True</formula>
    </cfRule>
  </conditionalFormatting>
  <conditionalFormatting sqref="A11:V307">
    <cfRule type="expression" dxfId="3" priority="5">
      <formula>$U11="เปลี่ยนไป Offset"</formula>
    </cfRule>
  </conditionalFormatting>
  <conditionalFormatting sqref="A11:V307">
    <cfRule type="expression" dxfId="3" priority="6">
      <formula>$U11="Cancelled"</formula>
    </cfRule>
  </conditionalFormatting>
  <conditionalFormatting sqref="A11:V307">
    <cfRule type="expression" dxfId="0" priority="7">
      <formula>$U11="รอกระดาษ"</formula>
    </cfRule>
  </conditionalFormatting>
  <conditionalFormatting sqref="A11:V307">
    <cfRule type="expression" dxfId="0" priority="8">
      <formula>$U11="รอแก้ไฟล์"</formula>
    </cfRule>
  </conditionalFormatting>
  <conditionalFormatting sqref="A11:V307">
    <cfRule type="expression" dxfId="0" priority="9">
      <formula>$U11="รอ maintenance"</formula>
    </cfRule>
  </conditionalFormatting>
  <conditionalFormatting sqref="A11:V307">
    <cfRule type="expression" dxfId="0" priority="10">
      <formula>$U11="รอปรุกระดาษก่อนพิมพ์"</formula>
    </cfRule>
  </conditionalFormatting>
  <conditionalFormatting sqref="A11:V307">
    <cfRule type="expression" dxfId="0" priority="11">
      <formula>$U11="รอคอนเฟิร์ม"</formula>
    </cfRule>
  </conditionalFormatting>
  <conditionalFormatting sqref="A11:V307">
    <cfRule type="expression" dxfId="0" priority="12">
      <formula>$U11="รอดูสี"</formula>
    </cfRule>
  </conditionalFormatting>
  <conditionalFormatting sqref="A11:V307">
    <cfRule type="expression" dxfId="0" priority="13">
      <formula>$U11="กระดาษชื้น"</formula>
    </cfRule>
  </conditionalFormatting>
  <conditionalFormatting sqref="A11:V307">
    <cfRule type="expression" dxfId="4" priority="14">
      <formula>$L11=True</formula>
    </cfRule>
  </conditionalFormatting>
  <conditionalFormatting sqref="A11:V307">
    <cfRule type="expression" dxfId="6" priority="15">
      <formula>$F11="ตามคิว"</formula>
    </cfRule>
  </conditionalFormatting>
  <conditionalFormatting sqref="A11:V307">
    <cfRule type="expression" dxfId="7" priority="16">
      <formula>$F11="Same Day"</formula>
    </cfRule>
  </conditionalFormatting>
  <conditionalFormatting sqref="A11:V307">
    <cfRule type="expression" dxfId="6" priority="17">
      <formula>$F11="ตัวอย่าง Mockup"</formula>
    </cfRule>
  </conditionalFormatting>
  <conditionalFormatting sqref="D17:F17">
    <cfRule type="notContainsBlanks" dxfId="8" priority="18">
      <formula>LEN(TRIM(D17))&gt;0</formula>
    </cfRule>
  </conditionalFormatting>
  <conditionalFormatting sqref="A11:V307">
    <cfRule type="expression" dxfId="5" priority="19">
      <formula>$F11="VIP"</formula>
    </cfRule>
  </conditionalFormatting>
  <conditionalFormatting sqref="D17:F17">
    <cfRule type="notContainsBlanks" dxfId="8" priority="20">
      <formula>LEN(TRIM(D17))&gt;0</formula>
    </cfRule>
  </conditionalFormatting>
  <conditionalFormatting sqref="U400:W400">
    <cfRule type="expression" dxfId="9" priority="21">
      <formula>"D11"</formula>
    </cfRule>
  </conditionalFormatting>
  <conditionalFormatting sqref="A1:B1">
    <cfRule type="notContainsBlanks" dxfId="8" priority="22">
      <formula>LEN(TRIM(A1))&gt;0</formula>
    </cfRule>
  </conditionalFormatting>
  <conditionalFormatting sqref="A11:V307">
    <cfRule type="expression" dxfId="10" priority="23">
      <formula>$F11="งานซ่อม"</formula>
    </cfRule>
  </conditionalFormatting>
  <conditionalFormatting sqref="A11:V307">
    <cfRule type="expression" dxfId="10" priority="24">
      <formula>$F11="ซ่อมไม่มีใบสั่ง"</formula>
    </cfRule>
  </conditionalFormatting>
  <dataValidations>
    <dataValidation type="list" allowBlank="1" showErrorMessage="1" sqref="Q11:Q154">
      <formula1>"C4070,C12000"</formula1>
    </dataValidation>
    <dataValidation type="list" allowBlank="1" showErrorMessage="1" sqref="D11:E154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154 P11:P154">
      <formula1>"Fluke,Sunney"</formula1>
    </dataValidation>
    <dataValidation type="list" allowBlank="1" showErrorMessage="1" sqref="V11:V154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154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154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46093.0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COUNTIFS(K11:K1001,C1)</f>
        <v>167</v>
      </c>
      <c r="D2" s="13" t="s">
        <v>8</v>
      </c>
      <c r="E2" s="14">
        <f>COUNTIFS(F11:F1001,"ตามคิว")</f>
        <v>129</v>
      </c>
      <c r="F2" s="15" t="s">
        <v>9</v>
      </c>
      <c r="G2" s="16" t="s">
        <v>10</v>
      </c>
      <c r="I2" s="17"/>
      <c r="J2" s="18" t="s">
        <v>8</v>
      </c>
      <c r="K2" s="19">
        <f>COUNTIFS(N11:N1001,True,F11:F1001,"ตามคิว",A11:A1001,N1)</f>
        <v>5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COUNTIFS(D11:E1001,"อาร์ตมัน 105g (โกดัง)")</f>
        <v>2</v>
      </c>
      <c r="Y2" s="25" t="s">
        <v>9</v>
      </c>
      <c r="Z2" s="25" t="s">
        <v>14</v>
      </c>
      <c r="AA2" s="25">
        <f>COUNTIFS(D11:E1001,"ปอนด์ 70g (โกดัง)")</f>
        <v>1</v>
      </c>
      <c r="AB2" s="25" t="s">
        <v>9</v>
      </c>
      <c r="AC2" s="25" t="s">
        <v>15</v>
      </c>
      <c r="AD2" s="25">
        <f>COUNTIFS(D11:E1001,"อาร์ตการ์ด 1/S 210g (โกดัง)")</f>
        <v>0</v>
      </c>
      <c r="AE2" s="25" t="s">
        <v>9</v>
      </c>
      <c r="AF2" s="26" t="s">
        <v>16</v>
      </c>
      <c r="AG2" s="26">
        <f>COUNTIFS(D11:E1001,"อาร์ตการ์ด 2/S 300g (ODM)")</f>
        <v>10</v>
      </c>
      <c r="AH2" s="26" t="s">
        <v>9</v>
      </c>
    </row>
    <row r="3" ht="29.25" customHeight="1">
      <c r="A3" s="11" t="s">
        <v>17</v>
      </c>
      <c r="B3" s="5"/>
      <c r="C3" s="12">
        <f>COUNTIFS(P11:P1001,C1,N11:N1001,true)</f>
        <v>171</v>
      </c>
      <c r="D3" s="13" t="s">
        <v>18</v>
      </c>
      <c r="E3" s="14">
        <f>COUNTIFS(F11:F1001,"Same Day")</f>
        <v>33</v>
      </c>
      <c r="F3" s="15" t="s">
        <v>9</v>
      </c>
      <c r="G3" s="27" t="s">
        <v>19</v>
      </c>
      <c r="H3" s="28">
        <f>COUNTIFS(U11:U1001,"Dicut Jwei")</f>
        <v>2</v>
      </c>
      <c r="I3" s="29" t="s">
        <v>9</v>
      </c>
      <c r="J3" s="18" t="s">
        <v>18</v>
      </c>
      <c r="K3" s="19">
        <f>COUNTIFS(N11:N1001,True,F11:F1001,"Same Day",A11:A1001,N1)</f>
        <v>3</v>
      </c>
      <c r="L3" s="42" t="s">
        <v>9</v>
      </c>
      <c r="M3" s="27" t="s">
        <v>19</v>
      </c>
      <c r="N3" s="28">
        <f>COUNTIFS(N11:N1001,True,U11:U1001,"Dicut Jwei",A11:A1001,N1)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COUNTIFS(D11:E1001,"อาร์ตมัน 130g (โกดัง)")</f>
        <v>89</v>
      </c>
      <c r="Y3" s="25" t="s">
        <v>9</v>
      </c>
      <c r="Z3" s="25" t="s">
        <v>24</v>
      </c>
      <c r="AA3" s="25">
        <f>COUNTIFS(D11:E1001,"ปอนด์ 80g (โกดัง)")</f>
        <v>0</v>
      </c>
      <c r="AB3" s="25" t="s">
        <v>9</v>
      </c>
      <c r="AC3" s="25" t="s">
        <v>25</v>
      </c>
      <c r="AD3" s="25">
        <f>COUNTIFS(D11:E1001,"อาร์ตการ์ด 1/S 230g (โกดัง)")</f>
        <v>0</v>
      </c>
      <c r="AE3" s="25" t="s">
        <v>9</v>
      </c>
      <c r="AF3" s="26" t="s">
        <v>26</v>
      </c>
      <c r="AG3" s="26">
        <f>COUNTIFS(D11:E1001,"อาร์ตการ์ด 2/S 350g (ODM)")</f>
        <v>4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COUNTIFS(F11:F1001,"VIP")</f>
        <v>15</v>
      </c>
      <c r="F4" s="15" t="s">
        <v>9</v>
      </c>
      <c r="G4" s="27" t="s">
        <v>28</v>
      </c>
      <c r="H4" s="28">
        <f>COUNTIFS(U11:U1001,"Dicut Graptech")</f>
        <v>34</v>
      </c>
      <c r="I4" s="29" t="s">
        <v>9</v>
      </c>
      <c r="J4" s="18" t="s">
        <v>27</v>
      </c>
      <c r="K4" s="19">
        <f>COUNTIFS(N11:N1001,True,F11:F1001,"VIP",A11:A1001,N1)</f>
        <v>0</v>
      </c>
      <c r="L4" s="42" t="s">
        <v>9</v>
      </c>
      <c r="M4" s="27" t="s">
        <v>28</v>
      </c>
      <c r="N4" s="28">
        <f>COUNTIFS(N11:N1001,True,U11:U1001,"Dicut Graptech",A11:A1001,N1)</f>
        <v>2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COUNTIFS(D11:E1001,"อาร์ตมัน 160g (โกดัง)")</f>
        <v>16</v>
      </c>
      <c r="Y4" s="25" t="s">
        <v>9</v>
      </c>
      <c r="Z4" s="25" t="s">
        <v>32</v>
      </c>
      <c r="AA4" s="25">
        <f>COUNTIFS(D11:E1001,"ปอนด์ 100g (โกดัง)")</f>
        <v>1</v>
      </c>
      <c r="AB4" s="25" t="s">
        <v>9</v>
      </c>
      <c r="AC4" s="25" t="s">
        <v>33</v>
      </c>
      <c r="AD4" s="25">
        <f>COUNTIFS(D11:E1001,"อาร์ตการ์ด 1/S 260g (โกดัง)")</f>
        <v>0</v>
      </c>
      <c r="AE4" s="25" t="s">
        <v>9</v>
      </c>
      <c r="AF4" s="26" t="s">
        <v>34</v>
      </c>
      <c r="AG4" s="26">
        <f>COUNTIFS(D11:E1001,"Stk PP ขาวเงา (ODM)")</f>
        <v>22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COUNTIFS(F11:F1001,"'งานซ่อม")</f>
        <v>1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COUNTIFS(N11:N1001,True,F11:F1001,"งานซ่อม",A11:A1001,N1)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COUNTIFS(D11:E1001,"อาร์ตการ์ด 2/S 190g (โกดัง)")</f>
        <v>2</v>
      </c>
      <c r="Y5" s="25" t="s">
        <v>9</v>
      </c>
      <c r="Z5" s="25" t="s">
        <v>41</v>
      </c>
      <c r="AA5" s="25">
        <f>COUNTIFS(D11:E1001,"ปอนด์ 120g (โกดัง)")</f>
        <v>3</v>
      </c>
      <c r="AB5" s="25" t="s">
        <v>9</v>
      </c>
      <c r="AC5" s="25" t="s">
        <v>42</v>
      </c>
      <c r="AD5" s="25">
        <f>COUNTIFS(D11:E1001,"อาร์ตการ์ด 1/S 300g (โกดัง)")</f>
        <v>0</v>
      </c>
      <c r="AE5" s="25" t="s">
        <v>9</v>
      </c>
      <c r="AF5" s="26" t="s">
        <v>43</v>
      </c>
      <c r="AG5" s="26">
        <f>COUNTIFS(D11:E1001,"Stk PP ขาวด้าน (ODM)")</f>
        <v>13</v>
      </c>
      <c r="AH5" s="26" t="s">
        <v>9</v>
      </c>
    </row>
    <row r="6" ht="26.25" customHeight="1">
      <c r="A6" s="11">
        <f>COUNTIFS(N11:N1001,True,B11:B1001,"*",K11:K1001,"*")</f>
        <v>178</v>
      </c>
      <c r="B6" s="2"/>
      <c r="C6" s="12" t="s">
        <v>9</v>
      </c>
      <c r="D6" s="13" t="s">
        <v>44</v>
      </c>
      <c r="E6" s="14">
        <f>COUNTIFS(F11:F1001,"ซ่อมไม่มีใบสั่ง")</f>
        <v>0</v>
      </c>
      <c r="F6" s="15" t="s">
        <v>9</v>
      </c>
      <c r="G6" s="42" t="s">
        <v>11</v>
      </c>
      <c r="H6" s="19">
        <f>COUNTIFS(Q11:Q1001,"C12000")</f>
        <v>136</v>
      </c>
      <c r="I6" s="42" t="s">
        <v>9</v>
      </c>
      <c r="J6" s="18" t="s">
        <v>44</v>
      </c>
      <c r="K6" s="19">
        <f>COUNTIFS(N11:N1001,True,F11:F1001,"ซ่อมไม่มีใบสั่ง",A11:A1001,N1)</f>
        <v>0</v>
      </c>
      <c r="L6" s="42" t="s">
        <v>9</v>
      </c>
      <c r="M6" s="43" t="s">
        <v>11</v>
      </c>
      <c r="N6" s="44">
        <f>COUNTIFS(N11:N1001,True,Q11:Q1001,"C12000",A11:A1001,N1)</f>
        <v>6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COUNTIFS(D11:E1001,"อาร์ตการ์ด 2/S 210g (โกดัง)")</f>
        <v>2</v>
      </c>
      <c r="Y6" s="25" t="s">
        <v>9</v>
      </c>
      <c r="Z6" s="25" t="s">
        <v>48</v>
      </c>
      <c r="AA6" s="25">
        <f>COUNTIFS(D11:E1001,"การ์ดขาว 150g (โกดัง)")</f>
        <v>0</v>
      </c>
      <c r="AB6" s="25" t="s">
        <v>9</v>
      </c>
      <c r="AC6" s="25" t="s">
        <v>49</v>
      </c>
      <c r="AD6" s="25">
        <f>COUNTIFS(D11:E1001,"อาร์ตการ์ด 1/S 350g (โกดัง)")</f>
        <v>3</v>
      </c>
      <c r="AE6" s="25" t="s">
        <v>9</v>
      </c>
      <c r="AF6" s="26" t="s">
        <v>50</v>
      </c>
      <c r="AG6" s="26">
        <f>COUNTIFS(D11:E1001,"Stk PP ใส (ODM)")</f>
        <v>1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COUNTIFS(F11:F1001,"ตัวอย่าง Mockup")</f>
        <v>0</v>
      </c>
      <c r="F7" s="15" t="s">
        <v>9</v>
      </c>
      <c r="G7" s="42" t="s">
        <v>38</v>
      </c>
      <c r="H7" s="19">
        <f>COUNTIFS(Q11:Q1001,"C4070")</f>
        <v>42</v>
      </c>
      <c r="I7" s="42" t="s">
        <v>9</v>
      </c>
      <c r="J7" s="18" t="s">
        <v>52</v>
      </c>
      <c r="K7" s="19">
        <f>COUNTIFS(N11:N1001,True,F11:F1001,"ตัวอย่าง Mock up",A11:A1001,N1)</f>
        <v>0</v>
      </c>
      <c r="L7" s="42" t="s">
        <v>9</v>
      </c>
      <c r="M7" s="43" t="s">
        <v>38</v>
      </c>
      <c r="N7" s="44">
        <f>COUNTIFS(N11:N1001,True,Q11:Q1001,"C4070",A11:A1001,N1)</f>
        <v>2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COUNTIFS(D11:E1001,"อาร์ตการ์ด 2/S 230g (โกดัง)")</f>
        <v>0</v>
      </c>
      <c r="Y7" s="25" t="s">
        <v>9</v>
      </c>
      <c r="Z7" s="25" t="s">
        <v>55</v>
      </c>
      <c r="AA7" s="25">
        <f>COUNTIFS(D11:E1001,"การ์ดขาว 210g (โกดัง)")</f>
        <v>0</v>
      </c>
      <c r="AB7" s="25" t="s">
        <v>9</v>
      </c>
      <c r="AC7" s="25" t="s">
        <v>56</v>
      </c>
      <c r="AD7" s="25">
        <f>COUNTIFS(D11:E1001,"อาร์ตด้าน 105g (โกดัง)")</f>
        <v>0</v>
      </c>
      <c r="AE7" s="25" t="s">
        <v>9</v>
      </c>
      <c r="AF7" s="26" t="s">
        <v>57</v>
      </c>
      <c r="AG7" s="26">
        <f>COUNTIFS(D11:E1001,"Stk กระดาษขาวเงา (ODM)")</f>
        <v>2</v>
      </c>
      <c r="AH7" s="26" t="s">
        <v>9</v>
      </c>
    </row>
    <row r="8" ht="26.25" customHeight="1">
      <c r="A8" s="50">
        <f>COUNTIFS(N11:N1001,False,B11:B1001,"*",K11:K1001,"*")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178</v>
      </c>
      <c r="I8" s="51" t="s">
        <v>59</v>
      </c>
      <c r="J8" s="2"/>
      <c r="K8" s="53">
        <f>SUM(H3+H4)</f>
        <v>36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COUNTIFS(D11:E1001,"อาร์ตการ์ด 2/S 260g (โกดัง)")</f>
        <v>6</v>
      </c>
      <c r="Y8" s="25" t="s">
        <v>9</v>
      </c>
      <c r="Z8" s="25" t="s">
        <v>61</v>
      </c>
      <c r="AA8" s="25">
        <f>COUNTIFS(D11:E1001,"การ์ดขาว 240g (โกดัง)")</f>
        <v>0</v>
      </c>
      <c r="AB8" s="25" t="s">
        <v>9</v>
      </c>
      <c r="AC8" s="25" t="s">
        <v>62</v>
      </c>
      <c r="AD8" s="25">
        <f>COUNTIFS(D11:E1001,"อาร์ตด้าน 130g (โกดัง)")</f>
        <v>1</v>
      </c>
      <c r="AE8" s="25" t="s">
        <v>9</v>
      </c>
      <c r="AF8" s="26" t="s">
        <v>63</v>
      </c>
      <c r="AG8" s="26">
        <f>COUNTIFS(D11:E1001,"Stk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COUNTIFS(D11:E1001,"การ์ดขาว 300g (โกดัง)")</f>
        <v>0</v>
      </c>
      <c r="AB9" s="25" t="s">
        <v>9</v>
      </c>
      <c r="AC9" s="25" t="s">
        <v>82</v>
      </c>
      <c r="AD9" s="25">
        <f>COUNTIFS(D11:E1001,"อาร์ตด้าน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COUNTIFS(D11:E1001,"กรีนรีด 75g (โกดัง)")</f>
        <v>0</v>
      </c>
      <c r="AB10" s="25" t="s">
        <v>9</v>
      </c>
      <c r="AF10" s="74"/>
      <c r="AG10" s="74"/>
      <c r="AH10" s="74"/>
    </row>
    <row r="11">
      <c r="A11" s="75">
        <v>46083.0</v>
      </c>
      <c r="B11" s="76" t="s">
        <v>697</v>
      </c>
      <c r="C11" s="77" t="s">
        <v>698</v>
      </c>
      <c r="D11" s="76" t="s">
        <v>23</v>
      </c>
      <c r="E11" s="76"/>
      <c r="F11" s="76" t="s">
        <v>8</v>
      </c>
      <c r="G11" s="76">
        <v>200.0</v>
      </c>
      <c r="H11" s="76">
        <v>50.0</v>
      </c>
      <c r="I11" s="75">
        <v>46085.0</v>
      </c>
      <c r="J11" s="78">
        <v>10.52</v>
      </c>
      <c r="K11" s="76" t="s">
        <v>101</v>
      </c>
      <c r="L11" s="79" t="b">
        <v>1</v>
      </c>
      <c r="M11" s="80">
        <f t="shared" ref="M11:M188" si="1">IFS(L11=FALSE,"",M11="",NOW(),TRUE,M11)</f>
        <v>46083.47294</v>
      </c>
      <c r="N11" s="81" t="b">
        <v>1</v>
      </c>
      <c r="O11" s="80">
        <f t="shared" ref="O11:O188" si="2">IFS(N11=FALSE,"",O11="",NOW(),TRUE,O11)</f>
        <v>46083.4743</v>
      </c>
      <c r="P11" s="76" t="s">
        <v>101</v>
      </c>
      <c r="Q11" s="76" t="s">
        <v>11</v>
      </c>
      <c r="R11" s="76" t="b">
        <v>0</v>
      </c>
      <c r="S11" s="82" t="b">
        <v>0</v>
      </c>
      <c r="T11" s="76">
        <v>56.0</v>
      </c>
      <c r="U11" s="79" t="s">
        <v>96</v>
      </c>
      <c r="V11" s="83"/>
      <c r="W11" s="118"/>
    </row>
    <row r="12">
      <c r="A12" s="75">
        <v>46083.0</v>
      </c>
      <c r="B12" s="76" t="s">
        <v>699</v>
      </c>
      <c r="C12" s="77" t="s">
        <v>700</v>
      </c>
      <c r="D12" s="76" t="s">
        <v>16</v>
      </c>
      <c r="E12" s="76"/>
      <c r="F12" s="76" t="s">
        <v>8</v>
      </c>
      <c r="G12" s="76">
        <v>100.0</v>
      </c>
      <c r="H12" s="76">
        <v>5.0</v>
      </c>
      <c r="I12" s="75">
        <v>46086.0</v>
      </c>
      <c r="J12" s="78">
        <v>10.52</v>
      </c>
      <c r="K12" s="76" t="s">
        <v>101</v>
      </c>
      <c r="L12" s="79" t="b">
        <v>1</v>
      </c>
      <c r="M12" s="80">
        <f t="shared" si="1"/>
        <v>46083.49456</v>
      </c>
      <c r="N12" s="81" t="b">
        <v>1</v>
      </c>
      <c r="O12" s="80">
        <f t="shared" si="2"/>
        <v>46083.49549</v>
      </c>
      <c r="P12" s="76" t="s">
        <v>101</v>
      </c>
      <c r="Q12" s="76" t="s">
        <v>11</v>
      </c>
      <c r="R12" s="76" t="b">
        <v>0</v>
      </c>
      <c r="S12" s="82" t="b">
        <v>0</v>
      </c>
      <c r="T12" s="76">
        <v>12.0</v>
      </c>
      <c r="U12" s="79" t="s">
        <v>96</v>
      </c>
      <c r="V12" s="83"/>
      <c r="W12" s="74"/>
    </row>
    <row r="13">
      <c r="A13" s="75">
        <v>46083.0</v>
      </c>
      <c r="B13" s="76" t="s">
        <v>701</v>
      </c>
      <c r="C13" s="77" t="s">
        <v>700</v>
      </c>
      <c r="D13" s="76" t="s">
        <v>16</v>
      </c>
      <c r="E13" s="76"/>
      <c r="F13" s="76" t="s">
        <v>8</v>
      </c>
      <c r="G13" s="76">
        <v>900.0</v>
      </c>
      <c r="H13" s="76">
        <v>45.0</v>
      </c>
      <c r="I13" s="75">
        <v>46086.0</v>
      </c>
      <c r="J13" s="78">
        <v>10.52</v>
      </c>
      <c r="K13" s="76" t="s">
        <v>101</v>
      </c>
      <c r="L13" s="79" t="b">
        <v>1</v>
      </c>
      <c r="M13" s="80">
        <f t="shared" si="1"/>
        <v>46083.55017</v>
      </c>
      <c r="N13" s="81" t="b">
        <v>1</v>
      </c>
      <c r="O13" s="80">
        <f t="shared" si="2"/>
        <v>46083.55515</v>
      </c>
      <c r="P13" s="76" t="s">
        <v>101</v>
      </c>
      <c r="Q13" s="76" t="s">
        <v>11</v>
      </c>
      <c r="R13" s="76" t="b">
        <v>0</v>
      </c>
      <c r="S13" s="82" t="b">
        <v>0</v>
      </c>
      <c r="T13" s="76">
        <v>108.0</v>
      </c>
      <c r="U13" s="79" t="s">
        <v>96</v>
      </c>
      <c r="V13" s="83"/>
      <c r="W13" s="74"/>
    </row>
    <row r="14">
      <c r="A14" s="75">
        <v>46083.0</v>
      </c>
      <c r="B14" s="76" t="s">
        <v>702</v>
      </c>
      <c r="C14" s="77" t="s">
        <v>703</v>
      </c>
      <c r="D14" s="76" t="s">
        <v>49</v>
      </c>
      <c r="E14" s="76"/>
      <c r="F14" s="76" t="s">
        <v>8</v>
      </c>
      <c r="G14" s="76">
        <v>100.0</v>
      </c>
      <c r="H14" s="76">
        <v>100.0</v>
      </c>
      <c r="I14" s="75">
        <v>46093.0</v>
      </c>
      <c r="J14" s="78">
        <v>17.05</v>
      </c>
      <c r="K14" s="76" t="s">
        <v>1</v>
      </c>
      <c r="L14" s="79" t="b">
        <v>1</v>
      </c>
      <c r="M14" s="80">
        <f t="shared" si="1"/>
        <v>46084.54979</v>
      </c>
      <c r="N14" s="81" t="b">
        <v>1</v>
      </c>
      <c r="O14" s="80">
        <f t="shared" si="2"/>
        <v>46084.55658</v>
      </c>
      <c r="P14" s="76" t="s">
        <v>101</v>
      </c>
      <c r="Q14" s="76" t="s">
        <v>11</v>
      </c>
      <c r="R14" s="76" t="b">
        <v>0</v>
      </c>
      <c r="S14" s="82" t="b">
        <v>0</v>
      </c>
      <c r="T14" s="76">
        <v>110.0</v>
      </c>
      <c r="U14" s="79" t="s">
        <v>19</v>
      </c>
      <c r="V14" s="83" t="s">
        <v>588</v>
      </c>
      <c r="W14" s="74"/>
    </row>
    <row r="15">
      <c r="A15" s="75">
        <v>46083.0</v>
      </c>
      <c r="B15" s="76" t="s">
        <v>704</v>
      </c>
      <c r="C15" s="77" t="s">
        <v>705</v>
      </c>
      <c r="D15" s="76" t="s">
        <v>23</v>
      </c>
      <c r="E15" s="76"/>
      <c r="F15" s="76" t="s">
        <v>18</v>
      </c>
      <c r="G15" s="76">
        <v>3000.0</v>
      </c>
      <c r="H15" s="76">
        <v>750.0</v>
      </c>
      <c r="I15" s="75">
        <v>46084.0</v>
      </c>
      <c r="J15" s="78">
        <v>17.1</v>
      </c>
      <c r="K15" s="76" t="s">
        <v>101</v>
      </c>
      <c r="L15" s="79" t="b">
        <v>1</v>
      </c>
      <c r="M15" s="80">
        <f t="shared" si="1"/>
        <v>46084.38438</v>
      </c>
      <c r="N15" s="81" t="b">
        <v>1</v>
      </c>
      <c r="O15" s="80">
        <f t="shared" si="2"/>
        <v>46084.40429</v>
      </c>
      <c r="P15" s="76" t="s">
        <v>101</v>
      </c>
      <c r="Q15" s="76" t="s">
        <v>11</v>
      </c>
      <c r="R15" s="76" t="b">
        <v>0</v>
      </c>
      <c r="S15" s="82" t="b">
        <v>0</v>
      </c>
      <c r="T15" s="76">
        <v>756.0</v>
      </c>
      <c r="U15" s="79" t="s">
        <v>96</v>
      </c>
      <c r="V15" s="83"/>
      <c r="W15" s="118"/>
    </row>
    <row r="16">
      <c r="A16" s="75">
        <v>46084.0</v>
      </c>
      <c r="B16" s="76" t="s">
        <v>706</v>
      </c>
      <c r="C16" s="77" t="s">
        <v>707</v>
      </c>
      <c r="D16" s="76" t="s">
        <v>23</v>
      </c>
      <c r="E16" s="76"/>
      <c r="F16" s="76" t="s">
        <v>8</v>
      </c>
      <c r="G16" s="76">
        <v>100.0</v>
      </c>
      <c r="H16" s="76">
        <v>100.0</v>
      </c>
      <c r="I16" s="75">
        <v>46088.0</v>
      </c>
      <c r="J16" s="78">
        <v>9.53</v>
      </c>
      <c r="K16" s="76" t="s">
        <v>101</v>
      </c>
      <c r="L16" s="79" t="b">
        <v>1</v>
      </c>
      <c r="M16" s="80">
        <f t="shared" si="1"/>
        <v>46084.49585</v>
      </c>
      <c r="N16" s="81" t="b">
        <v>1</v>
      </c>
      <c r="O16" s="80">
        <f t="shared" si="2"/>
        <v>46084.49744</v>
      </c>
      <c r="P16" s="76" t="s">
        <v>101</v>
      </c>
      <c r="Q16" s="76" t="s">
        <v>11</v>
      </c>
      <c r="R16" s="76" t="b">
        <v>0</v>
      </c>
      <c r="S16" s="82" t="b">
        <v>0</v>
      </c>
      <c r="T16" s="76">
        <v>108.0</v>
      </c>
      <c r="U16" s="79" t="s">
        <v>96</v>
      </c>
      <c r="V16" s="83"/>
      <c r="W16" s="118"/>
    </row>
    <row r="17">
      <c r="A17" s="75">
        <v>46084.0</v>
      </c>
      <c r="B17" s="76" t="s">
        <v>708</v>
      </c>
      <c r="C17" s="77" t="s">
        <v>709</v>
      </c>
      <c r="D17" s="76" t="s">
        <v>23</v>
      </c>
      <c r="E17" s="76"/>
      <c r="F17" s="76" t="s">
        <v>18</v>
      </c>
      <c r="G17" s="76">
        <v>300.0</v>
      </c>
      <c r="H17" s="76">
        <v>150.0</v>
      </c>
      <c r="I17" s="75">
        <v>46085.0</v>
      </c>
      <c r="J17" s="78">
        <v>13.17</v>
      </c>
      <c r="K17" s="76" t="s">
        <v>101</v>
      </c>
      <c r="L17" s="79" t="b">
        <v>1</v>
      </c>
      <c r="M17" s="80">
        <f t="shared" si="1"/>
        <v>46084.57683</v>
      </c>
      <c r="N17" s="81" t="b">
        <v>1</v>
      </c>
      <c r="O17" s="80">
        <f t="shared" si="2"/>
        <v>46084.58046</v>
      </c>
      <c r="P17" s="76" t="s">
        <v>101</v>
      </c>
      <c r="Q17" s="76" t="s">
        <v>11</v>
      </c>
      <c r="R17" s="76" t="b">
        <v>0</v>
      </c>
      <c r="S17" s="82" t="b">
        <v>0</v>
      </c>
      <c r="T17" s="76">
        <v>156.0</v>
      </c>
      <c r="U17" s="79" t="s">
        <v>96</v>
      </c>
      <c r="V17" s="83"/>
      <c r="W17" s="74"/>
    </row>
    <row r="18">
      <c r="A18" s="75">
        <v>46084.0</v>
      </c>
      <c r="B18" s="76" t="s">
        <v>710</v>
      </c>
      <c r="C18" s="77" t="s">
        <v>711</v>
      </c>
      <c r="D18" s="76" t="s">
        <v>23</v>
      </c>
      <c r="E18" s="76"/>
      <c r="F18" s="76" t="s">
        <v>8</v>
      </c>
      <c r="G18" s="76">
        <v>250.0</v>
      </c>
      <c r="H18" s="76">
        <v>32.0</v>
      </c>
      <c r="I18" s="75">
        <v>46088.0</v>
      </c>
      <c r="J18" s="78">
        <v>14.35</v>
      </c>
      <c r="K18" s="76" t="s">
        <v>101</v>
      </c>
      <c r="L18" s="79" t="b">
        <v>1</v>
      </c>
      <c r="M18" s="80">
        <f t="shared" si="1"/>
        <v>46084.61677</v>
      </c>
      <c r="N18" s="81" t="b">
        <v>1</v>
      </c>
      <c r="O18" s="80">
        <f t="shared" si="2"/>
        <v>46084.61994</v>
      </c>
      <c r="P18" s="76" t="s">
        <v>101</v>
      </c>
      <c r="Q18" s="76" t="s">
        <v>11</v>
      </c>
      <c r="R18" s="76" t="b">
        <v>0</v>
      </c>
      <c r="S18" s="82" t="b">
        <v>0</v>
      </c>
      <c r="T18" s="76">
        <v>40.0</v>
      </c>
      <c r="U18" s="79" t="s">
        <v>96</v>
      </c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>
        <v>46084.0</v>
      </c>
      <c r="B19" s="76" t="s">
        <v>712</v>
      </c>
      <c r="C19" s="77" t="s">
        <v>713</v>
      </c>
      <c r="D19" s="76" t="s">
        <v>23</v>
      </c>
      <c r="E19" s="76"/>
      <c r="F19" s="76" t="s">
        <v>8</v>
      </c>
      <c r="G19" s="76">
        <v>100.0</v>
      </c>
      <c r="H19" s="76">
        <v>50.0</v>
      </c>
      <c r="I19" s="75">
        <v>46088.0</v>
      </c>
      <c r="J19" s="78">
        <v>16.47</v>
      </c>
      <c r="K19" s="76" t="s">
        <v>101</v>
      </c>
      <c r="L19" s="79" t="b">
        <v>1</v>
      </c>
      <c r="M19" s="80">
        <f t="shared" si="1"/>
        <v>46085.54105</v>
      </c>
      <c r="N19" s="81" t="b">
        <v>1</v>
      </c>
      <c r="O19" s="80">
        <f t="shared" si="2"/>
        <v>46085.54411</v>
      </c>
      <c r="P19" s="76" t="s">
        <v>101</v>
      </c>
      <c r="Q19" s="76" t="s">
        <v>11</v>
      </c>
      <c r="R19" s="76" t="b">
        <v>0</v>
      </c>
      <c r="S19" s="82" t="b">
        <v>0</v>
      </c>
      <c r="T19" s="76">
        <v>60.0</v>
      </c>
      <c r="U19" s="79" t="s">
        <v>96</v>
      </c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>
        <v>46084.0</v>
      </c>
      <c r="B20" s="76" t="s">
        <v>714</v>
      </c>
      <c r="C20" s="77" t="s">
        <v>715</v>
      </c>
      <c r="D20" s="76" t="s">
        <v>23</v>
      </c>
      <c r="E20" s="76"/>
      <c r="F20" s="76" t="s">
        <v>8</v>
      </c>
      <c r="G20" s="76">
        <v>5000.0</v>
      </c>
      <c r="H20" s="76">
        <v>1.0</v>
      </c>
      <c r="I20" s="75">
        <v>46099.0</v>
      </c>
      <c r="J20" s="78">
        <v>16.47</v>
      </c>
      <c r="K20" s="76" t="s">
        <v>101</v>
      </c>
      <c r="L20" s="79" t="b">
        <v>1</v>
      </c>
      <c r="M20" s="80">
        <f t="shared" si="1"/>
        <v>46095.42484</v>
      </c>
      <c r="N20" s="81" t="b">
        <v>1</v>
      </c>
      <c r="O20" s="80">
        <f t="shared" si="2"/>
        <v>46095.70263</v>
      </c>
      <c r="P20" s="76" t="s">
        <v>101</v>
      </c>
      <c r="Q20" s="76" t="s">
        <v>11</v>
      </c>
      <c r="R20" s="76" t="b">
        <v>0</v>
      </c>
      <c r="S20" s="82" t="b">
        <v>0</v>
      </c>
      <c r="T20" s="76">
        <v>1.0</v>
      </c>
      <c r="U20" s="79" t="s">
        <v>96</v>
      </c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>
        <v>46085.0</v>
      </c>
      <c r="B21" s="76" t="s">
        <v>716</v>
      </c>
      <c r="C21" s="77" t="s">
        <v>717</v>
      </c>
      <c r="D21" s="76" t="s">
        <v>60</v>
      </c>
      <c r="E21" s="76"/>
      <c r="F21" s="76" t="s">
        <v>18</v>
      </c>
      <c r="G21" s="76">
        <v>100.0</v>
      </c>
      <c r="H21" s="76">
        <v>3.0</v>
      </c>
      <c r="I21" s="75">
        <v>46085.0</v>
      </c>
      <c r="J21" s="78">
        <v>8.54</v>
      </c>
      <c r="K21" s="76" t="s">
        <v>101</v>
      </c>
      <c r="L21" s="79" t="b">
        <v>1</v>
      </c>
      <c r="M21" s="80">
        <f t="shared" si="1"/>
        <v>46085.40277</v>
      </c>
      <c r="N21" s="81" t="b">
        <v>1</v>
      </c>
      <c r="O21" s="80">
        <f t="shared" si="2"/>
        <v>46085.40383</v>
      </c>
      <c r="P21" s="76" t="s">
        <v>101</v>
      </c>
      <c r="Q21" s="76" t="s">
        <v>11</v>
      </c>
      <c r="R21" s="76" t="b">
        <v>0</v>
      </c>
      <c r="S21" s="82" t="b">
        <v>0</v>
      </c>
      <c r="T21" s="76">
        <v>5.0</v>
      </c>
      <c r="U21" s="79" t="s">
        <v>96</v>
      </c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>
        <v>46085.0</v>
      </c>
      <c r="B22" s="76" t="s">
        <v>718</v>
      </c>
      <c r="C22" s="77" t="s">
        <v>719</v>
      </c>
      <c r="D22" s="76" t="s">
        <v>23</v>
      </c>
      <c r="E22" s="76"/>
      <c r="F22" s="76" t="s">
        <v>8</v>
      </c>
      <c r="G22" s="76">
        <v>500.0</v>
      </c>
      <c r="H22" s="76">
        <v>500.0</v>
      </c>
      <c r="I22" s="75">
        <v>46088.0</v>
      </c>
      <c r="J22" s="78">
        <v>9.41</v>
      </c>
      <c r="K22" s="76" t="s">
        <v>101</v>
      </c>
      <c r="L22" s="79" t="b">
        <v>1</v>
      </c>
      <c r="M22" s="80">
        <f t="shared" si="1"/>
        <v>46085.55006</v>
      </c>
      <c r="N22" s="81" t="b">
        <v>1</v>
      </c>
      <c r="O22" s="80">
        <f t="shared" si="2"/>
        <v>46085.56535</v>
      </c>
      <c r="P22" s="76" t="s">
        <v>101</v>
      </c>
      <c r="Q22" s="76" t="s">
        <v>11</v>
      </c>
      <c r="R22" s="76" t="b">
        <v>0</v>
      </c>
      <c r="S22" s="82" t="b">
        <v>0</v>
      </c>
      <c r="T22" s="76">
        <v>508.0</v>
      </c>
      <c r="U22" s="79" t="s">
        <v>96</v>
      </c>
      <c r="V22" s="83"/>
      <c r="W22" s="74"/>
      <c r="X22" s="74"/>
      <c r="AB22" s="74"/>
      <c r="AC22" s="74"/>
      <c r="AD22" s="74"/>
    </row>
    <row r="23">
      <c r="A23" s="75">
        <v>46085.0</v>
      </c>
      <c r="B23" s="76" t="s">
        <v>720</v>
      </c>
      <c r="C23" s="77" t="s">
        <v>721</v>
      </c>
      <c r="D23" s="76" t="s">
        <v>23</v>
      </c>
      <c r="E23" s="76"/>
      <c r="F23" s="76" t="s">
        <v>416</v>
      </c>
      <c r="G23" s="76">
        <v>300.0</v>
      </c>
      <c r="H23" s="76">
        <v>300.0</v>
      </c>
      <c r="I23" s="75">
        <v>46088.0</v>
      </c>
      <c r="J23" s="78">
        <v>10.48</v>
      </c>
      <c r="K23" s="76" t="s">
        <v>101</v>
      </c>
      <c r="L23" s="79" t="b">
        <v>1</v>
      </c>
      <c r="M23" s="80">
        <f t="shared" si="1"/>
        <v>46086.70195</v>
      </c>
      <c r="N23" s="81" t="b">
        <v>1</v>
      </c>
      <c r="O23" s="80">
        <f t="shared" si="2"/>
        <v>46086.70195</v>
      </c>
      <c r="P23" s="76" t="s">
        <v>101</v>
      </c>
      <c r="Q23" s="76" t="s">
        <v>11</v>
      </c>
      <c r="R23" s="76" t="b">
        <v>0</v>
      </c>
      <c r="S23" s="82" t="b">
        <v>0</v>
      </c>
      <c r="T23" s="76">
        <v>312.0</v>
      </c>
      <c r="U23" s="79" t="s">
        <v>96</v>
      </c>
      <c r="V23" s="83"/>
      <c r="W23" s="74"/>
      <c r="X23" s="74"/>
      <c r="AB23" s="74"/>
      <c r="AC23" s="74"/>
      <c r="AD23" s="74"/>
    </row>
    <row r="24">
      <c r="A24" s="75">
        <v>46085.0</v>
      </c>
      <c r="B24" s="76" t="s">
        <v>722</v>
      </c>
      <c r="C24" s="77" t="s">
        <v>723</v>
      </c>
      <c r="D24" s="76" t="s">
        <v>34</v>
      </c>
      <c r="E24" s="76"/>
      <c r="F24" s="76" t="s">
        <v>8</v>
      </c>
      <c r="G24" s="76">
        <v>72.0</v>
      </c>
      <c r="H24" s="76">
        <v>10.0</v>
      </c>
      <c r="I24" s="75">
        <v>46087.0</v>
      </c>
      <c r="J24" s="78">
        <v>10.48</v>
      </c>
      <c r="K24" s="76" t="s">
        <v>101</v>
      </c>
      <c r="L24" s="79" t="b">
        <v>1</v>
      </c>
      <c r="M24" s="80">
        <f t="shared" si="1"/>
        <v>46085.69219</v>
      </c>
      <c r="N24" s="81" t="b">
        <v>1</v>
      </c>
      <c r="O24" s="80">
        <f t="shared" si="2"/>
        <v>46085.69393</v>
      </c>
      <c r="P24" s="76" t="s">
        <v>101</v>
      </c>
      <c r="Q24" s="76" t="s">
        <v>38</v>
      </c>
      <c r="R24" s="76" t="b">
        <v>0</v>
      </c>
      <c r="S24" s="82" t="b">
        <v>0</v>
      </c>
      <c r="T24" s="76">
        <v>11.0</v>
      </c>
      <c r="U24" s="79" t="s">
        <v>28</v>
      </c>
      <c r="V24" s="83"/>
      <c r="W24" s="74"/>
      <c r="X24" s="74"/>
    </row>
    <row r="25">
      <c r="A25" s="75">
        <v>46085.0</v>
      </c>
      <c r="B25" s="76" t="s">
        <v>724</v>
      </c>
      <c r="C25" s="77" t="s">
        <v>725</v>
      </c>
      <c r="D25" s="76" t="s">
        <v>31</v>
      </c>
      <c r="E25" s="76"/>
      <c r="F25" s="76" t="s">
        <v>8</v>
      </c>
      <c r="G25" s="76">
        <v>1000.0</v>
      </c>
      <c r="H25" s="76">
        <v>250.0</v>
      </c>
      <c r="I25" s="75">
        <v>46090.0</v>
      </c>
      <c r="J25" s="78">
        <v>14.38</v>
      </c>
      <c r="K25" s="76" t="s">
        <v>101</v>
      </c>
      <c r="L25" s="79" t="b">
        <v>1</v>
      </c>
      <c r="M25" s="80">
        <f t="shared" si="1"/>
        <v>46086.43182</v>
      </c>
      <c r="N25" s="81" t="b">
        <v>1</v>
      </c>
      <c r="O25" s="80">
        <f t="shared" si="2"/>
        <v>46086.43907</v>
      </c>
      <c r="P25" s="76" t="s">
        <v>101</v>
      </c>
      <c r="Q25" s="76" t="s">
        <v>11</v>
      </c>
      <c r="R25" s="76" t="b">
        <v>0</v>
      </c>
      <c r="S25" s="82" t="b">
        <v>0</v>
      </c>
      <c r="T25" s="76">
        <v>256.0</v>
      </c>
      <c r="U25" s="79" t="s">
        <v>96</v>
      </c>
      <c r="V25" s="83"/>
      <c r="W25" s="74"/>
      <c r="X25" s="74"/>
    </row>
    <row r="26">
      <c r="A26" s="75">
        <v>46085.0</v>
      </c>
      <c r="B26" s="76" t="s">
        <v>726</v>
      </c>
      <c r="C26" s="77" t="s">
        <v>142</v>
      </c>
      <c r="D26" s="76" t="s">
        <v>34</v>
      </c>
      <c r="E26" s="76"/>
      <c r="F26" s="76" t="s">
        <v>8</v>
      </c>
      <c r="G26" s="76">
        <v>10.0</v>
      </c>
      <c r="H26" s="76">
        <v>10.0</v>
      </c>
      <c r="I26" s="75">
        <v>46088.0</v>
      </c>
      <c r="J26" s="78">
        <v>15.04</v>
      </c>
      <c r="K26" s="76" t="s">
        <v>101</v>
      </c>
      <c r="L26" s="79" t="b">
        <v>1</v>
      </c>
      <c r="M26" s="80">
        <f t="shared" si="1"/>
        <v>46085.69396</v>
      </c>
      <c r="N26" s="81" t="b">
        <v>1</v>
      </c>
      <c r="O26" s="80">
        <f t="shared" si="2"/>
        <v>46085.69573</v>
      </c>
      <c r="P26" s="76" t="s">
        <v>101</v>
      </c>
      <c r="Q26" s="76" t="s">
        <v>38</v>
      </c>
      <c r="R26" s="76" t="b">
        <v>0</v>
      </c>
      <c r="S26" s="82" t="b">
        <v>0</v>
      </c>
      <c r="T26" s="76">
        <v>11.0</v>
      </c>
      <c r="U26" s="79" t="s">
        <v>28</v>
      </c>
      <c r="V26" s="83"/>
      <c r="W26" s="74"/>
      <c r="X26" s="74"/>
    </row>
    <row r="27">
      <c r="A27" s="75">
        <v>46085.0</v>
      </c>
      <c r="B27" s="76" t="s">
        <v>727</v>
      </c>
      <c r="C27" s="77" t="s">
        <v>728</v>
      </c>
      <c r="D27" s="76" t="s">
        <v>23</v>
      </c>
      <c r="E27" s="76"/>
      <c r="F27" s="76" t="s">
        <v>8</v>
      </c>
      <c r="G27" s="76">
        <v>100.0</v>
      </c>
      <c r="H27" s="76">
        <v>25.0</v>
      </c>
      <c r="I27" s="75">
        <v>46088.0</v>
      </c>
      <c r="J27" s="78">
        <v>16.0</v>
      </c>
      <c r="K27" s="76" t="s">
        <v>101</v>
      </c>
      <c r="L27" s="79" t="b">
        <v>1</v>
      </c>
      <c r="M27" s="80">
        <f t="shared" si="1"/>
        <v>46085.70677</v>
      </c>
      <c r="N27" s="81" t="b">
        <v>1</v>
      </c>
      <c r="O27" s="80">
        <f t="shared" si="2"/>
        <v>46085.71002</v>
      </c>
      <c r="P27" s="76" t="s">
        <v>101</v>
      </c>
      <c r="Q27" s="76" t="s">
        <v>11</v>
      </c>
      <c r="R27" s="76" t="b">
        <v>0</v>
      </c>
      <c r="S27" s="82" t="b">
        <v>0</v>
      </c>
      <c r="T27" s="76">
        <v>28.0</v>
      </c>
      <c r="U27" s="79" t="s">
        <v>96</v>
      </c>
      <c r="V27" s="83"/>
      <c r="W27" s="74"/>
      <c r="X27" s="86"/>
    </row>
    <row r="28">
      <c r="A28" s="75">
        <v>46085.0</v>
      </c>
      <c r="B28" s="76" t="s">
        <v>729</v>
      </c>
      <c r="C28" s="77" t="s">
        <v>730</v>
      </c>
      <c r="D28" s="76" t="s">
        <v>23</v>
      </c>
      <c r="E28" s="76"/>
      <c r="F28" s="76" t="s">
        <v>8</v>
      </c>
      <c r="G28" s="76">
        <v>1000.0</v>
      </c>
      <c r="H28" s="76">
        <v>84.0</v>
      </c>
      <c r="I28" s="75">
        <v>46088.0</v>
      </c>
      <c r="J28" s="78">
        <v>16.0</v>
      </c>
      <c r="K28" s="76" t="s">
        <v>101</v>
      </c>
      <c r="L28" s="79" t="b">
        <v>1</v>
      </c>
      <c r="M28" s="80">
        <f t="shared" si="1"/>
        <v>46085.70239</v>
      </c>
      <c r="N28" s="81" t="b">
        <v>1</v>
      </c>
      <c r="O28" s="80">
        <f t="shared" si="2"/>
        <v>46085.70442</v>
      </c>
      <c r="P28" s="76" t="s">
        <v>101</v>
      </c>
      <c r="Q28" s="76" t="s">
        <v>11</v>
      </c>
      <c r="R28" s="76" t="b">
        <v>0</v>
      </c>
      <c r="S28" s="82" t="b">
        <v>0</v>
      </c>
      <c r="T28" s="76">
        <v>88.0</v>
      </c>
      <c r="U28" s="79" t="s">
        <v>96</v>
      </c>
      <c r="V28" s="83"/>
      <c r="W28" s="74"/>
      <c r="X28" s="86"/>
    </row>
    <row r="29">
      <c r="A29" s="75">
        <v>46086.0</v>
      </c>
      <c r="B29" s="76" t="s">
        <v>731</v>
      </c>
      <c r="C29" s="77" t="s">
        <v>732</v>
      </c>
      <c r="D29" s="76" t="s">
        <v>23</v>
      </c>
      <c r="E29" s="76"/>
      <c r="F29" s="76" t="s">
        <v>18</v>
      </c>
      <c r="G29" s="76">
        <v>250.0</v>
      </c>
      <c r="H29" s="76">
        <v>125.0</v>
      </c>
      <c r="I29" s="75">
        <v>46086.0</v>
      </c>
      <c r="J29" s="78">
        <v>9.01</v>
      </c>
      <c r="K29" s="76" t="s">
        <v>101</v>
      </c>
      <c r="L29" s="79" t="b">
        <v>1</v>
      </c>
      <c r="M29" s="80">
        <f t="shared" si="1"/>
        <v>46086.38655</v>
      </c>
      <c r="N29" s="81" t="b">
        <v>1</v>
      </c>
      <c r="O29" s="80">
        <f t="shared" si="2"/>
        <v>46086.38967</v>
      </c>
      <c r="P29" s="76" t="s">
        <v>101</v>
      </c>
      <c r="Q29" s="76" t="s">
        <v>11</v>
      </c>
      <c r="R29" s="76" t="b">
        <v>0</v>
      </c>
      <c r="S29" s="82" t="b">
        <v>0</v>
      </c>
      <c r="T29" s="76">
        <v>128.0</v>
      </c>
      <c r="U29" s="79" t="s">
        <v>96</v>
      </c>
      <c r="V29" s="83"/>
      <c r="W29" s="74"/>
      <c r="X29" s="86"/>
      <c r="AE29" s="87"/>
      <c r="AF29" s="87"/>
      <c r="AG29" s="87"/>
      <c r="AH29" s="87"/>
    </row>
    <row r="30">
      <c r="A30" s="75">
        <v>46086.0</v>
      </c>
      <c r="B30" s="76" t="s">
        <v>733</v>
      </c>
      <c r="C30" s="77" t="s">
        <v>734</v>
      </c>
      <c r="D30" s="76" t="s">
        <v>23</v>
      </c>
      <c r="E30" s="76"/>
      <c r="F30" s="76" t="s">
        <v>8</v>
      </c>
      <c r="G30" s="76">
        <v>100.0</v>
      </c>
      <c r="H30" s="76">
        <v>17.0</v>
      </c>
      <c r="I30" s="75">
        <v>46088.0</v>
      </c>
      <c r="J30" s="78">
        <v>9.3</v>
      </c>
      <c r="K30" s="76" t="s">
        <v>101</v>
      </c>
      <c r="L30" s="79" t="b">
        <v>1</v>
      </c>
      <c r="M30" s="80">
        <f t="shared" si="1"/>
        <v>46086.44764</v>
      </c>
      <c r="N30" s="81" t="b">
        <v>1</v>
      </c>
      <c r="O30" s="80">
        <f t="shared" si="2"/>
        <v>46086.44909</v>
      </c>
      <c r="P30" s="76" t="s">
        <v>101</v>
      </c>
      <c r="Q30" s="76" t="s">
        <v>11</v>
      </c>
      <c r="R30" s="76" t="b">
        <v>0</v>
      </c>
      <c r="S30" s="82" t="b">
        <v>0</v>
      </c>
      <c r="T30" s="76">
        <v>20.0</v>
      </c>
      <c r="U30" s="79" t="s">
        <v>96</v>
      </c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>
        <v>46086.0</v>
      </c>
      <c r="B31" s="76" t="s">
        <v>735</v>
      </c>
      <c r="C31" s="77" t="s">
        <v>736</v>
      </c>
      <c r="D31" s="76" t="s">
        <v>16</v>
      </c>
      <c r="E31" s="76"/>
      <c r="F31" s="76" t="s">
        <v>8</v>
      </c>
      <c r="G31" s="76">
        <v>200.0</v>
      </c>
      <c r="H31" s="76">
        <v>10.0</v>
      </c>
      <c r="I31" s="75">
        <v>46088.0</v>
      </c>
      <c r="J31" s="78">
        <v>9.3</v>
      </c>
      <c r="K31" s="76" t="s">
        <v>101</v>
      </c>
      <c r="L31" s="79" t="b">
        <v>1</v>
      </c>
      <c r="M31" s="80">
        <f t="shared" si="1"/>
        <v>46087.61272</v>
      </c>
      <c r="N31" s="81" t="b">
        <v>1</v>
      </c>
      <c r="O31" s="80">
        <f t="shared" si="2"/>
        <v>46087.61915</v>
      </c>
      <c r="P31" s="76" t="s">
        <v>101</v>
      </c>
      <c r="Q31" s="76" t="s">
        <v>11</v>
      </c>
      <c r="R31" s="76" t="b">
        <v>0</v>
      </c>
      <c r="S31" s="82" t="b">
        <v>0</v>
      </c>
      <c r="T31" s="76">
        <v>16.0</v>
      </c>
      <c r="U31" s="79" t="s">
        <v>96</v>
      </c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>
        <v>46086.0</v>
      </c>
      <c r="B32" s="76" t="s">
        <v>737</v>
      </c>
      <c r="C32" s="77" t="s">
        <v>738</v>
      </c>
      <c r="D32" s="76" t="s">
        <v>23</v>
      </c>
      <c r="E32" s="76"/>
      <c r="F32" s="76" t="s">
        <v>8</v>
      </c>
      <c r="G32" s="76">
        <v>100.0</v>
      </c>
      <c r="H32" s="76">
        <v>50.0</v>
      </c>
      <c r="I32" s="75">
        <v>46091.0</v>
      </c>
      <c r="J32" s="78">
        <v>9.3</v>
      </c>
      <c r="K32" s="76" t="s">
        <v>101</v>
      </c>
      <c r="L32" s="79" t="b">
        <v>1</v>
      </c>
      <c r="M32" s="80">
        <f t="shared" si="1"/>
        <v>46086.44355</v>
      </c>
      <c r="N32" s="81" t="b">
        <v>1</v>
      </c>
      <c r="O32" s="80">
        <f t="shared" si="2"/>
        <v>46086.44556</v>
      </c>
      <c r="P32" s="76" t="s">
        <v>101</v>
      </c>
      <c r="Q32" s="76" t="s">
        <v>11</v>
      </c>
      <c r="R32" s="76" t="b">
        <v>0</v>
      </c>
      <c r="S32" s="82" t="b">
        <v>0</v>
      </c>
      <c r="T32" s="76">
        <v>60.0</v>
      </c>
      <c r="U32" s="79" t="s">
        <v>96</v>
      </c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>
        <v>46086.0</v>
      </c>
      <c r="B33" s="76" t="s">
        <v>739</v>
      </c>
      <c r="C33" s="77" t="s">
        <v>740</v>
      </c>
      <c r="D33" s="76" t="s">
        <v>23</v>
      </c>
      <c r="E33" s="76"/>
      <c r="F33" s="76" t="s">
        <v>8</v>
      </c>
      <c r="G33" s="76">
        <v>1000.0</v>
      </c>
      <c r="H33" s="76">
        <v>250.0</v>
      </c>
      <c r="I33" s="75">
        <v>46087.0</v>
      </c>
      <c r="J33" s="78">
        <v>10.33</v>
      </c>
      <c r="K33" s="76" t="s">
        <v>101</v>
      </c>
      <c r="L33" s="79" t="b">
        <v>1</v>
      </c>
      <c r="M33" s="80">
        <f t="shared" si="1"/>
        <v>46086.70195</v>
      </c>
      <c r="N33" s="81" t="b">
        <v>1</v>
      </c>
      <c r="O33" s="80">
        <f t="shared" si="2"/>
        <v>46086.70195</v>
      </c>
      <c r="P33" s="76" t="s">
        <v>101</v>
      </c>
      <c r="Q33" s="76" t="s">
        <v>11</v>
      </c>
      <c r="R33" s="76" t="b">
        <v>0</v>
      </c>
      <c r="S33" s="82" t="b">
        <v>0</v>
      </c>
      <c r="T33" s="76">
        <v>256.0</v>
      </c>
      <c r="U33" s="79" t="s">
        <v>96</v>
      </c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>
        <v>46086.0</v>
      </c>
      <c r="B34" s="76" t="s">
        <v>741</v>
      </c>
      <c r="C34" s="77" t="s">
        <v>742</v>
      </c>
      <c r="D34" s="76" t="s">
        <v>23</v>
      </c>
      <c r="E34" s="76"/>
      <c r="F34" s="76" t="s">
        <v>8</v>
      </c>
      <c r="G34" s="76">
        <v>100.0</v>
      </c>
      <c r="H34" s="76">
        <v>100.0</v>
      </c>
      <c r="I34" s="75">
        <v>46088.0</v>
      </c>
      <c r="J34" s="78">
        <v>11.5</v>
      </c>
      <c r="K34" s="76" t="s">
        <v>101</v>
      </c>
      <c r="L34" s="79" t="b">
        <v>1</v>
      </c>
      <c r="M34" s="80">
        <f t="shared" si="1"/>
        <v>46087.6192</v>
      </c>
      <c r="N34" s="81" t="b">
        <v>1</v>
      </c>
      <c r="O34" s="80">
        <f t="shared" si="2"/>
        <v>46087.64131</v>
      </c>
      <c r="P34" s="76" t="s">
        <v>101</v>
      </c>
      <c r="Q34" s="76" t="s">
        <v>11</v>
      </c>
      <c r="R34" s="76" t="b">
        <v>0</v>
      </c>
      <c r="S34" s="82" t="b">
        <v>0</v>
      </c>
      <c r="T34" s="76">
        <v>105.0</v>
      </c>
      <c r="U34" s="79" t="s">
        <v>96</v>
      </c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>
        <v>46086.0</v>
      </c>
      <c r="B35" s="76" t="s">
        <v>743</v>
      </c>
      <c r="C35" s="77" t="s">
        <v>744</v>
      </c>
      <c r="D35" s="76" t="s">
        <v>23</v>
      </c>
      <c r="E35" s="76"/>
      <c r="F35" s="76" t="s">
        <v>8</v>
      </c>
      <c r="G35" s="76">
        <v>200.0</v>
      </c>
      <c r="H35" s="76">
        <v>50.0</v>
      </c>
      <c r="I35" s="75">
        <v>46090.0</v>
      </c>
      <c r="J35" s="78">
        <v>11.5</v>
      </c>
      <c r="K35" s="76" t="s">
        <v>101</v>
      </c>
      <c r="L35" s="79" t="b">
        <v>1</v>
      </c>
      <c r="M35" s="80">
        <f t="shared" si="1"/>
        <v>46087.42227</v>
      </c>
      <c r="N35" s="81" t="b">
        <v>1</v>
      </c>
      <c r="O35" s="80">
        <f t="shared" si="2"/>
        <v>46087.42591</v>
      </c>
      <c r="P35" s="76" t="s">
        <v>101</v>
      </c>
      <c r="Q35" s="76" t="s">
        <v>11</v>
      </c>
      <c r="R35" s="76" t="b">
        <v>0</v>
      </c>
      <c r="S35" s="82" t="b">
        <v>0</v>
      </c>
      <c r="T35" s="76">
        <v>56.0</v>
      </c>
      <c r="U35" s="79" t="s">
        <v>96</v>
      </c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>
        <v>46086.0</v>
      </c>
      <c r="B36" s="76" t="s">
        <v>745</v>
      </c>
      <c r="C36" s="77" t="s">
        <v>746</v>
      </c>
      <c r="D36" s="76" t="s">
        <v>23</v>
      </c>
      <c r="E36" s="76"/>
      <c r="F36" s="76" t="s">
        <v>8</v>
      </c>
      <c r="G36" s="76">
        <v>500.0</v>
      </c>
      <c r="H36" s="76">
        <v>167.0</v>
      </c>
      <c r="I36" s="75">
        <v>46091.0</v>
      </c>
      <c r="J36" s="78">
        <v>13.44</v>
      </c>
      <c r="K36" s="76" t="s">
        <v>101</v>
      </c>
      <c r="L36" s="79" t="b">
        <v>1</v>
      </c>
      <c r="M36" s="80">
        <f t="shared" si="1"/>
        <v>46088.56953</v>
      </c>
      <c r="N36" s="81" t="b">
        <v>1</v>
      </c>
      <c r="O36" s="80">
        <f t="shared" si="2"/>
        <v>46088.59119</v>
      </c>
      <c r="P36" s="76" t="s">
        <v>101</v>
      </c>
      <c r="Q36" s="76" t="s">
        <v>11</v>
      </c>
      <c r="R36" s="76" t="b">
        <v>0</v>
      </c>
      <c r="S36" s="82" t="b">
        <v>0</v>
      </c>
      <c r="T36" s="76">
        <v>170.0</v>
      </c>
      <c r="U36" s="79" t="s">
        <v>96</v>
      </c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>
        <v>46086.0</v>
      </c>
      <c r="B37" s="76" t="s">
        <v>747</v>
      </c>
      <c r="C37" s="77" t="s">
        <v>748</v>
      </c>
      <c r="D37" s="76" t="s">
        <v>31</v>
      </c>
      <c r="E37" s="76"/>
      <c r="F37" s="76" t="s">
        <v>18</v>
      </c>
      <c r="G37" s="76">
        <v>1000.0</v>
      </c>
      <c r="H37" s="76">
        <v>250.0</v>
      </c>
      <c r="I37" s="75">
        <v>46087.0</v>
      </c>
      <c r="J37" s="78">
        <v>14.5</v>
      </c>
      <c r="K37" s="76" t="s">
        <v>101</v>
      </c>
      <c r="L37" s="79" t="b">
        <v>1</v>
      </c>
      <c r="M37" s="80">
        <f t="shared" si="1"/>
        <v>46086.70195</v>
      </c>
      <c r="N37" s="81" t="b">
        <v>1</v>
      </c>
      <c r="O37" s="80">
        <f t="shared" si="2"/>
        <v>46086.70195</v>
      </c>
      <c r="P37" s="76" t="s">
        <v>101</v>
      </c>
      <c r="Q37" s="76" t="s">
        <v>11</v>
      </c>
      <c r="R37" s="76" t="b">
        <v>0</v>
      </c>
      <c r="S37" s="82" t="b">
        <v>0</v>
      </c>
      <c r="T37" s="76">
        <v>256.0</v>
      </c>
      <c r="U37" s="79" t="s">
        <v>96</v>
      </c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>
        <v>46086.0</v>
      </c>
      <c r="B38" s="76" t="s">
        <v>749</v>
      </c>
      <c r="C38" s="77" t="s">
        <v>750</v>
      </c>
      <c r="D38" s="76" t="s">
        <v>31</v>
      </c>
      <c r="E38" s="76"/>
      <c r="F38" s="76" t="s">
        <v>18</v>
      </c>
      <c r="G38" s="76">
        <v>1000.0</v>
      </c>
      <c r="H38" s="76">
        <v>250.0</v>
      </c>
      <c r="I38" s="75">
        <v>46087.0</v>
      </c>
      <c r="J38" s="78">
        <v>14.5</v>
      </c>
      <c r="K38" s="76" t="s">
        <v>101</v>
      </c>
      <c r="L38" s="79" t="b">
        <v>1</v>
      </c>
      <c r="M38" s="80">
        <f t="shared" si="1"/>
        <v>46086.70195</v>
      </c>
      <c r="N38" s="81" t="b">
        <v>1</v>
      </c>
      <c r="O38" s="80">
        <f t="shared" si="2"/>
        <v>46086.70195</v>
      </c>
      <c r="P38" s="76" t="s">
        <v>101</v>
      </c>
      <c r="Q38" s="76" t="s">
        <v>11</v>
      </c>
      <c r="R38" s="76" t="b">
        <v>0</v>
      </c>
      <c r="S38" s="82" t="b">
        <v>0</v>
      </c>
      <c r="T38" s="76">
        <v>256.0</v>
      </c>
      <c r="U38" s="79" t="s">
        <v>96</v>
      </c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>
        <v>46087.0</v>
      </c>
      <c r="B39" s="76" t="s">
        <v>751</v>
      </c>
      <c r="C39" s="77" t="s">
        <v>752</v>
      </c>
      <c r="D39" s="76" t="s">
        <v>23</v>
      </c>
      <c r="E39" s="76"/>
      <c r="F39" s="76" t="s">
        <v>18</v>
      </c>
      <c r="G39" s="76">
        <v>550.0</v>
      </c>
      <c r="H39" s="76">
        <v>46.0</v>
      </c>
      <c r="I39" s="75">
        <v>46087.0</v>
      </c>
      <c r="J39" s="78" t="s">
        <v>151</v>
      </c>
      <c r="K39" s="76" t="s">
        <v>101</v>
      </c>
      <c r="L39" s="79" t="b">
        <v>1</v>
      </c>
      <c r="M39" s="80">
        <f t="shared" si="1"/>
        <v>46087.3699</v>
      </c>
      <c r="N39" s="81" t="b">
        <v>1</v>
      </c>
      <c r="O39" s="80">
        <f t="shared" si="2"/>
        <v>46087.37184</v>
      </c>
      <c r="P39" s="76" t="s">
        <v>101</v>
      </c>
      <c r="Q39" s="76" t="s">
        <v>11</v>
      </c>
      <c r="R39" s="76" t="b">
        <v>0</v>
      </c>
      <c r="S39" s="82" t="b">
        <v>0</v>
      </c>
      <c r="T39" s="76">
        <v>50.0</v>
      </c>
      <c r="U39" s="79" t="s">
        <v>96</v>
      </c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>
        <v>46087.0</v>
      </c>
      <c r="B40" s="76" t="s">
        <v>753</v>
      </c>
      <c r="C40" s="77" t="s">
        <v>754</v>
      </c>
      <c r="D40" s="76" t="s">
        <v>23</v>
      </c>
      <c r="E40" s="76"/>
      <c r="F40" s="76" t="s">
        <v>18</v>
      </c>
      <c r="G40" s="76">
        <v>1000.0</v>
      </c>
      <c r="H40" s="76">
        <v>500.0</v>
      </c>
      <c r="I40" s="75">
        <v>46087.0</v>
      </c>
      <c r="J40" s="78">
        <v>10.41</v>
      </c>
      <c r="K40" s="76" t="s">
        <v>101</v>
      </c>
      <c r="L40" s="79" t="b">
        <v>1</v>
      </c>
      <c r="M40" s="80">
        <f t="shared" si="1"/>
        <v>46087.47222</v>
      </c>
      <c r="N40" s="81" t="b">
        <v>1</v>
      </c>
      <c r="O40" s="80">
        <f t="shared" si="2"/>
        <v>46087.48088</v>
      </c>
      <c r="P40" s="76" t="s">
        <v>101</v>
      </c>
      <c r="Q40" s="76" t="s">
        <v>11</v>
      </c>
      <c r="R40" s="76" t="b">
        <v>0</v>
      </c>
      <c r="S40" s="82" t="b">
        <v>0</v>
      </c>
      <c r="T40" s="76">
        <v>504.0</v>
      </c>
      <c r="U40" s="79" t="s">
        <v>96</v>
      </c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>
        <v>46087.0</v>
      </c>
      <c r="B41" s="76" t="s">
        <v>755</v>
      </c>
      <c r="C41" s="77" t="s">
        <v>756</v>
      </c>
      <c r="D41" s="76" t="s">
        <v>23</v>
      </c>
      <c r="E41" s="76"/>
      <c r="F41" s="76" t="s">
        <v>18</v>
      </c>
      <c r="G41" s="76">
        <v>150.0</v>
      </c>
      <c r="H41" s="76">
        <v>75.0</v>
      </c>
      <c r="I41" s="75">
        <v>46088.0</v>
      </c>
      <c r="J41" s="78">
        <v>11.26</v>
      </c>
      <c r="K41" s="76" t="s">
        <v>101</v>
      </c>
      <c r="L41" s="79" t="b">
        <v>1</v>
      </c>
      <c r="M41" s="80">
        <f t="shared" si="1"/>
        <v>46087.56697</v>
      </c>
      <c r="N41" s="81" t="b">
        <v>1</v>
      </c>
      <c r="O41" s="80">
        <f t="shared" si="2"/>
        <v>46087.59208</v>
      </c>
      <c r="P41" s="76" t="s">
        <v>101</v>
      </c>
      <c r="Q41" s="76" t="s">
        <v>11</v>
      </c>
      <c r="R41" s="76" t="b">
        <v>0</v>
      </c>
      <c r="S41" s="82" t="b">
        <v>0</v>
      </c>
      <c r="T41" s="76">
        <v>80.0</v>
      </c>
      <c r="U41" s="79" t="s">
        <v>96</v>
      </c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>
        <v>46087.0</v>
      </c>
      <c r="B42" s="76" t="s">
        <v>757</v>
      </c>
      <c r="C42" s="77" t="s">
        <v>758</v>
      </c>
      <c r="D42" s="76" t="s">
        <v>23</v>
      </c>
      <c r="E42" s="76"/>
      <c r="F42" s="76" t="s">
        <v>8</v>
      </c>
      <c r="G42" s="76">
        <v>200.0</v>
      </c>
      <c r="H42" s="76">
        <v>50.0</v>
      </c>
      <c r="I42" s="75">
        <v>46090.0</v>
      </c>
      <c r="J42" s="78">
        <v>11.26</v>
      </c>
      <c r="K42" s="76" t="s">
        <v>1</v>
      </c>
      <c r="L42" s="79" t="b">
        <v>1</v>
      </c>
      <c r="M42" s="80">
        <f t="shared" si="1"/>
        <v>46088.39305</v>
      </c>
      <c r="N42" s="81" t="b">
        <v>1</v>
      </c>
      <c r="O42" s="80">
        <f t="shared" si="2"/>
        <v>46088.39488</v>
      </c>
      <c r="P42" s="76" t="s">
        <v>101</v>
      </c>
      <c r="Q42" s="76" t="s">
        <v>11</v>
      </c>
      <c r="R42" s="76" t="b">
        <v>0</v>
      </c>
      <c r="S42" s="82" t="b">
        <v>0</v>
      </c>
      <c r="T42" s="76">
        <v>56.0</v>
      </c>
      <c r="U42" s="79" t="s">
        <v>96</v>
      </c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>
        <v>46087.0</v>
      </c>
      <c r="B43" s="76" t="s">
        <v>759</v>
      </c>
      <c r="C43" s="77" t="s">
        <v>760</v>
      </c>
      <c r="D43" s="76" t="s">
        <v>23</v>
      </c>
      <c r="E43" s="76"/>
      <c r="F43" s="76" t="s">
        <v>8</v>
      </c>
      <c r="G43" s="76">
        <v>300.0</v>
      </c>
      <c r="H43" s="76">
        <v>50.0</v>
      </c>
      <c r="I43" s="75">
        <v>46091.0</v>
      </c>
      <c r="J43" s="78">
        <v>11.26</v>
      </c>
      <c r="K43" s="76" t="s">
        <v>101</v>
      </c>
      <c r="L43" s="79" t="b">
        <v>1</v>
      </c>
      <c r="M43" s="80">
        <f t="shared" si="1"/>
        <v>46087.54824</v>
      </c>
      <c r="N43" s="81" t="b">
        <v>1</v>
      </c>
      <c r="O43" s="80">
        <f t="shared" si="2"/>
        <v>46087.54892</v>
      </c>
      <c r="P43" s="76" t="s">
        <v>101</v>
      </c>
      <c r="Q43" s="76" t="s">
        <v>11</v>
      </c>
      <c r="R43" s="76" t="b">
        <v>0</v>
      </c>
      <c r="S43" s="82" t="b">
        <v>0</v>
      </c>
      <c r="T43" s="76">
        <v>56.0</v>
      </c>
      <c r="U43" s="79" t="s">
        <v>96</v>
      </c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>
        <v>46087.0</v>
      </c>
      <c r="B44" s="76" t="s">
        <v>761</v>
      </c>
      <c r="C44" s="77" t="s">
        <v>762</v>
      </c>
      <c r="D44" s="76" t="s">
        <v>31</v>
      </c>
      <c r="E44" s="76"/>
      <c r="F44" s="76" t="s">
        <v>8</v>
      </c>
      <c r="G44" s="76">
        <v>500.0</v>
      </c>
      <c r="H44" s="76">
        <v>84.0</v>
      </c>
      <c r="I44" s="75">
        <v>46091.0</v>
      </c>
      <c r="J44" s="78">
        <v>11.26</v>
      </c>
      <c r="K44" s="76" t="s">
        <v>101</v>
      </c>
      <c r="L44" s="79" t="b">
        <v>1</v>
      </c>
      <c r="M44" s="80">
        <f t="shared" si="1"/>
        <v>46088.55459</v>
      </c>
      <c r="N44" s="81" t="b">
        <v>1</v>
      </c>
      <c r="O44" s="80">
        <f t="shared" si="2"/>
        <v>46088.55857</v>
      </c>
      <c r="P44" s="76" t="s">
        <v>101</v>
      </c>
      <c r="Q44" s="76" t="s">
        <v>11</v>
      </c>
      <c r="R44" s="76" t="b">
        <v>0</v>
      </c>
      <c r="S44" s="82" t="b">
        <v>0</v>
      </c>
      <c r="T44" s="76">
        <v>90.0</v>
      </c>
      <c r="U44" s="79" t="s">
        <v>96</v>
      </c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>
        <v>46087.0</v>
      </c>
      <c r="B45" s="76" t="s">
        <v>763</v>
      </c>
      <c r="C45" s="77" t="s">
        <v>764</v>
      </c>
      <c r="D45" s="76" t="s">
        <v>23</v>
      </c>
      <c r="E45" s="76"/>
      <c r="F45" s="76" t="s">
        <v>8</v>
      </c>
      <c r="G45" s="76">
        <v>200.0</v>
      </c>
      <c r="H45" s="76">
        <v>50.0</v>
      </c>
      <c r="I45" s="75">
        <v>46090.0</v>
      </c>
      <c r="J45" s="78">
        <v>13.34</v>
      </c>
      <c r="K45" s="76" t="s">
        <v>101</v>
      </c>
      <c r="L45" s="79" t="b">
        <v>1</v>
      </c>
      <c r="M45" s="80">
        <f t="shared" si="1"/>
        <v>46088.38873</v>
      </c>
      <c r="N45" s="81" t="b">
        <v>1</v>
      </c>
      <c r="O45" s="80">
        <f t="shared" si="2"/>
        <v>46088.39106</v>
      </c>
      <c r="P45" s="76" t="s">
        <v>101</v>
      </c>
      <c r="Q45" s="76" t="s">
        <v>11</v>
      </c>
      <c r="R45" s="76" t="b">
        <v>0</v>
      </c>
      <c r="S45" s="82" t="b">
        <v>0</v>
      </c>
      <c r="T45" s="76">
        <v>56.0</v>
      </c>
      <c r="U45" s="79" t="s">
        <v>96</v>
      </c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>
        <v>46087.0</v>
      </c>
      <c r="B46" s="76" t="s">
        <v>765</v>
      </c>
      <c r="C46" s="77" t="s">
        <v>766</v>
      </c>
      <c r="D46" s="76" t="s">
        <v>34</v>
      </c>
      <c r="E46" s="76"/>
      <c r="F46" s="76" t="s">
        <v>8</v>
      </c>
      <c r="G46" s="76">
        <v>40.0</v>
      </c>
      <c r="H46" s="76">
        <v>11.0</v>
      </c>
      <c r="I46" s="75">
        <v>46090.0</v>
      </c>
      <c r="J46" s="78">
        <v>13.34</v>
      </c>
      <c r="K46" s="76" t="s">
        <v>101</v>
      </c>
      <c r="L46" s="79" t="b">
        <v>1</v>
      </c>
      <c r="M46" s="80">
        <f t="shared" si="1"/>
        <v>46087.65988</v>
      </c>
      <c r="N46" s="81" t="b">
        <v>1</v>
      </c>
      <c r="O46" s="80">
        <f t="shared" si="2"/>
        <v>46087.66153</v>
      </c>
      <c r="P46" s="76" t="s">
        <v>101</v>
      </c>
      <c r="Q46" s="76" t="s">
        <v>38</v>
      </c>
      <c r="R46" s="76" t="b">
        <v>0</v>
      </c>
      <c r="S46" s="82" t="b">
        <v>0</v>
      </c>
      <c r="T46" s="76">
        <v>12.0</v>
      </c>
      <c r="U46" s="79" t="s">
        <v>28</v>
      </c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>
        <v>46087.0</v>
      </c>
      <c r="B47" s="76" t="s">
        <v>767</v>
      </c>
      <c r="C47" s="77" t="s">
        <v>768</v>
      </c>
      <c r="D47" s="76" t="s">
        <v>34</v>
      </c>
      <c r="E47" s="76"/>
      <c r="F47" s="76" t="s">
        <v>8</v>
      </c>
      <c r="G47" s="76">
        <v>100.0</v>
      </c>
      <c r="H47" s="76">
        <v>100.0</v>
      </c>
      <c r="I47" s="75">
        <v>46091.0</v>
      </c>
      <c r="J47" s="78">
        <v>13.34</v>
      </c>
      <c r="K47" s="76" t="s">
        <v>101</v>
      </c>
      <c r="L47" s="79" t="b">
        <v>1</v>
      </c>
      <c r="M47" s="80">
        <f t="shared" si="1"/>
        <v>46087.66154</v>
      </c>
      <c r="N47" s="81" t="b">
        <v>1</v>
      </c>
      <c r="O47" s="80">
        <f t="shared" si="2"/>
        <v>46087.67182</v>
      </c>
      <c r="P47" s="76" t="s">
        <v>101</v>
      </c>
      <c r="Q47" s="76" t="s">
        <v>38</v>
      </c>
      <c r="R47" s="76" t="b">
        <v>0</v>
      </c>
      <c r="S47" s="82" t="b">
        <v>0</v>
      </c>
      <c r="T47" s="76">
        <v>101.0</v>
      </c>
      <c r="U47" s="79" t="s">
        <v>28</v>
      </c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>
        <v>46087.0</v>
      </c>
      <c r="B48" s="76" t="s">
        <v>769</v>
      </c>
      <c r="C48" s="77" t="s">
        <v>478</v>
      </c>
      <c r="D48" s="76" t="s">
        <v>31</v>
      </c>
      <c r="E48" s="76"/>
      <c r="F48" s="76" t="s">
        <v>8</v>
      </c>
      <c r="G48" s="76">
        <v>100.0</v>
      </c>
      <c r="H48" s="76">
        <v>20.0</v>
      </c>
      <c r="I48" s="75">
        <v>46092.0</v>
      </c>
      <c r="J48" s="78">
        <v>13.34</v>
      </c>
      <c r="K48" s="76" t="s">
        <v>101</v>
      </c>
      <c r="L48" s="79" t="b">
        <v>1</v>
      </c>
      <c r="M48" s="80">
        <f t="shared" si="1"/>
        <v>46088.55231</v>
      </c>
      <c r="N48" s="81" t="b">
        <v>1</v>
      </c>
      <c r="O48" s="80">
        <f t="shared" si="2"/>
        <v>46088.55385</v>
      </c>
      <c r="P48" s="76" t="s">
        <v>101</v>
      </c>
      <c r="Q48" s="76" t="s">
        <v>11</v>
      </c>
      <c r="R48" s="76" t="b">
        <v>0</v>
      </c>
      <c r="S48" s="82" t="b">
        <v>0</v>
      </c>
      <c r="T48" s="76">
        <v>25.0</v>
      </c>
      <c r="U48" s="79" t="s">
        <v>96</v>
      </c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>
        <v>46087.0</v>
      </c>
      <c r="B49" s="76" t="s">
        <v>770</v>
      </c>
      <c r="C49" s="77" t="s">
        <v>771</v>
      </c>
      <c r="D49" s="76" t="s">
        <v>23</v>
      </c>
      <c r="E49" s="76"/>
      <c r="F49" s="76" t="s">
        <v>8</v>
      </c>
      <c r="G49" s="76">
        <v>150.0</v>
      </c>
      <c r="H49" s="76">
        <v>75.0</v>
      </c>
      <c r="I49" s="75">
        <v>46088.0</v>
      </c>
      <c r="J49" s="78">
        <v>15.02</v>
      </c>
      <c r="K49" s="76" t="s">
        <v>101</v>
      </c>
      <c r="L49" s="79" t="b">
        <v>1</v>
      </c>
      <c r="M49" s="80">
        <f t="shared" si="1"/>
        <v>46087.685</v>
      </c>
      <c r="N49" s="81" t="b">
        <v>1</v>
      </c>
      <c r="O49" s="80">
        <f t="shared" si="2"/>
        <v>46087.68655</v>
      </c>
      <c r="P49" s="76" t="s">
        <v>101</v>
      </c>
      <c r="Q49" s="76" t="s">
        <v>11</v>
      </c>
      <c r="R49" s="76" t="b">
        <v>0</v>
      </c>
      <c r="S49" s="82" t="b">
        <v>0</v>
      </c>
      <c r="T49" s="76">
        <v>80.0</v>
      </c>
      <c r="U49" s="79" t="s">
        <v>96</v>
      </c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>
        <v>46087.0</v>
      </c>
      <c r="B50" s="76" t="s">
        <v>772</v>
      </c>
      <c r="C50" s="77" t="s">
        <v>773</v>
      </c>
      <c r="D50" s="76" t="s">
        <v>40</v>
      </c>
      <c r="E50" s="76"/>
      <c r="F50" s="76" t="s">
        <v>8</v>
      </c>
      <c r="G50" s="76">
        <v>150.0</v>
      </c>
      <c r="H50" s="76">
        <v>38.0</v>
      </c>
      <c r="I50" s="75">
        <v>46092.0</v>
      </c>
      <c r="J50" s="78">
        <v>15.02</v>
      </c>
      <c r="K50" s="76" t="s">
        <v>101</v>
      </c>
      <c r="L50" s="79" t="b">
        <v>1</v>
      </c>
      <c r="M50" s="80">
        <f t="shared" si="1"/>
        <v>46088.46593</v>
      </c>
      <c r="N50" s="81" t="b">
        <v>1</v>
      </c>
      <c r="O50" s="80">
        <f t="shared" si="2"/>
        <v>46088.47281</v>
      </c>
      <c r="P50" s="76" t="s">
        <v>101</v>
      </c>
      <c r="Q50" s="76" t="s">
        <v>11</v>
      </c>
      <c r="R50" s="76" t="b">
        <v>0</v>
      </c>
      <c r="S50" s="82" t="b">
        <v>0</v>
      </c>
      <c r="T50" s="76">
        <v>45.0</v>
      </c>
      <c r="U50" s="79" t="s">
        <v>96</v>
      </c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>
        <v>46087.0</v>
      </c>
      <c r="B51" s="76" t="s">
        <v>774</v>
      </c>
      <c r="C51" s="77" t="s">
        <v>775</v>
      </c>
      <c r="D51" s="76" t="s">
        <v>40</v>
      </c>
      <c r="E51" s="76"/>
      <c r="F51" s="76" t="s">
        <v>8</v>
      </c>
      <c r="G51" s="76">
        <v>150.0</v>
      </c>
      <c r="H51" s="76">
        <v>38.0</v>
      </c>
      <c r="I51" s="75">
        <v>46092.0</v>
      </c>
      <c r="J51" s="78">
        <v>15.02</v>
      </c>
      <c r="K51" s="76" t="s">
        <v>101</v>
      </c>
      <c r="L51" s="79" t="b">
        <v>1</v>
      </c>
      <c r="M51" s="80">
        <f t="shared" si="1"/>
        <v>46088.46465</v>
      </c>
      <c r="N51" s="81" t="b">
        <v>1</v>
      </c>
      <c r="O51" s="80">
        <f t="shared" si="2"/>
        <v>46088.46588</v>
      </c>
      <c r="P51" s="76" t="s">
        <v>101</v>
      </c>
      <c r="Q51" s="76" t="s">
        <v>11</v>
      </c>
      <c r="R51" s="76" t="b">
        <v>0</v>
      </c>
      <c r="S51" s="82" t="b">
        <v>0</v>
      </c>
      <c r="T51" s="76">
        <v>45.0</v>
      </c>
      <c r="U51" s="79" t="s">
        <v>96</v>
      </c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>
        <v>46087.0</v>
      </c>
      <c r="B52" s="76" t="s">
        <v>776</v>
      </c>
      <c r="C52" s="77" t="s">
        <v>777</v>
      </c>
      <c r="D52" s="76" t="s">
        <v>23</v>
      </c>
      <c r="E52" s="76"/>
      <c r="F52" s="76" t="s">
        <v>8</v>
      </c>
      <c r="G52" s="76">
        <v>200.0</v>
      </c>
      <c r="H52" s="76">
        <v>34.0</v>
      </c>
      <c r="I52" s="75">
        <v>46091.0</v>
      </c>
      <c r="J52" s="78">
        <v>15.02</v>
      </c>
      <c r="K52" s="76" t="s">
        <v>101</v>
      </c>
      <c r="L52" s="79" t="b">
        <v>1</v>
      </c>
      <c r="M52" s="80">
        <f t="shared" si="1"/>
        <v>46088.65557</v>
      </c>
      <c r="N52" s="81" t="b">
        <v>1</v>
      </c>
      <c r="O52" s="80">
        <f t="shared" si="2"/>
        <v>46088.66488</v>
      </c>
      <c r="P52" s="76" t="s">
        <v>101</v>
      </c>
      <c r="Q52" s="76" t="s">
        <v>11</v>
      </c>
      <c r="R52" s="76" t="b">
        <v>0</v>
      </c>
      <c r="S52" s="82" t="b">
        <v>0</v>
      </c>
      <c r="T52" s="76">
        <v>40.0</v>
      </c>
      <c r="U52" s="79" t="s">
        <v>96</v>
      </c>
      <c r="V52" s="83" t="s">
        <v>437</v>
      </c>
      <c r="W52" s="74"/>
      <c r="X52" s="74"/>
      <c r="Y52" s="74"/>
      <c r="Z52" s="74"/>
      <c r="AA52" s="74"/>
      <c r="AB52" s="74"/>
      <c r="AC52" s="74"/>
      <c r="AD52" s="74"/>
    </row>
    <row r="53">
      <c r="A53" s="75">
        <v>46087.0</v>
      </c>
      <c r="B53" s="76" t="s">
        <v>778</v>
      </c>
      <c r="C53" s="77" t="s">
        <v>779</v>
      </c>
      <c r="D53" s="76" t="s">
        <v>23</v>
      </c>
      <c r="E53" s="76"/>
      <c r="F53" s="76" t="s">
        <v>8</v>
      </c>
      <c r="G53" s="76">
        <v>300.0</v>
      </c>
      <c r="H53" s="76">
        <v>150.0</v>
      </c>
      <c r="I53" s="75">
        <v>46092.0</v>
      </c>
      <c r="J53" s="78">
        <v>15.02</v>
      </c>
      <c r="K53" s="76" t="s">
        <v>101</v>
      </c>
      <c r="L53" s="79" t="b">
        <v>1</v>
      </c>
      <c r="M53" s="80">
        <f t="shared" si="1"/>
        <v>46088.43248</v>
      </c>
      <c r="N53" s="81" t="b">
        <v>1</v>
      </c>
      <c r="O53" s="80">
        <f t="shared" si="2"/>
        <v>46088.44554</v>
      </c>
      <c r="P53" s="76" t="s">
        <v>101</v>
      </c>
      <c r="Q53" s="76" t="s">
        <v>11</v>
      </c>
      <c r="R53" s="76" t="b">
        <v>0</v>
      </c>
      <c r="S53" s="82" t="b">
        <v>0</v>
      </c>
      <c r="T53" s="76">
        <v>156.0</v>
      </c>
      <c r="U53" s="79" t="s">
        <v>96</v>
      </c>
      <c r="V53" s="83" t="s">
        <v>437</v>
      </c>
      <c r="W53" s="74"/>
      <c r="X53" s="74"/>
      <c r="Y53" s="74"/>
      <c r="Z53" s="74"/>
      <c r="AA53" s="74"/>
      <c r="AB53" s="74"/>
      <c r="AC53" s="74"/>
      <c r="AD53" s="74"/>
    </row>
    <row r="54">
      <c r="A54" s="75">
        <v>46087.0</v>
      </c>
      <c r="B54" s="76" t="s">
        <v>780</v>
      </c>
      <c r="C54" s="77" t="s">
        <v>781</v>
      </c>
      <c r="D54" s="76" t="s">
        <v>23</v>
      </c>
      <c r="E54" s="76"/>
      <c r="F54" s="76" t="s">
        <v>8</v>
      </c>
      <c r="G54" s="76">
        <v>1000.0</v>
      </c>
      <c r="H54" s="76">
        <v>250.0</v>
      </c>
      <c r="I54" s="75">
        <v>46090.0</v>
      </c>
      <c r="J54" s="78">
        <v>16.15</v>
      </c>
      <c r="K54" s="76" t="s">
        <v>101</v>
      </c>
      <c r="L54" s="79" t="b">
        <v>1</v>
      </c>
      <c r="M54" s="80">
        <f t="shared" si="1"/>
        <v>46088.37224</v>
      </c>
      <c r="N54" s="81" t="b">
        <v>1</v>
      </c>
      <c r="O54" s="80">
        <f t="shared" si="2"/>
        <v>46088.3793</v>
      </c>
      <c r="P54" s="76" t="s">
        <v>101</v>
      </c>
      <c r="Q54" s="76" t="s">
        <v>11</v>
      </c>
      <c r="R54" s="76" t="b">
        <v>0</v>
      </c>
      <c r="S54" s="82" t="b">
        <v>0</v>
      </c>
      <c r="T54" s="76">
        <v>256.0</v>
      </c>
      <c r="U54" s="79" t="s">
        <v>96</v>
      </c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>
        <v>46088.0</v>
      </c>
      <c r="B55" s="76" t="s">
        <v>782</v>
      </c>
      <c r="C55" s="77" t="s">
        <v>783</v>
      </c>
      <c r="D55" s="76" t="s">
        <v>23</v>
      </c>
      <c r="E55" s="76"/>
      <c r="F55" s="76" t="s">
        <v>18</v>
      </c>
      <c r="G55" s="76">
        <v>1000.0</v>
      </c>
      <c r="H55" s="76">
        <v>250.0</v>
      </c>
      <c r="I55" s="75">
        <v>46088.0</v>
      </c>
      <c r="J55" s="78">
        <v>9.48</v>
      </c>
      <c r="K55" s="76" t="s">
        <v>101</v>
      </c>
      <c r="L55" s="79" t="b">
        <v>1</v>
      </c>
      <c r="M55" s="80">
        <f t="shared" si="1"/>
        <v>46088.42477</v>
      </c>
      <c r="N55" s="81" t="b">
        <v>1</v>
      </c>
      <c r="O55" s="80">
        <f t="shared" si="2"/>
        <v>46088.43125</v>
      </c>
      <c r="P55" s="76" t="s">
        <v>101</v>
      </c>
      <c r="Q55" s="76" t="s">
        <v>11</v>
      </c>
      <c r="R55" s="76" t="b">
        <v>0</v>
      </c>
      <c r="S55" s="82" t="b">
        <v>0</v>
      </c>
      <c r="T55" s="76">
        <v>256.0</v>
      </c>
      <c r="U55" s="79" t="s">
        <v>96</v>
      </c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>
        <v>46088.0</v>
      </c>
      <c r="B56" s="76" t="s">
        <v>784</v>
      </c>
      <c r="C56" s="77" t="s">
        <v>785</v>
      </c>
      <c r="D56" s="76" t="s">
        <v>26</v>
      </c>
      <c r="E56" s="76"/>
      <c r="F56" s="76" t="s">
        <v>8</v>
      </c>
      <c r="G56" s="76">
        <v>300.0</v>
      </c>
      <c r="H56" s="76">
        <v>15.0</v>
      </c>
      <c r="I56" s="75">
        <v>46092.0</v>
      </c>
      <c r="J56" s="78">
        <v>9.48</v>
      </c>
      <c r="K56" s="76" t="s">
        <v>101</v>
      </c>
      <c r="L56" s="79" t="b">
        <v>1</v>
      </c>
      <c r="M56" s="80">
        <f t="shared" si="1"/>
        <v>46090.46528</v>
      </c>
      <c r="N56" s="81" t="b">
        <v>1</v>
      </c>
      <c r="O56" s="80">
        <f t="shared" si="2"/>
        <v>46090.46799</v>
      </c>
      <c r="P56" s="76" t="s">
        <v>101</v>
      </c>
      <c r="Q56" s="76" t="s">
        <v>11</v>
      </c>
      <c r="R56" s="76" t="b">
        <v>0</v>
      </c>
      <c r="S56" s="82" t="b">
        <v>0</v>
      </c>
      <c r="T56" s="76">
        <v>45.0</v>
      </c>
      <c r="U56" s="79" t="s">
        <v>96</v>
      </c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>
        <v>46088.0</v>
      </c>
      <c r="B57" s="76" t="s">
        <v>786</v>
      </c>
      <c r="C57" s="77" t="s">
        <v>787</v>
      </c>
      <c r="D57" s="76" t="s">
        <v>26</v>
      </c>
      <c r="E57" s="76"/>
      <c r="F57" s="76" t="s">
        <v>8</v>
      </c>
      <c r="G57" s="76">
        <v>400.0</v>
      </c>
      <c r="H57" s="76">
        <v>20.0</v>
      </c>
      <c r="I57" s="75">
        <v>46092.0</v>
      </c>
      <c r="J57" s="78">
        <v>9.48</v>
      </c>
      <c r="K57" s="76" t="s">
        <v>101</v>
      </c>
      <c r="L57" s="79" t="b">
        <v>1</v>
      </c>
      <c r="M57" s="80">
        <f t="shared" si="1"/>
        <v>46090.46085</v>
      </c>
      <c r="N57" s="81" t="b">
        <v>1</v>
      </c>
      <c r="O57" s="80">
        <f t="shared" si="2"/>
        <v>46090.46444</v>
      </c>
      <c r="P57" s="76" t="s">
        <v>101</v>
      </c>
      <c r="Q57" s="76" t="s">
        <v>11</v>
      </c>
      <c r="R57" s="76" t="b">
        <v>0</v>
      </c>
      <c r="S57" s="82" t="b">
        <v>0</v>
      </c>
      <c r="T57" s="76">
        <v>40.0</v>
      </c>
      <c r="U57" s="79" t="s">
        <v>96</v>
      </c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>
        <v>46088.0</v>
      </c>
      <c r="B58" s="76" t="s">
        <v>788</v>
      </c>
      <c r="C58" s="77" t="s">
        <v>789</v>
      </c>
      <c r="D58" s="76" t="s">
        <v>16</v>
      </c>
      <c r="E58" s="76"/>
      <c r="F58" s="76" t="s">
        <v>8</v>
      </c>
      <c r="G58" s="76">
        <v>1000.0</v>
      </c>
      <c r="H58" s="76">
        <v>48.0</v>
      </c>
      <c r="I58" s="75">
        <v>46093.0</v>
      </c>
      <c r="J58" s="78">
        <v>9.48</v>
      </c>
      <c r="K58" s="76" t="s">
        <v>101</v>
      </c>
      <c r="L58" s="79" t="b">
        <v>1</v>
      </c>
      <c r="M58" s="80">
        <f t="shared" si="1"/>
        <v>46090.45407</v>
      </c>
      <c r="N58" s="81" t="b">
        <v>1</v>
      </c>
      <c r="O58" s="80">
        <f t="shared" si="2"/>
        <v>46090.46071</v>
      </c>
      <c r="P58" s="76" t="s">
        <v>101</v>
      </c>
      <c r="Q58" s="76" t="s">
        <v>11</v>
      </c>
      <c r="R58" s="76" t="b">
        <v>0</v>
      </c>
      <c r="S58" s="82" t="b">
        <v>0</v>
      </c>
      <c r="T58" s="76">
        <v>70.0</v>
      </c>
      <c r="U58" s="79" t="s">
        <v>96</v>
      </c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>
        <v>46088.0</v>
      </c>
      <c r="B59" s="76" t="s">
        <v>790</v>
      </c>
      <c r="C59" s="77" t="s">
        <v>791</v>
      </c>
      <c r="D59" s="76" t="s">
        <v>23</v>
      </c>
      <c r="E59" s="76"/>
      <c r="F59" s="76" t="s">
        <v>8</v>
      </c>
      <c r="G59" s="76">
        <v>105.0</v>
      </c>
      <c r="H59" s="76">
        <v>53.0</v>
      </c>
      <c r="I59" s="75">
        <v>46090.0</v>
      </c>
      <c r="J59" s="78">
        <v>11.2</v>
      </c>
      <c r="K59" s="76" t="s">
        <v>101</v>
      </c>
      <c r="L59" s="79" t="b">
        <v>1</v>
      </c>
      <c r="M59" s="80">
        <f t="shared" si="1"/>
        <v>46088.56109</v>
      </c>
      <c r="N59" s="81" t="b">
        <v>1</v>
      </c>
      <c r="O59" s="80">
        <f t="shared" si="2"/>
        <v>46088.56743</v>
      </c>
      <c r="P59" s="76" t="s">
        <v>101</v>
      </c>
      <c r="Q59" s="76" t="s">
        <v>11</v>
      </c>
      <c r="R59" s="76" t="b">
        <v>0</v>
      </c>
      <c r="S59" s="82" t="b">
        <v>0</v>
      </c>
      <c r="T59" s="76">
        <v>60.0</v>
      </c>
      <c r="U59" s="79" t="s">
        <v>96</v>
      </c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>
        <v>46088.0</v>
      </c>
      <c r="B60" s="76" t="s">
        <v>792</v>
      </c>
      <c r="C60" s="77" t="s">
        <v>793</v>
      </c>
      <c r="D60" s="76" t="s">
        <v>23</v>
      </c>
      <c r="E60" s="76"/>
      <c r="F60" s="76" t="s">
        <v>18</v>
      </c>
      <c r="G60" s="76">
        <v>300.0</v>
      </c>
      <c r="H60" s="76">
        <v>150.0</v>
      </c>
      <c r="I60" s="75">
        <v>46088.0</v>
      </c>
      <c r="J60" s="78">
        <v>11.43</v>
      </c>
      <c r="K60" s="76" t="s">
        <v>101</v>
      </c>
      <c r="L60" s="79" t="b">
        <v>1</v>
      </c>
      <c r="M60" s="80">
        <f t="shared" si="1"/>
        <v>46088.54179</v>
      </c>
      <c r="N60" s="81" t="b">
        <v>1</v>
      </c>
      <c r="O60" s="80">
        <f t="shared" si="2"/>
        <v>46088.54915</v>
      </c>
      <c r="P60" s="76" t="s">
        <v>101</v>
      </c>
      <c r="Q60" s="76" t="s">
        <v>11</v>
      </c>
      <c r="R60" s="76" t="b">
        <v>0</v>
      </c>
      <c r="S60" s="82" t="b">
        <v>0</v>
      </c>
      <c r="T60" s="76">
        <v>156.0</v>
      </c>
      <c r="U60" s="79" t="s">
        <v>96</v>
      </c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>
        <v>46088.0</v>
      </c>
      <c r="B61" s="76" t="s">
        <v>794</v>
      </c>
      <c r="C61" s="77" t="s">
        <v>795</v>
      </c>
      <c r="D61" s="76" t="s">
        <v>23</v>
      </c>
      <c r="E61" s="76"/>
      <c r="F61" s="76" t="s">
        <v>18</v>
      </c>
      <c r="G61" s="76">
        <v>100.0</v>
      </c>
      <c r="H61" s="76">
        <v>50.0</v>
      </c>
      <c r="I61" s="75">
        <v>46088.0</v>
      </c>
      <c r="J61" s="78">
        <v>14.41</v>
      </c>
      <c r="K61" s="76" t="s">
        <v>101</v>
      </c>
      <c r="L61" s="79" t="b">
        <v>1</v>
      </c>
      <c r="M61" s="80">
        <f t="shared" si="1"/>
        <v>46088.61318</v>
      </c>
      <c r="N61" s="81" t="b">
        <v>1</v>
      </c>
      <c r="O61" s="80">
        <f t="shared" si="2"/>
        <v>46088.61776</v>
      </c>
      <c r="P61" s="76" t="s">
        <v>101</v>
      </c>
      <c r="Q61" s="76" t="s">
        <v>11</v>
      </c>
      <c r="R61" s="76" t="b">
        <v>0</v>
      </c>
      <c r="S61" s="82" t="b">
        <v>0</v>
      </c>
      <c r="T61" s="76">
        <v>56.0</v>
      </c>
      <c r="U61" s="79" t="s">
        <v>96</v>
      </c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>
        <v>46088.0</v>
      </c>
      <c r="B62" s="76" t="s">
        <v>796</v>
      </c>
      <c r="C62" s="77" t="s">
        <v>797</v>
      </c>
      <c r="D62" s="76" t="s">
        <v>43</v>
      </c>
      <c r="E62" s="76"/>
      <c r="F62" s="76" t="s">
        <v>8</v>
      </c>
      <c r="G62" s="76">
        <v>15.0</v>
      </c>
      <c r="H62" s="76">
        <v>7.0</v>
      </c>
      <c r="I62" s="75">
        <v>46091.0</v>
      </c>
      <c r="J62" s="78">
        <v>15.14</v>
      </c>
      <c r="K62" s="76" t="s">
        <v>1</v>
      </c>
      <c r="L62" s="79" t="b">
        <v>1</v>
      </c>
      <c r="M62" s="80">
        <f t="shared" si="1"/>
        <v>46088.71052</v>
      </c>
      <c r="N62" s="81" t="b">
        <v>1</v>
      </c>
      <c r="O62" s="80">
        <f t="shared" si="2"/>
        <v>46088.71206</v>
      </c>
      <c r="P62" s="76" t="s">
        <v>101</v>
      </c>
      <c r="Q62" s="76" t="s">
        <v>38</v>
      </c>
      <c r="R62" s="76" t="b">
        <v>0</v>
      </c>
      <c r="S62" s="82" t="b">
        <v>0</v>
      </c>
      <c r="T62" s="76">
        <v>8.0</v>
      </c>
      <c r="U62" s="79" t="s">
        <v>28</v>
      </c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>
        <v>46088.0</v>
      </c>
      <c r="B63" s="76" t="s">
        <v>798</v>
      </c>
      <c r="C63" s="77" t="s">
        <v>799</v>
      </c>
      <c r="D63" s="76" t="s">
        <v>43</v>
      </c>
      <c r="E63" s="76"/>
      <c r="F63" s="76" t="s">
        <v>8</v>
      </c>
      <c r="G63" s="76">
        <v>15.0</v>
      </c>
      <c r="H63" s="76">
        <v>5.0</v>
      </c>
      <c r="I63" s="75">
        <v>46091.0</v>
      </c>
      <c r="J63" s="78">
        <v>15.14</v>
      </c>
      <c r="K63" s="76" t="s">
        <v>1</v>
      </c>
      <c r="L63" s="79" t="b">
        <v>1</v>
      </c>
      <c r="M63" s="80">
        <f t="shared" si="1"/>
        <v>46088.70909</v>
      </c>
      <c r="N63" s="81" t="b">
        <v>1</v>
      </c>
      <c r="O63" s="80">
        <f t="shared" si="2"/>
        <v>46088.71051</v>
      </c>
      <c r="P63" s="76" t="s">
        <v>101</v>
      </c>
      <c r="Q63" s="76" t="s">
        <v>38</v>
      </c>
      <c r="R63" s="76" t="b">
        <v>0</v>
      </c>
      <c r="S63" s="82" t="b">
        <v>0</v>
      </c>
      <c r="T63" s="76">
        <v>6.0</v>
      </c>
      <c r="U63" s="79" t="s">
        <v>28</v>
      </c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>
        <v>46088.0</v>
      </c>
      <c r="B64" s="76" t="s">
        <v>800</v>
      </c>
      <c r="C64" s="77" t="s">
        <v>801</v>
      </c>
      <c r="D64" s="76" t="s">
        <v>43</v>
      </c>
      <c r="E64" s="76"/>
      <c r="F64" s="76" t="s">
        <v>8</v>
      </c>
      <c r="G64" s="76">
        <v>7.0</v>
      </c>
      <c r="H64" s="76">
        <v>15.0</v>
      </c>
      <c r="I64" s="75">
        <v>46091.0</v>
      </c>
      <c r="J64" s="78">
        <v>15.14</v>
      </c>
      <c r="K64" s="76" t="s">
        <v>1</v>
      </c>
      <c r="L64" s="79" t="b">
        <v>1</v>
      </c>
      <c r="M64" s="80">
        <f t="shared" si="1"/>
        <v>46088.70694</v>
      </c>
      <c r="N64" s="81" t="b">
        <v>1</v>
      </c>
      <c r="O64" s="80">
        <f t="shared" si="2"/>
        <v>46088.70907</v>
      </c>
      <c r="P64" s="76" t="s">
        <v>101</v>
      </c>
      <c r="Q64" s="76" t="s">
        <v>38</v>
      </c>
      <c r="R64" s="76" t="b">
        <v>0</v>
      </c>
      <c r="S64" s="82" t="b">
        <v>0</v>
      </c>
      <c r="T64" s="76">
        <v>16.0</v>
      </c>
      <c r="U64" s="79" t="s">
        <v>28</v>
      </c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>
        <v>46088.0</v>
      </c>
      <c r="B65" s="76" t="s">
        <v>802</v>
      </c>
      <c r="C65" s="77" t="s">
        <v>803</v>
      </c>
      <c r="D65" s="76" t="s">
        <v>43</v>
      </c>
      <c r="E65" s="76"/>
      <c r="F65" s="76" t="s">
        <v>8</v>
      </c>
      <c r="G65" s="76">
        <v>7.0</v>
      </c>
      <c r="H65" s="76">
        <v>8.0</v>
      </c>
      <c r="I65" s="75">
        <v>46091.0</v>
      </c>
      <c r="J65" s="78">
        <v>15.14</v>
      </c>
      <c r="K65" s="76" t="s">
        <v>1</v>
      </c>
      <c r="L65" s="79" t="b">
        <v>1</v>
      </c>
      <c r="M65" s="80">
        <f t="shared" si="1"/>
        <v>46088.70516</v>
      </c>
      <c r="N65" s="81" t="b">
        <v>1</v>
      </c>
      <c r="O65" s="80">
        <f t="shared" si="2"/>
        <v>46088.70692</v>
      </c>
      <c r="P65" s="76" t="s">
        <v>101</v>
      </c>
      <c r="Q65" s="76" t="s">
        <v>38</v>
      </c>
      <c r="R65" s="76" t="b">
        <v>0</v>
      </c>
      <c r="S65" s="82" t="b">
        <v>0</v>
      </c>
      <c r="T65" s="76">
        <v>9.0</v>
      </c>
      <c r="U65" s="79" t="s">
        <v>28</v>
      </c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>
        <v>46090.0</v>
      </c>
      <c r="B66" s="76" t="s">
        <v>804</v>
      </c>
      <c r="C66" s="77" t="s">
        <v>805</v>
      </c>
      <c r="D66" s="76" t="s">
        <v>43</v>
      </c>
      <c r="E66" s="76"/>
      <c r="F66" s="76" t="s">
        <v>8</v>
      </c>
      <c r="G66" s="76">
        <v>50.0</v>
      </c>
      <c r="H66" s="76">
        <v>50.0</v>
      </c>
      <c r="I66" s="75">
        <v>46093.0</v>
      </c>
      <c r="J66" s="78">
        <v>10.22</v>
      </c>
      <c r="K66" s="76" t="s">
        <v>101</v>
      </c>
      <c r="L66" s="79" t="b">
        <v>1</v>
      </c>
      <c r="M66" s="80">
        <f t="shared" si="1"/>
        <v>46090.55493</v>
      </c>
      <c r="N66" s="81" t="b">
        <v>1</v>
      </c>
      <c r="O66" s="80">
        <f t="shared" si="2"/>
        <v>46090.5602</v>
      </c>
      <c r="P66" s="76" t="s">
        <v>101</v>
      </c>
      <c r="Q66" s="76" t="s">
        <v>38</v>
      </c>
      <c r="R66" s="76" t="b">
        <v>0</v>
      </c>
      <c r="S66" s="82" t="b">
        <v>0</v>
      </c>
      <c r="T66" s="76">
        <v>51.0</v>
      </c>
      <c r="U66" s="79" t="s">
        <v>28</v>
      </c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>
        <v>46090.0</v>
      </c>
      <c r="B67" s="76" t="s">
        <v>806</v>
      </c>
      <c r="C67" s="77" t="s">
        <v>807</v>
      </c>
      <c r="D67" s="76" t="s">
        <v>23</v>
      </c>
      <c r="E67" s="76"/>
      <c r="F67" s="76" t="s">
        <v>18</v>
      </c>
      <c r="G67" s="76">
        <v>3000.0</v>
      </c>
      <c r="H67" s="76">
        <v>500.0</v>
      </c>
      <c r="I67" s="75">
        <v>46090.0</v>
      </c>
      <c r="J67" s="78">
        <v>11.4</v>
      </c>
      <c r="K67" s="76" t="s">
        <v>101</v>
      </c>
      <c r="L67" s="79" t="b">
        <v>1</v>
      </c>
      <c r="M67" s="80">
        <f t="shared" si="1"/>
        <v>46090.49201</v>
      </c>
      <c r="N67" s="81" t="b">
        <v>1</v>
      </c>
      <c r="O67" s="80">
        <f t="shared" si="2"/>
        <v>46090.53113</v>
      </c>
      <c r="P67" s="76" t="s">
        <v>101</v>
      </c>
      <c r="Q67" s="76" t="s">
        <v>11</v>
      </c>
      <c r="R67" s="76" t="b">
        <v>0</v>
      </c>
      <c r="S67" s="82" t="b">
        <v>0</v>
      </c>
      <c r="T67" s="76">
        <v>508.0</v>
      </c>
      <c r="U67" s="79" t="s">
        <v>96</v>
      </c>
      <c r="V67" s="83" t="s">
        <v>588</v>
      </c>
      <c r="W67" s="74"/>
      <c r="X67" s="74"/>
      <c r="Y67" s="74"/>
      <c r="Z67" s="74"/>
      <c r="AA67" s="74"/>
      <c r="AB67" s="74"/>
      <c r="AC67" s="74"/>
      <c r="AD67" s="74"/>
    </row>
    <row r="68">
      <c r="A68" s="75">
        <v>46091.0</v>
      </c>
      <c r="B68" s="76" t="s">
        <v>808</v>
      </c>
      <c r="C68" s="77" t="s">
        <v>809</v>
      </c>
      <c r="D68" s="76" t="s">
        <v>23</v>
      </c>
      <c r="E68" s="76"/>
      <c r="F68" s="76" t="s">
        <v>18</v>
      </c>
      <c r="G68" s="76">
        <v>1000.0</v>
      </c>
      <c r="H68" s="76">
        <v>500.0</v>
      </c>
      <c r="I68" s="75">
        <v>46091.0</v>
      </c>
      <c r="J68" s="78">
        <v>9.11</v>
      </c>
      <c r="K68" s="76" t="s">
        <v>101</v>
      </c>
      <c r="L68" s="79" t="b">
        <v>1</v>
      </c>
      <c r="M68" s="80">
        <f t="shared" si="1"/>
        <v>46090.69846</v>
      </c>
      <c r="N68" s="81" t="b">
        <v>1</v>
      </c>
      <c r="O68" s="80">
        <f t="shared" si="2"/>
        <v>46090.71236</v>
      </c>
      <c r="P68" s="76" t="s">
        <v>101</v>
      </c>
      <c r="Q68" s="76" t="s">
        <v>11</v>
      </c>
      <c r="R68" s="76" t="b">
        <v>0</v>
      </c>
      <c r="S68" s="82" t="b">
        <v>0</v>
      </c>
      <c r="T68" s="76">
        <v>506.0</v>
      </c>
      <c r="U68" s="79" t="s">
        <v>96</v>
      </c>
      <c r="V68" s="83" t="s">
        <v>160</v>
      </c>
      <c r="W68" s="118"/>
      <c r="X68" s="74"/>
      <c r="Y68" s="74"/>
      <c r="Z68" s="74"/>
      <c r="AA68" s="74"/>
      <c r="AB68" s="74"/>
      <c r="AC68" s="74"/>
      <c r="AD68" s="74"/>
    </row>
    <row r="69">
      <c r="A69" s="75">
        <v>46091.0</v>
      </c>
      <c r="B69" s="76" t="s">
        <v>810</v>
      </c>
      <c r="C69" s="77" t="s">
        <v>811</v>
      </c>
      <c r="D69" s="76" t="s">
        <v>23</v>
      </c>
      <c r="E69" s="76"/>
      <c r="F69" s="76" t="s">
        <v>18</v>
      </c>
      <c r="G69" s="76">
        <v>100.0</v>
      </c>
      <c r="H69" s="76">
        <v>25.0</v>
      </c>
      <c r="I69" s="75">
        <v>46091.0</v>
      </c>
      <c r="J69" s="78">
        <v>9.11</v>
      </c>
      <c r="K69" s="76" t="s">
        <v>101</v>
      </c>
      <c r="L69" s="79" t="b">
        <v>1</v>
      </c>
      <c r="M69" s="80">
        <f t="shared" si="1"/>
        <v>46091.39038</v>
      </c>
      <c r="N69" s="81" t="b">
        <v>1</v>
      </c>
      <c r="O69" s="80">
        <f t="shared" si="2"/>
        <v>46091.39405</v>
      </c>
      <c r="P69" s="76" t="s">
        <v>101</v>
      </c>
      <c r="Q69" s="76" t="s">
        <v>11</v>
      </c>
      <c r="R69" s="76" t="b">
        <v>0</v>
      </c>
      <c r="S69" s="82" t="b">
        <v>0</v>
      </c>
      <c r="T69" s="76">
        <v>28.0</v>
      </c>
      <c r="U69" s="79" t="s">
        <v>96</v>
      </c>
      <c r="V69" s="83" t="s">
        <v>437</v>
      </c>
      <c r="W69" s="74"/>
      <c r="X69" s="74"/>
      <c r="Y69" s="74"/>
      <c r="Z69" s="74"/>
      <c r="AA69" s="74"/>
      <c r="AB69" s="74"/>
      <c r="AC69" s="74"/>
      <c r="AD69" s="74"/>
    </row>
    <row r="70">
      <c r="A70" s="75">
        <v>46091.0</v>
      </c>
      <c r="B70" s="76" t="s">
        <v>812</v>
      </c>
      <c r="C70" s="77" t="s">
        <v>813</v>
      </c>
      <c r="D70" s="76" t="s">
        <v>23</v>
      </c>
      <c r="E70" s="76"/>
      <c r="F70" s="76" t="s">
        <v>8</v>
      </c>
      <c r="G70" s="76">
        <v>130.0</v>
      </c>
      <c r="H70" s="76">
        <v>65.0</v>
      </c>
      <c r="I70" s="75">
        <v>46094.0</v>
      </c>
      <c r="J70" s="78">
        <v>9.11</v>
      </c>
      <c r="K70" s="76" t="s">
        <v>101</v>
      </c>
      <c r="L70" s="79" t="b">
        <v>1</v>
      </c>
      <c r="M70" s="80">
        <f t="shared" si="1"/>
        <v>46092.40174</v>
      </c>
      <c r="N70" s="81" t="b">
        <v>1</v>
      </c>
      <c r="O70" s="80">
        <f t="shared" si="2"/>
        <v>46092.40515</v>
      </c>
      <c r="P70" s="76" t="s">
        <v>101</v>
      </c>
      <c r="Q70" s="76" t="s">
        <v>11</v>
      </c>
      <c r="R70" s="76" t="b">
        <v>0</v>
      </c>
      <c r="S70" s="82" t="b">
        <v>0</v>
      </c>
      <c r="T70" s="76">
        <v>70.0</v>
      </c>
      <c r="U70" s="79" t="s">
        <v>96</v>
      </c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>
        <v>46091.0</v>
      </c>
      <c r="B71" s="76" t="s">
        <v>814</v>
      </c>
      <c r="C71" s="77" t="s">
        <v>815</v>
      </c>
      <c r="D71" s="76" t="s">
        <v>23</v>
      </c>
      <c r="E71" s="76"/>
      <c r="F71" s="76" t="s">
        <v>8</v>
      </c>
      <c r="G71" s="76">
        <v>100.0</v>
      </c>
      <c r="H71" s="76">
        <v>50.0</v>
      </c>
      <c r="I71" s="75">
        <v>46094.0</v>
      </c>
      <c r="J71" s="78">
        <v>10.05</v>
      </c>
      <c r="K71" s="76" t="s">
        <v>101</v>
      </c>
      <c r="L71" s="79" t="b">
        <v>1</v>
      </c>
      <c r="M71" s="80">
        <f t="shared" si="1"/>
        <v>46092.42646</v>
      </c>
      <c r="N71" s="81" t="b">
        <v>1</v>
      </c>
      <c r="O71" s="80">
        <f t="shared" si="2"/>
        <v>46092.42997</v>
      </c>
      <c r="P71" s="76" t="s">
        <v>101</v>
      </c>
      <c r="Q71" s="76" t="s">
        <v>11</v>
      </c>
      <c r="R71" s="76" t="b">
        <v>0</v>
      </c>
      <c r="S71" s="82" t="b">
        <v>0</v>
      </c>
      <c r="T71" s="76">
        <v>60.0</v>
      </c>
      <c r="U71" s="79" t="s">
        <v>96</v>
      </c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>
        <v>46091.0</v>
      </c>
      <c r="B72" s="76" t="s">
        <v>816</v>
      </c>
      <c r="C72" s="77" t="s">
        <v>817</v>
      </c>
      <c r="D72" s="76" t="s">
        <v>23</v>
      </c>
      <c r="E72" s="76"/>
      <c r="F72" s="76" t="s">
        <v>8</v>
      </c>
      <c r="G72" s="76">
        <v>200.0</v>
      </c>
      <c r="H72" s="76">
        <v>100.0</v>
      </c>
      <c r="I72" s="75">
        <v>46094.0</v>
      </c>
      <c r="J72" s="78">
        <v>10.05</v>
      </c>
      <c r="K72" s="76" t="s">
        <v>101</v>
      </c>
      <c r="L72" s="79" t="b">
        <v>1</v>
      </c>
      <c r="M72" s="80">
        <f t="shared" si="1"/>
        <v>46092.42999</v>
      </c>
      <c r="N72" s="81" t="b">
        <v>1</v>
      </c>
      <c r="O72" s="80">
        <f t="shared" si="2"/>
        <v>46092.44277</v>
      </c>
      <c r="P72" s="76" t="s">
        <v>101</v>
      </c>
      <c r="Q72" s="76" t="s">
        <v>11</v>
      </c>
      <c r="R72" s="76" t="b">
        <v>0</v>
      </c>
      <c r="S72" s="82" t="b">
        <v>0</v>
      </c>
      <c r="T72" s="76">
        <v>108.0</v>
      </c>
      <c r="U72" s="79" t="s">
        <v>96</v>
      </c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>
        <v>46091.0</v>
      </c>
      <c r="B73" s="76" t="s">
        <v>818</v>
      </c>
      <c r="C73" s="77" t="s">
        <v>819</v>
      </c>
      <c r="D73" s="76" t="s">
        <v>23</v>
      </c>
      <c r="E73" s="76"/>
      <c r="F73" s="76" t="s">
        <v>18</v>
      </c>
      <c r="G73" s="76">
        <v>200.0</v>
      </c>
      <c r="H73" s="76">
        <v>200.0</v>
      </c>
      <c r="I73" s="75">
        <v>46092.0</v>
      </c>
      <c r="J73" s="78">
        <v>15.28</v>
      </c>
      <c r="K73" s="76" t="s">
        <v>101</v>
      </c>
      <c r="L73" s="79" t="b">
        <v>1</v>
      </c>
      <c r="M73" s="80">
        <f t="shared" si="1"/>
        <v>46092.38653</v>
      </c>
      <c r="N73" s="81" t="b">
        <v>1</v>
      </c>
      <c r="O73" s="80">
        <f t="shared" si="2"/>
        <v>46092.39368</v>
      </c>
      <c r="P73" s="76" t="s">
        <v>101</v>
      </c>
      <c r="Q73" s="76" t="s">
        <v>11</v>
      </c>
      <c r="R73" s="76" t="b">
        <v>0</v>
      </c>
      <c r="S73" s="82" t="b">
        <v>0</v>
      </c>
      <c r="T73" s="76">
        <v>208.0</v>
      </c>
      <c r="U73" s="79" t="s">
        <v>96</v>
      </c>
      <c r="V73" s="83" t="s">
        <v>160</v>
      </c>
      <c r="W73" s="74"/>
      <c r="X73" s="74"/>
      <c r="Y73" s="74"/>
      <c r="Z73" s="74"/>
      <c r="AA73" s="74"/>
      <c r="AB73" s="74"/>
      <c r="AC73" s="74"/>
      <c r="AD73" s="74"/>
    </row>
    <row r="74">
      <c r="A74" s="75">
        <v>46091.0</v>
      </c>
      <c r="B74" s="76" t="s">
        <v>820</v>
      </c>
      <c r="C74" s="77" t="s">
        <v>821</v>
      </c>
      <c r="D74" s="76" t="s">
        <v>23</v>
      </c>
      <c r="E74" s="76"/>
      <c r="F74" s="76" t="s">
        <v>8</v>
      </c>
      <c r="G74" s="76">
        <v>300.0</v>
      </c>
      <c r="H74" s="76">
        <v>150.0</v>
      </c>
      <c r="I74" s="75">
        <v>46094.0</v>
      </c>
      <c r="J74" s="78">
        <v>15.28</v>
      </c>
      <c r="K74" s="76" t="s">
        <v>101</v>
      </c>
      <c r="L74" s="79" t="b">
        <v>1</v>
      </c>
      <c r="M74" s="80">
        <f t="shared" si="1"/>
        <v>46092.47829</v>
      </c>
      <c r="N74" s="81" t="b">
        <v>1</v>
      </c>
      <c r="O74" s="80">
        <f t="shared" si="2"/>
        <v>46092.48414</v>
      </c>
      <c r="P74" s="76" t="s">
        <v>101</v>
      </c>
      <c r="Q74" s="76" t="s">
        <v>11</v>
      </c>
      <c r="R74" s="76" t="b">
        <v>0</v>
      </c>
      <c r="S74" s="82" t="b">
        <v>0</v>
      </c>
      <c r="T74" s="76">
        <v>156.0</v>
      </c>
      <c r="U74" s="79" t="s">
        <v>96</v>
      </c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>
        <v>46092.0</v>
      </c>
      <c r="B75" s="76" t="s">
        <v>822</v>
      </c>
      <c r="C75" s="77" t="s">
        <v>823</v>
      </c>
      <c r="D75" s="76" t="s">
        <v>23</v>
      </c>
      <c r="E75" s="76"/>
      <c r="F75" s="76" t="s">
        <v>18</v>
      </c>
      <c r="G75" s="76">
        <v>2000.0</v>
      </c>
      <c r="H75" s="76">
        <v>500.0</v>
      </c>
      <c r="I75" s="75">
        <v>46092.0</v>
      </c>
      <c r="J75" s="78">
        <v>10.21</v>
      </c>
      <c r="K75" s="76" t="s">
        <v>101</v>
      </c>
      <c r="L75" s="79" t="b">
        <v>1</v>
      </c>
      <c r="M75" s="80">
        <f t="shared" si="1"/>
        <v>46092.44275</v>
      </c>
      <c r="N75" s="81" t="b">
        <v>1</v>
      </c>
      <c r="O75" s="80">
        <f t="shared" si="2"/>
        <v>46092.46959</v>
      </c>
      <c r="P75" s="76" t="s">
        <v>101</v>
      </c>
      <c r="Q75" s="76" t="s">
        <v>11</v>
      </c>
      <c r="R75" s="76" t="b">
        <v>0</v>
      </c>
      <c r="S75" s="82" t="b">
        <v>0</v>
      </c>
      <c r="T75" s="76">
        <v>508.0</v>
      </c>
      <c r="U75" s="79" t="s">
        <v>96</v>
      </c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>
        <v>46092.0</v>
      </c>
      <c r="B76" s="76" t="s">
        <v>824</v>
      </c>
      <c r="C76" s="77" t="s">
        <v>825</v>
      </c>
      <c r="D76" s="76" t="s">
        <v>34</v>
      </c>
      <c r="E76" s="76"/>
      <c r="F76" s="76" t="s">
        <v>8</v>
      </c>
      <c r="G76" s="76">
        <v>45.0</v>
      </c>
      <c r="H76" s="76">
        <v>45.0</v>
      </c>
      <c r="I76" s="75">
        <v>46095.0</v>
      </c>
      <c r="J76" s="78">
        <v>15.43</v>
      </c>
      <c r="K76" s="76" t="s">
        <v>1</v>
      </c>
      <c r="L76" s="79" t="b">
        <v>1</v>
      </c>
      <c r="M76" s="80">
        <f t="shared" si="1"/>
        <v>46092.66781</v>
      </c>
      <c r="N76" s="81" t="b">
        <v>1</v>
      </c>
      <c r="O76" s="80">
        <f t="shared" si="2"/>
        <v>46092.67107</v>
      </c>
      <c r="P76" s="76" t="s">
        <v>101</v>
      </c>
      <c r="Q76" s="76" t="s">
        <v>38</v>
      </c>
      <c r="R76" s="76" t="b">
        <v>0</v>
      </c>
      <c r="S76" s="82" t="b">
        <v>0</v>
      </c>
      <c r="T76" s="76">
        <v>46.0</v>
      </c>
      <c r="U76" s="79" t="s">
        <v>28</v>
      </c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>
        <v>46093.0</v>
      </c>
      <c r="B77" s="76" t="s">
        <v>826</v>
      </c>
      <c r="C77" s="77" t="s">
        <v>827</v>
      </c>
      <c r="D77" s="76" t="s">
        <v>43</v>
      </c>
      <c r="E77" s="76"/>
      <c r="F77" s="76" t="s">
        <v>8</v>
      </c>
      <c r="G77" s="76">
        <v>15.0</v>
      </c>
      <c r="H77" s="76">
        <v>15.0</v>
      </c>
      <c r="I77" s="75">
        <v>46095.0</v>
      </c>
      <c r="J77" s="78">
        <v>9.19</v>
      </c>
      <c r="K77" s="76" t="s">
        <v>101</v>
      </c>
      <c r="L77" s="79" t="b">
        <v>1</v>
      </c>
      <c r="M77" s="80">
        <f t="shared" si="1"/>
        <v>46093.45941</v>
      </c>
      <c r="N77" s="81" t="b">
        <v>1</v>
      </c>
      <c r="O77" s="80">
        <f t="shared" si="2"/>
        <v>46093.46106</v>
      </c>
      <c r="P77" s="76" t="s">
        <v>101</v>
      </c>
      <c r="Q77" s="76" t="s">
        <v>38</v>
      </c>
      <c r="R77" s="76" t="b">
        <v>0</v>
      </c>
      <c r="S77" s="82" t="b">
        <v>0</v>
      </c>
      <c r="T77" s="76">
        <v>16.0</v>
      </c>
      <c r="U77" s="79" t="s">
        <v>28</v>
      </c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>
        <v>46093.0</v>
      </c>
      <c r="B78" s="76" t="s">
        <v>828</v>
      </c>
      <c r="C78" s="77" t="s">
        <v>829</v>
      </c>
      <c r="D78" s="76" t="s">
        <v>43</v>
      </c>
      <c r="E78" s="76"/>
      <c r="F78" s="76" t="s">
        <v>8</v>
      </c>
      <c r="G78" s="76">
        <v>15.0</v>
      </c>
      <c r="H78" s="76">
        <v>15.0</v>
      </c>
      <c r="I78" s="75">
        <v>46095.0</v>
      </c>
      <c r="J78" s="78">
        <v>9.19</v>
      </c>
      <c r="K78" s="76" t="s">
        <v>101</v>
      </c>
      <c r="L78" s="79" t="b">
        <v>1</v>
      </c>
      <c r="M78" s="80">
        <f t="shared" si="1"/>
        <v>46093.46106</v>
      </c>
      <c r="N78" s="81" t="b">
        <v>1</v>
      </c>
      <c r="O78" s="80">
        <f t="shared" si="2"/>
        <v>46093.46308</v>
      </c>
      <c r="P78" s="76" t="s">
        <v>101</v>
      </c>
      <c r="Q78" s="76" t="s">
        <v>38</v>
      </c>
      <c r="R78" s="76" t="b">
        <v>0</v>
      </c>
      <c r="S78" s="82" t="b">
        <v>0</v>
      </c>
      <c r="T78" s="76">
        <v>16.0</v>
      </c>
      <c r="U78" s="79" t="s">
        <v>28</v>
      </c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>
        <v>46093.0</v>
      </c>
      <c r="B79" s="76" t="s">
        <v>830</v>
      </c>
      <c r="C79" s="77" t="s">
        <v>831</v>
      </c>
      <c r="D79" s="76" t="s">
        <v>23</v>
      </c>
      <c r="E79" s="76"/>
      <c r="F79" s="76" t="s">
        <v>18</v>
      </c>
      <c r="G79" s="76">
        <v>500.0</v>
      </c>
      <c r="H79" s="76">
        <v>125.0</v>
      </c>
      <c r="I79" s="75">
        <v>46093.0</v>
      </c>
      <c r="J79" s="78">
        <v>9.53</v>
      </c>
      <c r="K79" s="76" t="s">
        <v>101</v>
      </c>
      <c r="L79" s="79" t="b">
        <v>1</v>
      </c>
      <c r="M79" s="80">
        <f t="shared" si="1"/>
        <v>46093.42151</v>
      </c>
      <c r="N79" s="81" t="b">
        <v>1</v>
      </c>
      <c r="O79" s="80">
        <f t="shared" si="2"/>
        <v>46093.42448</v>
      </c>
      <c r="P79" s="76" t="s">
        <v>101</v>
      </c>
      <c r="Q79" s="76" t="s">
        <v>11</v>
      </c>
      <c r="R79" s="76" t="b">
        <v>0</v>
      </c>
      <c r="S79" s="82" t="b">
        <v>0</v>
      </c>
      <c r="T79" s="76">
        <v>128.0</v>
      </c>
      <c r="U79" s="79" t="s">
        <v>96</v>
      </c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>
        <v>46093.0</v>
      </c>
      <c r="B80" s="76" t="s">
        <v>832</v>
      </c>
      <c r="C80" s="77" t="s">
        <v>833</v>
      </c>
      <c r="D80" s="76" t="s">
        <v>23</v>
      </c>
      <c r="E80" s="76"/>
      <c r="F80" s="76" t="s">
        <v>18</v>
      </c>
      <c r="G80" s="76">
        <v>500.0</v>
      </c>
      <c r="H80" s="76">
        <v>250.0</v>
      </c>
      <c r="I80" s="75">
        <v>46093.0</v>
      </c>
      <c r="J80" s="78">
        <v>10.11</v>
      </c>
      <c r="K80" s="76" t="s">
        <v>101</v>
      </c>
      <c r="L80" s="79" t="b">
        <v>1</v>
      </c>
      <c r="M80" s="80">
        <f t="shared" si="1"/>
        <v>46093.42626</v>
      </c>
      <c r="N80" s="81" t="b">
        <v>1</v>
      </c>
      <c r="O80" s="80">
        <f t="shared" si="2"/>
        <v>46093.43212</v>
      </c>
      <c r="P80" s="76" t="s">
        <v>101</v>
      </c>
      <c r="Q80" s="76" t="s">
        <v>11</v>
      </c>
      <c r="R80" s="76" t="b">
        <v>0</v>
      </c>
      <c r="S80" s="82" t="b">
        <v>0</v>
      </c>
      <c r="T80" s="76">
        <v>256.0</v>
      </c>
      <c r="U80" s="79" t="s">
        <v>96</v>
      </c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>
        <v>46093.0</v>
      </c>
      <c r="B81" s="76" t="s">
        <v>834</v>
      </c>
      <c r="C81" s="77" t="s">
        <v>835</v>
      </c>
      <c r="D81" s="76" t="s">
        <v>23</v>
      </c>
      <c r="E81" s="76"/>
      <c r="F81" s="76" t="s">
        <v>18</v>
      </c>
      <c r="G81" s="76">
        <v>600.0</v>
      </c>
      <c r="H81" s="76">
        <v>60.0</v>
      </c>
      <c r="I81" s="75">
        <v>46093.0</v>
      </c>
      <c r="J81" s="78">
        <v>10.11</v>
      </c>
      <c r="K81" s="76" t="s">
        <v>101</v>
      </c>
      <c r="L81" s="79" t="b">
        <v>1</v>
      </c>
      <c r="M81" s="80">
        <f t="shared" si="1"/>
        <v>46093.43268</v>
      </c>
      <c r="N81" s="81" t="b">
        <v>1</v>
      </c>
      <c r="O81" s="80">
        <f t="shared" si="2"/>
        <v>46093.43445</v>
      </c>
      <c r="P81" s="76" t="s">
        <v>101</v>
      </c>
      <c r="Q81" s="76" t="s">
        <v>11</v>
      </c>
      <c r="R81" s="76" t="b">
        <v>0</v>
      </c>
      <c r="S81" s="82" t="b">
        <v>0</v>
      </c>
      <c r="T81" s="76">
        <v>64.0</v>
      </c>
      <c r="U81" s="79" t="s">
        <v>96</v>
      </c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>
        <v>46093.0</v>
      </c>
      <c r="B82" s="76" t="s">
        <v>836</v>
      </c>
      <c r="C82" s="77" t="s">
        <v>837</v>
      </c>
      <c r="D82" s="76" t="s">
        <v>23</v>
      </c>
      <c r="E82" s="76"/>
      <c r="F82" s="76" t="s">
        <v>8</v>
      </c>
      <c r="G82" s="76">
        <v>2000.0</v>
      </c>
      <c r="H82" s="76">
        <v>500.0</v>
      </c>
      <c r="I82" s="75">
        <v>46094.0</v>
      </c>
      <c r="J82" s="78">
        <v>15.53</v>
      </c>
      <c r="K82" s="76" t="s">
        <v>101</v>
      </c>
      <c r="L82" s="79" t="b">
        <v>1</v>
      </c>
      <c r="M82" s="80">
        <f t="shared" si="1"/>
        <v>46093.66546</v>
      </c>
      <c r="N82" s="81" t="b">
        <v>1</v>
      </c>
      <c r="O82" s="80">
        <f t="shared" si="2"/>
        <v>46093.6808</v>
      </c>
      <c r="P82" s="76" t="s">
        <v>101</v>
      </c>
      <c r="Q82" s="76" t="s">
        <v>11</v>
      </c>
      <c r="R82" s="76" t="b">
        <v>0</v>
      </c>
      <c r="S82" s="82" t="b">
        <v>0</v>
      </c>
      <c r="T82" s="76">
        <v>508.0</v>
      </c>
      <c r="U82" s="79" t="s">
        <v>96</v>
      </c>
      <c r="V82" s="83" t="s">
        <v>160</v>
      </c>
      <c r="W82" s="74"/>
      <c r="X82" s="74"/>
      <c r="Y82" s="74"/>
      <c r="Z82" s="74"/>
      <c r="AA82" s="74"/>
      <c r="AB82" s="74"/>
      <c r="AC82" s="74"/>
      <c r="AD82" s="74"/>
    </row>
    <row r="83">
      <c r="A83" s="75">
        <v>46093.0</v>
      </c>
      <c r="B83" s="76" t="s">
        <v>838</v>
      </c>
      <c r="C83" s="77" t="s">
        <v>839</v>
      </c>
      <c r="D83" s="76" t="s">
        <v>23</v>
      </c>
      <c r="E83" s="76"/>
      <c r="F83" s="76" t="s">
        <v>8</v>
      </c>
      <c r="G83" s="76">
        <v>100.0</v>
      </c>
      <c r="H83" s="76">
        <v>50.0</v>
      </c>
      <c r="I83" s="75">
        <v>46097.0</v>
      </c>
      <c r="J83" s="78">
        <v>17.19</v>
      </c>
      <c r="K83" s="76" t="s">
        <v>101</v>
      </c>
      <c r="L83" s="79" t="b">
        <v>1</v>
      </c>
      <c r="M83" s="80">
        <f t="shared" si="1"/>
        <v>46094.392</v>
      </c>
      <c r="N83" s="79" t="b">
        <v>1</v>
      </c>
      <c r="O83" s="80">
        <f t="shared" si="2"/>
        <v>46094.39901</v>
      </c>
      <c r="P83" s="76" t="s">
        <v>101</v>
      </c>
      <c r="Q83" s="76" t="s">
        <v>11</v>
      </c>
      <c r="R83" s="76" t="b">
        <v>0</v>
      </c>
      <c r="S83" s="82" t="b">
        <v>0</v>
      </c>
      <c r="T83" s="76">
        <v>60.0</v>
      </c>
      <c r="U83" s="79" t="s">
        <v>96</v>
      </c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>
        <v>46093.0</v>
      </c>
      <c r="B84" s="76" t="s">
        <v>840</v>
      </c>
      <c r="C84" s="77" t="s">
        <v>841</v>
      </c>
      <c r="D84" s="76" t="s">
        <v>13</v>
      </c>
      <c r="E84" s="76"/>
      <c r="F84" s="76" t="s">
        <v>8</v>
      </c>
      <c r="G84" s="76">
        <v>250.0</v>
      </c>
      <c r="H84" s="76">
        <v>32.0</v>
      </c>
      <c r="I84" s="75">
        <v>46100.0</v>
      </c>
      <c r="J84" s="78">
        <v>17.19</v>
      </c>
      <c r="K84" s="76" t="s">
        <v>101</v>
      </c>
      <c r="L84" s="79" t="b">
        <v>1</v>
      </c>
      <c r="M84" s="80">
        <f t="shared" si="1"/>
        <v>46095.59054</v>
      </c>
      <c r="N84" s="79" t="b">
        <v>1</v>
      </c>
      <c r="O84" s="80">
        <f t="shared" si="2"/>
        <v>46095.60392</v>
      </c>
      <c r="P84" s="76" t="s">
        <v>101</v>
      </c>
      <c r="Q84" s="76" t="s">
        <v>11</v>
      </c>
      <c r="R84" s="76" t="b">
        <v>0</v>
      </c>
      <c r="S84" s="82" t="b">
        <v>0</v>
      </c>
      <c r="T84" s="76">
        <v>32.0</v>
      </c>
      <c r="U84" s="79" t="s">
        <v>96</v>
      </c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>
        <v>46094.0</v>
      </c>
      <c r="B85" s="76" t="s">
        <v>842</v>
      </c>
      <c r="C85" s="77" t="s">
        <v>843</v>
      </c>
      <c r="D85" s="76" t="s">
        <v>50</v>
      </c>
      <c r="E85" s="76"/>
      <c r="F85" s="76" t="s">
        <v>8</v>
      </c>
      <c r="G85" s="76">
        <v>3027.0</v>
      </c>
      <c r="H85" s="76">
        <v>127.0</v>
      </c>
      <c r="I85" s="75">
        <v>46097.0</v>
      </c>
      <c r="J85" s="78">
        <v>9.18</v>
      </c>
      <c r="K85" s="76" t="s">
        <v>101</v>
      </c>
      <c r="L85" s="79" t="b">
        <v>1</v>
      </c>
      <c r="M85" s="80">
        <f t="shared" si="1"/>
        <v>46094.45819</v>
      </c>
      <c r="N85" s="79" t="b">
        <v>1</v>
      </c>
      <c r="O85" s="80">
        <f t="shared" si="2"/>
        <v>46094.46609</v>
      </c>
      <c r="P85" s="76" t="s">
        <v>101</v>
      </c>
      <c r="Q85" s="76" t="s">
        <v>38</v>
      </c>
      <c r="R85" s="76" t="b">
        <v>0</v>
      </c>
      <c r="S85" s="82" t="b">
        <v>0</v>
      </c>
      <c r="T85" s="76">
        <v>128.0</v>
      </c>
      <c r="U85" s="79" t="s">
        <v>28</v>
      </c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>
        <v>46094.0</v>
      </c>
      <c r="B86" s="76" t="s">
        <v>844</v>
      </c>
      <c r="C86" s="77" t="s">
        <v>845</v>
      </c>
      <c r="D86" s="76" t="s">
        <v>34</v>
      </c>
      <c r="E86" s="76"/>
      <c r="F86" s="76" t="s">
        <v>8</v>
      </c>
      <c r="G86" s="76">
        <v>12.0</v>
      </c>
      <c r="H86" s="76">
        <v>12.0</v>
      </c>
      <c r="I86" s="75">
        <v>46097.0</v>
      </c>
      <c r="J86" s="78">
        <v>9.18</v>
      </c>
      <c r="K86" s="76" t="s">
        <v>101</v>
      </c>
      <c r="L86" s="79" t="b">
        <v>1</v>
      </c>
      <c r="M86" s="80">
        <f t="shared" si="1"/>
        <v>46094.58109</v>
      </c>
      <c r="N86" s="79" t="b">
        <v>1</v>
      </c>
      <c r="O86" s="80">
        <f t="shared" si="2"/>
        <v>46094.58222</v>
      </c>
      <c r="P86" s="76" t="s">
        <v>101</v>
      </c>
      <c r="Q86" s="76" t="s">
        <v>38</v>
      </c>
      <c r="R86" s="76" t="b">
        <v>0</v>
      </c>
      <c r="S86" s="82" t="b">
        <v>0</v>
      </c>
      <c r="T86" s="76">
        <v>13.0</v>
      </c>
      <c r="U86" s="79" t="s">
        <v>28</v>
      </c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>
        <v>46094.0</v>
      </c>
      <c r="B87" s="76" t="s">
        <v>846</v>
      </c>
      <c r="C87" s="77" t="s">
        <v>847</v>
      </c>
      <c r="D87" s="76" t="s">
        <v>31</v>
      </c>
      <c r="E87" s="76"/>
      <c r="F87" s="76" t="s">
        <v>8</v>
      </c>
      <c r="G87" s="76">
        <v>200.0</v>
      </c>
      <c r="H87" s="76">
        <v>50.0</v>
      </c>
      <c r="I87" s="75">
        <v>46098.0</v>
      </c>
      <c r="J87" s="78">
        <v>10.01</v>
      </c>
      <c r="K87" s="76" t="s">
        <v>101</v>
      </c>
      <c r="L87" s="79" t="b">
        <v>1</v>
      </c>
      <c r="M87" s="80">
        <f t="shared" si="1"/>
        <v>46094.60289</v>
      </c>
      <c r="N87" s="79" t="b">
        <v>1</v>
      </c>
      <c r="O87" s="80">
        <f t="shared" si="2"/>
        <v>46094.60552</v>
      </c>
      <c r="P87" s="76" t="s">
        <v>101</v>
      </c>
      <c r="Q87" s="76" t="s">
        <v>11</v>
      </c>
      <c r="R87" s="76" t="b">
        <v>0</v>
      </c>
      <c r="S87" s="82" t="b">
        <v>0</v>
      </c>
      <c r="T87" s="76">
        <v>60.0</v>
      </c>
      <c r="U87" s="79" t="s">
        <v>96</v>
      </c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>
        <v>46094.0</v>
      </c>
      <c r="B88" s="76" t="s">
        <v>848</v>
      </c>
      <c r="C88" s="77" t="s">
        <v>849</v>
      </c>
      <c r="D88" s="76" t="s">
        <v>60</v>
      </c>
      <c r="E88" s="76"/>
      <c r="F88" s="76" t="s">
        <v>27</v>
      </c>
      <c r="G88" s="76">
        <v>200.0</v>
      </c>
      <c r="H88" s="76">
        <v>10.0</v>
      </c>
      <c r="I88" s="75">
        <v>46095.0</v>
      </c>
      <c r="J88" s="78">
        <v>10.19</v>
      </c>
      <c r="K88" s="76" t="s">
        <v>101</v>
      </c>
      <c r="L88" s="79" t="b">
        <v>1</v>
      </c>
      <c r="M88" s="80">
        <f t="shared" si="1"/>
        <v>46094.45092</v>
      </c>
      <c r="N88" s="79" t="b">
        <v>1</v>
      </c>
      <c r="O88" s="80">
        <f t="shared" si="2"/>
        <v>46094.45297</v>
      </c>
      <c r="P88" s="76" t="s">
        <v>101</v>
      </c>
      <c r="Q88" s="76" t="s">
        <v>11</v>
      </c>
      <c r="R88" s="76" t="b">
        <v>0</v>
      </c>
      <c r="S88" s="82" t="b">
        <v>0</v>
      </c>
      <c r="T88" s="76">
        <v>20.0</v>
      </c>
      <c r="U88" s="79" t="s">
        <v>96</v>
      </c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>
        <v>46094.0</v>
      </c>
      <c r="B89" s="76" t="s">
        <v>850</v>
      </c>
      <c r="C89" s="77" t="s">
        <v>851</v>
      </c>
      <c r="D89" s="76" t="s">
        <v>23</v>
      </c>
      <c r="E89" s="76"/>
      <c r="F89" s="76" t="s">
        <v>18</v>
      </c>
      <c r="G89" s="76">
        <v>1000.0</v>
      </c>
      <c r="H89" s="76">
        <v>500.0</v>
      </c>
      <c r="I89" s="75">
        <v>46094.0</v>
      </c>
      <c r="J89" s="78">
        <v>11.18</v>
      </c>
      <c r="K89" s="76" t="s">
        <v>101</v>
      </c>
      <c r="L89" s="79" t="b">
        <v>1</v>
      </c>
      <c r="M89" s="80">
        <f t="shared" si="1"/>
        <v>46094.54243</v>
      </c>
      <c r="N89" s="79" t="b">
        <v>1</v>
      </c>
      <c r="O89" s="80">
        <f t="shared" si="2"/>
        <v>46094.55623</v>
      </c>
      <c r="P89" s="76" t="s">
        <v>101</v>
      </c>
      <c r="Q89" s="76" t="s">
        <v>11</v>
      </c>
      <c r="R89" s="76" t="b">
        <v>0</v>
      </c>
      <c r="S89" s="82" t="b">
        <v>0</v>
      </c>
      <c r="T89" s="76">
        <v>508.0</v>
      </c>
      <c r="U89" s="79" t="s">
        <v>96</v>
      </c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>
        <v>46094.0</v>
      </c>
      <c r="B90" s="76" t="s">
        <v>852</v>
      </c>
      <c r="C90" s="77" t="s">
        <v>853</v>
      </c>
      <c r="D90" s="76" t="s">
        <v>23</v>
      </c>
      <c r="E90" s="76"/>
      <c r="F90" s="76" t="s">
        <v>18</v>
      </c>
      <c r="G90" s="76">
        <v>1000.0</v>
      </c>
      <c r="H90" s="76">
        <v>250.0</v>
      </c>
      <c r="I90" s="75">
        <v>46094.0</v>
      </c>
      <c r="J90" s="78">
        <v>11.18</v>
      </c>
      <c r="K90" s="76" t="s">
        <v>101</v>
      </c>
      <c r="L90" s="79" t="b">
        <v>1</v>
      </c>
      <c r="M90" s="80">
        <f t="shared" si="1"/>
        <v>46094.55746</v>
      </c>
      <c r="N90" s="79" t="b">
        <v>1</v>
      </c>
      <c r="O90" s="80">
        <f t="shared" si="2"/>
        <v>46094.57084</v>
      </c>
      <c r="P90" s="76" t="s">
        <v>101</v>
      </c>
      <c r="Q90" s="76" t="s">
        <v>11</v>
      </c>
      <c r="R90" s="76" t="b">
        <v>0</v>
      </c>
      <c r="S90" s="82" t="b">
        <v>0</v>
      </c>
      <c r="T90" s="76">
        <v>256.0</v>
      </c>
      <c r="U90" s="79" t="s">
        <v>96</v>
      </c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>
        <v>46094.0</v>
      </c>
      <c r="B91" s="76" t="s">
        <v>854</v>
      </c>
      <c r="C91" s="77" t="s">
        <v>855</v>
      </c>
      <c r="D91" s="76" t="s">
        <v>23</v>
      </c>
      <c r="E91" s="76"/>
      <c r="F91" s="76" t="s">
        <v>18</v>
      </c>
      <c r="G91" s="76">
        <v>200.0</v>
      </c>
      <c r="H91" s="76">
        <v>34.0</v>
      </c>
      <c r="I91" s="75">
        <v>46094.0</v>
      </c>
      <c r="J91" s="78">
        <v>13.35</v>
      </c>
      <c r="K91" s="76" t="s">
        <v>101</v>
      </c>
      <c r="L91" s="79" t="b">
        <v>1</v>
      </c>
      <c r="M91" s="80">
        <f t="shared" si="1"/>
        <v>46094.57506</v>
      </c>
      <c r="N91" s="79" t="b">
        <v>1</v>
      </c>
      <c r="O91" s="80">
        <f t="shared" si="2"/>
        <v>46094.57612</v>
      </c>
      <c r="P91" s="76" t="s">
        <v>101</v>
      </c>
      <c r="Q91" s="76" t="s">
        <v>11</v>
      </c>
      <c r="R91" s="76" t="b">
        <v>0</v>
      </c>
      <c r="S91" s="82" t="b">
        <v>0</v>
      </c>
      <c r="T91" s="76">
        <v>40.0</v>
      </c>
      <c r="U91" s="79" t="s">
        <v>96</v>
      </c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>
        <v>46094.0</v>
      </c>
      <c r="B92" s="76" t="s">
        <v>856</v>
      </c>
      <c r="C92" s="77" t="s">
        <v>857</v>
      </c>
      <c r="D92" s="76" t="s">
        <v>60</v>
      </c>
      <c r="E92" s="76"/>
      <c r="F92" s="76" t="s">
        <v>27</v>
      </c>
      <c r="G92" s="76">
        <v>100.0</v>
      </c>
      <c r="H92" s="76">
        <v>5.0</v>
      </c>
      <c r="I92" s="75">
        <v>46097.0</v>
      </c>
      <c r="J92" s="78">
        <v>14.04</v>
      </c>
      <c r="K92" s="76" t="s">
        <v>101</v>
      </c>
      <c r="L92" s="79" t="b">
        <v>1</v>
      </c>
      <c r="M92" s="80">
        <f t="shared" si="1"/>
        <v>46094.65715</v>
      </c>
      <c r="N92" s="79" t="b">
        <v>1</v>
      </c>
      <c r="O92" s="80">
        <f t="shared" si="2"/>
        <v>46094.65763</v>
      </c>
      <c r="P92" s="76" t="s">
        <v>101</v>
      </c>
      <c r="Q92" s="76" t="s">
        <v>11</v>
      </c>
      <c r="R92" s="76" t="b">
        <v>0</v>
      </c>
      <c r="S92" s="82" t="b">
        <v>0</v>
      </c>
      <c r="T92" s="76">
        <v>12.0</v>
      </c>
      <c r="U92" s="79" t="s">
        <v>96</v>
      </c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>
        <v>46094.0</v>
      </c>
      <c r="B93" s="76" t="s">
        <v>858</v>
      </c>
      <c r="C93" s="77" t="s">
        <v>859</v>
      </c>
      <c r="D93" s="76" t="s">
        <v>60</v>
      </c>
      <c r="E93" s="76"/>
      <c r="F93" s="76" t="s">
        <v>27</v>
      </c>
      <c r="G93" s="76">
        <v>100.0</v>
      </c>
      <c r="H93" s="76">
        <v>5.0</v>
      </c>
      <c r="I93" s="75">
        <v>46097.0</v>
      </c>
      <c r="J93" s="78">
        <v>14.04</v>
      </c>
      <c r="K93" s="76" t="s">
        <v>101</v>
      </c>
      <c r="L93" s="79" t="b">
        <v>1</v>
      </c>
      <c r="M93" s="80">
        <f t="shared" si="1"/>
        <v>46094.65764</v>
      </c>
      <c r="N93" s="79" t="b">
        <v>1</v>
      </c>
      <c r="O93" s="80">
        <f t="shared" si="2"/>
        <v>46094.66005</v>
      </c>
      <c r="P93" s="76" t="s">
        <v>101</v>
      </c>
      <c r="Q93" s="76" t="s">
        <v>11</v>
      </c>
      <c r="R93" s="76" t="b">
        <v>0</v>
      </c>
      <c r="S93" s="82" t="b">
        <v>0</v>
      </c>
      <c r="T93" s="76">
        <v>12.0</v>
      </c>
      <c r="U93" s="79" t="s">
        <v>96</v>
      </c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>
        <v>46094.0</v>
      </c>
      <c r="B94" s="76" t="s">
        <v>860</v>
      </c>
      <c r="C94" s="77" t="s">
        <v>861</v>
      </c>
      <c r="D94" s="76" t="s">
        <v>41</v>
      </c>
      <c r="E94" s="76"/>
      <c r="F94" s="76" t="s">
        <v>8</v>
      </c>
      <c r="G94" s="76">
        <v>120.0</v>
      </c>
      <c r="H94" s="76">
        <v>60.0</v>
      </c>
      <c r="I94" s="75">
        <v>46098.0</v>
      </c>
      <c r="J94" s="78">
        <v>15.5</v>
      </c>
      <c r="K94" s="76" t="s">
        <v>101</v>
      </c>
      <c r="L94" s="79" t="b">
        <v>1</v>
      </c>
      <c r="M94" s="80">
        <f t="shared" si="1"/>
        <v>46095.38769</v>
      </c>
      <c r="N94" s="79" t="b">
        <v>1</v>
      </c>
      <c r="O94" s="80">
        <f t="shared" si="2"/>
        <v>46095.39812</v>
      </c>
      <c r="P94" s="76" t="s">
        <v>101</v>
      </c>
      <c r="Q94" s="76" t="s">
        <v>11</v>
      </c>
      <c r="R94" s="76" t="b">
        <v>0</v>
      </c>
      <c r="S94" s="82" t="b">
        <v>0</v>
      </c>
      <c r="T94" s="76">
        <v>64.0</v>
      </c>
      <c r="U94" s="79" t="s">
        <v>96</v>
      </c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>
        <v>46095.0</v>
      </c>
      <c r="B95" s="76" t="s">
        <v>862</v>
      </c>
      <c r="C95" s="77" t="s">
        <v>863</v>
      </c>
      <c r="D95" s="76" t="s">
        <v>43</v>
      </c>
      <c r="E95" s="76"/>
      <c r="F95" s="76" t="s">
        <v>8</v>
      </c>
      <c r="G95" s="76">
        <v>24.0</v>
      </c>
      <c r="H95" s="76">
        <v>250.0</v>
      </c>
      <c r="I95" s="75">
        <v>46101.0</v>
      </c>
      <c r="J95" s="78">
        <v>10.22</v>
      </c>
      <c r="K95" s="76" t="s">
        <v>101</v>
      </c>
      <c r="L95" s="79" t="b">
        <v>1</v>
      </c>
      <c r="M95" s="80">
        <f t="shared" si="1"/>
        <v>46097.39789</v>
      </c>
      <c r="N95" s="79" t="b">
        <v>1</v>
      </c>
      <c r="O95" s="80">
        <f t="shared" si="2"/>
        <v>46097.40946</v>
      </c>
      <c r="P95" s="76" t="s">
        <v>101</v>
      </c>
      <c r="Q95" s="76" t="s">
        <v>38</v>
      </c>
      <c r="R95" s="76" t="b">
        <v>0</v>
      </c>
      <c r="S95" s="82" t="b">
        <v>0</v>
      </c>
      <c r="T95" s="76">
        <v>251.0</v>
      </c>
      <c r="U95" s="79" t="s">
        <v>96</v>
      </c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>
        <v>46095.0</v>
      </c>
      <c r="B96" s="76" t="s">
        <v>864</v>
      </c>
      <c r="C96" s="77" t="s">
        <v>865</v>
      </c>
      <c r="D96" s="76" t="s">
        <v>16</v>
      </c>
      <c r="E96" s="76"/>
      <c r="F96" s="76" t="s">
        <v>27</v>
      </c>
      <c r="G96" s="76">
        <v>100.0</v>
      </c>
      <c r="H96" s="76">
        <v>5.0</v>
      </c>
      <c r="I96" s="75">
        <v>46097.0</v>
      </c>
      <c r="J96" s="78">
        <v>10.22</v>
      </c>
      <c r="K96" s="76" t="s">
        <v>101</v>
      </c>
      <c r="L96" s="79" t="b">
        <v>1</v>
      </c>
      <c r="M96" s="80">
        <f t="shared" si="1"/>
        <v>46095.6086</v>
      </c>
      <c r="N96" s="79" t="b">
        <v>1</v>
      </c>
      <c r="O96" s="80">
        <f t="shared" si="2"/>
        <v>46095.61158</v>
      </c>
      <c r="P96" s="76" t="s">
        <v>101</v>
      </c>
      <c r="Q96" s="76" t="s">
        <v>11</v>
      </c>
      <c r="R96" s="76" t="b">
        <v>0</v>
      </c>
      <c r="S96" s="82" t="b">
        <v>0</v>
      </c>
      <c r="T96" s="76">
        <v>12.0</v>
      </c>
      <c r="U96" s="79" t="s">
        <v>96</v>
      </c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>
        <v>46095.0</v>
      </c>
      <c r="B97" s="76" t="s">
        <v>866</v>
      </c>
      <c r="C97" s="77" t="s">
        <v>867</v>
      </c>
      <c r="D97" s="76" t="s">
        <v>60</v>
      </c>
      <c r="E97" s="76"/>
      <c r="F97" s="76" t="s">
        <v>8</v>
      </c>
      <c r="G97" s="76">
        <v>100.0</v>
      </c>
      <c r="H97" s="76">
        <v>5.0</v>
      </c>
      <c r="I97" s="75">
        <v>46099.0</v>
      </c>
      <c r="J97" s="78">
        <v>10.22</v>
      </c>
      <c r="K97" s="76" t="s">
        <v>101</v>
      </c>
      <c r="L97" s="79" t="b">
        <v>1</v>
      </c>
      <c r="M97" s="80">
        <f t="shared" si="1"/>
        <v>46095.6169</v>
      </c>
      <c r="N97" s="79" t="b">
        <v>1</v>
      </c>
      <c r="O97" s="80">
        <f t="shared" si="2"/>
        <v>46095.62269</v>
      </c>
      <c r="P97" s="76" t="s">
        <v>101</v>
      </c>
      <c r="Q97" s="76" t="s">
        <v>11</v>
      </c>
      <c r="R97" s="76" t="b">
        <v>0</v>
      </c>
      <c r="S97" s="82" t="b">
        <v>0</v>
      </c>
      <c r="T97" s="76">
        <v>12.0</v>
      </c>
      <c r="U97" s="79" t="s">
        <v>96</v>
      </c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>
        <v>46095.0</v>
      </c>
      <c r="B98" s="76" t="s">
        <v>868</v>
      </c>
      <c r="C98" s="77" t="s">
        <v>869</v>
      </c>
      <c r="D98" s="76" t="s">
        <v>23</v>
      </c>
      <c r="E98" s="76"/>
      <c r="F98" s="76" t="s">
        <v>8</v>
      </c>
      <c r="G98" s="76">
        <v>100.0</v>
      </c>
      <c r="H98" s="76">
        <v>13.0</v>
      </c>
      <c r="I98" s="75">
        <v>46100.0</v>
      </c>
      <c r="J98" s="78">
        <v>11.08</v>
      </c>
      <c r="K98" s="76" t="s">
        <v>101</v>
      </c>
      <c r="L98" s="79" t="b">
        <v>1</v>
      </c>
      <c r="M98" s="80">
        <f t="shared" si="1"/>
        <v>46095.63161</v>
      </c>
      <c r="N98" s="79" t="b">
        <v>1</v>
      </c>
      <c r="O98" s="80">
        <f t="shared" si="2"/>
        <v>46095.63275</v>
      </c>
      <c r="P98" s="76" t="s">
        <v>101</v>
      </c>
      <c r="Q98" s="76" t="s">
        <v>11</v>
      </c>
      <c r="R98" s="76" t="b">
        <v>0</v>
      </c>
      <c r="S98" s="82" t="b">
        <v>0</v>
      </c>
      <c r="T98" s="76">
        <v>16.0</v>
      </c>
      <c r="U98" s="79" t="s">
        <v>96</v>
      </c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>
        <v>46095.0</v>
      </c>
      <c r="B99" s="76" t="s">
        <v>870</v>
      </c>
      <c r="C99" s="77" t="s">
        <v>871</v>
      </c>
      <c r="D99" s="76" t="s">
        <v>23</v>
      </c>
      <c r="E99" s="76"/>
      <c r="F99" s="76" t="s">
        <v>8</v>
      </c>
      <c r="G99" s="76">
        <v>100.0</v>
      </c>
      <c r="H99" s="76">
        <v>25.0</v>
      </c>
      <c r="I99" s="75">
        <v>46100.0</v>
      </c>
      <c r="J99" s="78">
        <v>11.08</v>
      </c>
      <c r="K99" s="76" t="s">
        <v>101</v>
      </c>
      <c r="L99" s="79" t="b">
        <v>1</v>
      </c>
      <c r="M99" s="80">
        <f t="shared" si="1"/>
        <v>46095.63277</v>
      </c>
      <c r="N99" s="79" t="b">
        <v>1</v>
      </c>
      <c r="O99" s="80">
        <f t="shared" si="2"/>
        <v>46095.63459</v>
      </c>
      <c r="P99" s="76" t="s">
        <v>101</v>
      </c>
      <c r="Q99" s="76" t="s">
        <v>11</v>
      </c>
      <c r="R99" s="76" t="b">
        <v>0</v>
      </c>
      <c r="S99" s="82" t="b">
        <v>0</v>
      </c>
      <c r="T99" s="76">
        <v>28.0</v>
      </c>
      <c r="U99" s="79" t="s">
        <v>96</v>
      </c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>
        <v>46095.0</v>
      </c>
      <c r="B100" s="76" t="s">
        <v>872</v>
      </c>
      <c r="C100" s="77" t="s">
        <v>873</v>
      </c>
      <c r="D100" s="76" t="s">
        <v>23</v>
      </c>
      <c r="E100" s="76"/>
      <c r="F100" s="76" t="s">
        <v>8</v>
      </c>
      <c r="G100" s="76">
        <v>100.0</v>
      </c>
      <c r="H100" s="76">
        <v>25.0</v>
      </c>
      <c r="I100" s="75">
        <v>46100.0</v>
      </c>
      <c r="J100" s="78">
        <v>11.08</v>
      </c>
      <c r="K100" s="76" t="s">
        <v>101</v>
      </c>
      <c r="L100" s="79" t="b">
        <v>1</v>
      </c>
      <c r="M100" s="80">
        <f t="shared" si="1"/>
        <v>46095.6346</v>
      </c>
      <c r="N100" s="79" t="b">
        <v>1</v>
      </c>
      <c r="O100" s="80">
        <f t="shared" si="2"/>
        <v>46095.63615</v>
      </c>
      <c r="P100" s="76" t="s">
        <v>101</v>
      </c>
      <c r="Q100" s="76" t="s">
        <v>11</v>
      </c>
      <c r="R100" s="76" t="b">
        <v>0</v>
      </c>
      <c r="S100" s="82" t="b">
        <v>0</v>
      </c>
      <c r="T100" s="76">
        <v>28.0</v>
      </c>
      <c r="U100" s="79" t="s">
        <v>96</v>
      </c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>
        <v>46095.0</v>
      </c>
      <c r="B101" s="76" t="s">
        <v>874</v>
      </c>
      <c r="C101" s="77" t="s">
        <v>875</v>
      </c>
      <c r="D101" s="76" t="s">
        <v>23</v>
      </c>
      <c r="E101" s="76"/>
      <c r="F101" s="76" t="s">
        <v>8</v>
      </c>
      <c r="G101" s="76">
        <v>150.0</v>
      </c>
      <c r="H101" s="76">
        <v>150.0</v>
      </c>
      <c r="I101" s="75">
        <v>46104.0</v>
      </c>
      <c r="J101" s="78">
        <v>11.08</v>
      </c>
      <c r="K101" s="76" t="s">
        <v>101</v>
      </c>
      <c r="L101" s="79" t="b">
        <v>1</v>
      </c>
      <c r="M101" s="80">
        <f t="shared" si="1"/>
        <v>46099.43994</v>
      </c>
      <c r="N101" s="79" t="b">
        <v>1</v>
      </c>
      <c r="O101" s="80">
        <f t="shared" si="2"/>
        <v>46099.51271</v>
      </c>
      <c r="P101" s="76" t="s">
        <v>101</v>
      </c>
      <c r="Q101" s="76" t="s">
        <v>11</v>
      </c>
      <c r="R101" s="76" t="b">
        <v>0</v>
      </c>
      <c r="S101" s="82" t="b">
        <v>0</v>
      </c>
      <c r="T101" s="76">
        <v>160.0</v>
      </c>
      <c r="U101" s="79" t="s">
        <v>96</v>
      </c>
      <c r="V101" s="83" t="s">
        <v>458</v>
      </c>
      <c r="W101" s="118"/>
      <c r="X101" s="74"/>
      <c r="Y101" s="74"/>
      <c r="Z101" s="74"/>
      <c r="AA101" s="74"/>
      <c r="AB101" s="74"/>
      <c r="AC101" s="74"/>
      <c r="AD101" s="74"/>
    </row>
    <row r="102">
      <c r="A102" s="75">
        <v>46095.0</v>
      </c>
      <c r="B102" s="76" t="s">
        <v>876</v>
      </c>
      <c r="C102" s="77" t="s">
        <v>877</v>
      </c>
      <c r="D102" s="76" t="s">
        <v>23</v>
      </c>
      <c r="E102" s="76"/>
      <c r="F102" s="76" t="s">
        <v>8</v>
      </c>
      <c r="G102" s="76">
        <v>150.0</v>
      </c>
      <c r="H102" s="76">
        <v>150.0</v>
      </c>
      <c r="I102" s="75">
        <v>46104.0</v>
      </c>
      <c r="J102" s="78">
        <v>11.08</v>
      </c>
      <c r="K102" s="76" t="s">
        <v>101</v>
      </c>
      <c r="L102" s="79" t="b">
        <v>1</v>
      </c>
      <c r="M102" s="80">
        <f t="shared" si="1"/>
        <v>46104.65001</v>
      </c>
      <c r="N102" s="79" t="b">
        <v>1</v>
      </c>
      <c r="O102" s="80">
        <f t="shared" si="2"/>
        <v>46104.65002</v>
      </c>
      <c r="P102" s="76"/>
      <c r="Q102" s="76" t="s">
        <v>11</v>
      </c>
      <c r="R102" s="76" t="b">
        <v>0</v>
      </c>
      <c r="S102" s="82" t="b">
        <v>0</v>
      </c>
      <c r="T102" s="76">
        <v>160.0</v>
      </c>
      <c r="U102" s="79" t="s">
        <v>96</v>
      </c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>
        <v>46095.0</v>
      </c>
      <c r="B103" s="76" t="s">
        <v>878</v>
      </c>
      <c r="C103" s="77" t="s">
        <v>879</v>
      </c>
      <c r="D103" s="76" t="s">
        <v>23</v>
      </c>
      <c r="E103" s="76"/>
      <c r="F103" s="76" t="s">
        <v>8</v>
      </c>
      <c r="G103" s="76">
        <v>150.0</v>
      </c>
      <c r="H103" s="76">
        <v>150.0</v>
      </c>
      <c r="I103" s="75">
        <v>46104.0</v>
      </c>
      <c r="J103" s="78">
        <v>11.08</v>
      </c>
      <c r="K103" s="76" t="s">
        <v>101</v>
      </c>
      <c r="L103" s="79" t="b">
        <v>1</v>
      </c>
      <c r="M103" s="80">
        <f t="shared" si="1"/>
        <v>46104.65776</v>
      </c>
      <c r="N103" s="79" t="b">
        <v>1</v>
      </c>
      <c r="O103" s="80">
        <f t="shared" si="2"/>
        <v>46104.72461</v>
      </c>
      <c r="P103" s="76" t="s">
        <v>101</v>
      </c>
      <c r="Q103" s="76" t="s">
        <v>11</v>
      </c>
      <c r="R103" s="76" t="b">
        <v>0</v>
      </c>
      <c r="S103" s="82" t="b">
        <v>0</v>
      </c>
      <c r="T103" s="76">
        <v>160.0</v>
      </c>
      <c r="U103" s="79" t="s">
        <v>96</v>
      </c>
      <c r="V103" s="83" t="s">
        <v>160</v>
      </c>
      <c r="W103" s="74"/>
      <c r="X103" s="74"/>
      <c r="Y103" s="74"/>
      <c r="Z103" s="74"/>
      <c r="AA103" s="74"/>
      <c r="AB103" s="74"/>
      <c r="AC103" s="74"/>
      <c r="AD103" s="74"/>
    </row>
    <row r="104">
      <c r="A104" s="75">
        <v>46095.0</v>
      </c>
      <c r="B104" s="76" t="s">
        <v>880</v>
      </c>
      <c r="C104" s="77" t="s">
        <v>881</v>
      </c>
      <c r="D104" s="76" t="s">
        <v>23</v>
      </c>
      <c r="E104" s="76"/>
      <c r="F104" s="76" t="s">
        <v>8</v>
      </c>
      <c r="G104" s="76">
        <v>300.0</v>
      </c>
      <c r="H104" s="76">
        <v>75.0</v>
      </c>
      <c r="I104" s="75">
        <v>46099.0</v>
      </c>
      <c r="J104" s="78">
        <v>14.43</v>
      </c>
      <c r="K104" s="76" t="s">
        <v>101</v>
      </c>
      <c r="L104" s="79" t="b">
        <v>1</v>
      </c>
      <c r="M104" s="80">
        <f t="shared" si="1"/>
        <v>46095.62789</v>
      </c>
      <c r="N104" s="79" t="b">
        <v>1</v>
      </c>
      <c r="O104" s="80">
        <f t="shared" si="2"/>
        <v>46095.63054</v>
      </c>
      <c r="P104" s="76" t="s">
        <v>101</v>
      </c>
      <c r="Q104" s="76" t="s">
        <v>11</v>
      </c>
      <c r="R104" s="76" t="b">
        <v>0</v>
      </c>
      <c r="S104" s="82" t="b">
        <v>0</v>
      </c>
      <c r="T104" s="76">
        <v>80.0</v>
      </c>
      <c r="U104" s="79" t="s">
        <v>96</v>
      </c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>
        <v>46095.0</v>
      </c>
      <c r="B105" s="76" t="s">
        <v>882</v>
      </c>
      <c r="C105" s="77" t="s">
        <v>883</v>
      </c>
      <c r="D105" s="76" t="s">
        <v>34</v>
      </c>
      <c r="E105" s="76"/>
      <c r="F105" s="76" t="s">
        <v>8</v>
      </c>
      <c r="G105" s="76">
        <v>2000.0</v>
      </c>
      <c r="H105" s="76">
        <v>31.0</v>
      </c>
      <c r="I105" s="75">
        <v>46098.0</v>
      </c>
      <c r="J105" s="78">
        <v>15.5</v>
      </c>
      <c r="K105" s="76" t="s">
        <v>101</v>
      </c>
      <c r="L105" s="79" t="b">
        <v>1</v>
      </c>
      <c r="M105" s="80">
        <f t="shared" si="1"/>
        <v>46097.41463</v>
      </c>
      <c r="N105" s="79" t="b">
        <v>1</v>
      </c>
      <c r="O105" s="80">
        <f t="shared" si="2"/>
        <v>46097.41679</v>
      </c>
      <c r="P105" s="76" t="s">
        <v>101</v>
      </c>
      <c r="Q105" s="76" t="s">
        <v>38</v>
      </c>
      <c r="R105" s="76" t="b">
        <v>0</v>
      </c>
      <c r="S105" s="82" t="b">
        <v>0</v>
      </c>
      <c r="T105" s="76">
        <v>32.0</v>
      </c>
      <c r="U105" s="79" t="s">
        <v>28</v>
      </c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>
        <v>46095.0</v>
      </c>
      <c r="B106" s="76" t="s">
        <v>884</v>
      </c>
      <c r="C106" s="77" t="s">
        <v>885</v>
      </c>
      <c r="D106" s="76" t="s">
        <v>31</v>
      </c>
      <c r="E106" s="76"/>
      <c r="F106" s="76" t="s">
        <v>8</v>
      </c>
      <c r="G106" s="76">
        <v>100.0</v>
      </c>
      <c r="H106" s="76">
        <v>50.0</v>
      </c>
      <c r="I106" s="75">
        <v>46098.0</v>
      </c>
      <c r="J106" s="78">
        <v>15.5</v>
      </c>
      <c r="K106" s="76" t="s">
        <v>101</v>
      </c>
      <c r="L106" s="79" t="b">
        <v>1</v>
      </c>
      <c r="M106" s="80">
        <f t="shared" si="1"/>
        <v>46097.44555</v>
      </c>
      <c r="N106" s="79" t="b">
        <v>1</v>
      </c>
      <c r="O106" s="80">
        <f t="shared" si="2"/>
        <v>46097.44726</v>
      </c>
      <c r="P106" s="76" t="s">
        <v>101</v>
      </c>
      <c r="Q106" s="76" t="s">
        <v>11</v>
      </c>
      <c r="R106" s="76" t="b">
        <v>0</v>
      </c>
      <c r="S106" s="82" t="b">
        <v>0</v>
      </c>
      <c r="T106" s="76">
        <v>56.0</v>
      </c>
      <c r="U106" s="79" t="s">
        <v>96</v>
      </c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>
        <v>46095.0</v>
      </c>
      <c r="B107" s="76" t="s">
        <v>886</v>
      </c>
      <c r="C107" s="77" t="s">
        <v>887</v>
      </c>
      <c r="D107" s="76" t="s">
        <v>31</v>
      </c>
      <c r="E107" s="76"/>
      <c r="F107" s="76" t="s">
        <v>8</v>
      </c>
      <c r="G107" s="76">
        <v>200.0</v>
      </c>
      <c r="H107" s="76">
        <v>200.0</v>
      </c>
      <c r="I107" s="75">
        <v>46099.0</v>
      </c>
      <c r="J107" s="78">
        <v>15.5</v>
      </c>
      <c r="K107" s="76" t="s">
        <v>101</v>
      </c>
      <c r="L107" s="79" t="b">
        <v>1</v>
      </c>
      <c r="M107" s="80">
        <f t="shared" si="1"/>
        <v>46097.44848</v>
      </c>
      <c r="N107" s="79" t="b">
        <v>1</v>
      </c>
      <c r="O107" s="80">
        <f t="shared" si="2"/>
        <v>46097.45431</v>
      </c>
      <c r="P107" s="76" t="s">
        <v>101</v>
      </c>
      <c r="Q107" s="76" t="s">
        <v>11</v>
      </c>
      <c r="R107" s="76" t="b">
        <v>0</v>
      </c>
      <c r="S107" s="82" t="b">
        <v>0</v>
      </c>
      <c r="T107" s="76">
        <v>212.0</v>
      </c>
      <c r="U107" s="79" t="s">
        <v>96</v>
      </c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>
        <v>46095.0</v>
      </c>
      <c r="B108" s="76" t="s">
        <v>888</v>
      </c>
      <c r="C108" s="77" t="s">
        <v>889</v>
      </c>
      <c r="D108" s="76" t="s">
        <v>31</v>
      </c>
      <c r="E108" s="76"/>
      <c r="F108" s="76" t="s">
        <v>8</v>
      </c>
      <c r="G108" s="76">
        <v>200.0</v>
      </c>
      <c r="H108" s="76">
        <v>200.0</v>
      </c>
      <c r="I108" s="75">
        <v>46099.0</v>
      </c>
      <c r="J108" s="78">
        <v>15.5</v>
      </c>
      <c r="K108" s="76" t="s">
        <v>101</v>
      </c>
      <c r="L108" s="79" t="b">
        <v>1</v>
      </c>
      <c r="M108" s="80">
        <f t="shared" si="1"/>
        <v>46097.4549</v>
      </c>
      <c r="N108" s="79" t="b">
        <v>1</v>
      </c>
      <c r="O108" s="80">
        <f t="shared" si="2"/>
        <v>46097.46399</v>
      </c>
      <c r="P108" s="76" t="s">
        <v>101</v>
      </c>
      <c r="Q108" s="76" t="s">
        <v>11</v>
      </c>
      <c r="R108" s="76" t="b">
        <v>0</v>
      </c>
      <c r="S108" s="82" t="b">
        <v>0</v>
      </c>
      <c r="T108" s="76">
        <v>212.0</v>
      </c>
      <c r="U108" s="79" t="s">
        <v>96</v>
      </c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>
        <v>46095.0</v>
      </c>
      <c r="B109" s="76" t="s">
        <v>890</v>
      </c>
      <c r="C109" s="77" t="s">
        <v>891</v>
      </c>
      <c r="D109" s="76" t="s">
        <v>34</v>
      </c>
      <c r="E109" s="76"/>
      <c r="F109" s="76" t="s">
        <v>8</v>
      </c>
      <c r="G109" s="76">
        <v>8.0</v>
      </c>
      <c r="H109" s="76">
        <v>8.0</v>
      </c>
      <c r="I109" s="75">
        <v>46099.0</v>
      </c>
      <c r="J109" s="78">
        <v>16.22</v>
      </c>
      <c r="K109" s="76" t="s">
        <v>101</v>
      </c>
      <c r="L109" s="79" t="b">
        <v>1</v>
      </c>
      <c r="M109" s="80">
        <f t="shared" si="1"/>
        <v>46097.44582</v>
      </c>
      <c r="N109" s="79" t="b">
        <v>1</v>
      </c>
      <c r="O109" s="80">
        <f t="shared" si="2"/>
        <v>46097.44727</v>
      </c>
      <c r="P109" s="76" t="s">
        <v>101</v>
      </c>
      <c r="Q109" s="76" t="s">
        <v>38</v>
      </c>
      <c r="R109" s="76" t="b">
        <v>0</v>
      </c>
      <c r="S109" s="82" t="b">
        <v>0</v>
      </c>
      <c r="T109" s="76">
        <v>9.0</v>
      </c>
      <c r="U109" s="79" t="s">
        <v>28</v>
      </c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>
        <v>46095.0</v>
      </c>
      <c r="B110" s="76" t="s">
        <v>892</v>
      </c>
      <c r="C110" s="77" t="s">
        <v>893</v>
      </c>
      <c r="D110" s="76" t="s">
        <v>34</v>
      </c>
      <c r="E110" s="76"/>
      <c r="F110" s="76" t="s">
        <v>8</v>
      </c>
      <c r="G110" s="76">
        <v>8.0</v>
      </c>
      <c r="H110" s="76">
        <v>8.0</v>
      </c>
      <c r="I110" s="75">
        <v>46099.0</v>
      </c>
      <c r="J110" s="78">
        <v>16.22</v>
      </c>
      <c r="K110" s="76" t="s">
        <v>101</v>
      </c>
      <c r="L110" s="79" t="b">
        <v>1</v>
      </c>
      <c r="M110" s="80">
        <f t="shared" si="1"/>
        <v>46097.47213</v>
      </c>
      <c r="N110" s="79" t="b">
        <v>1</v>
      </c>
      <c r="O110" s="80">
        <f t="shared" si="2"/>
        <v>46097.47306</v>
      </c>
      <c r="P110" s="76" t="s">
        <v>101</v>
      </c>
      <c r="Q110" s="76" t="s">
        <v>38</v>
      </c>
      <c r="R110" s="76" t="b">
        <v>0</v>
      </c>
      <c r="S110" s="82" t="b">
        <v>0</v>
      </c>
      <c r="T110" s="76">
        <v>9.0</v>
      </c>
      <c r="U110" s="79" t="s">
        <v>28</v>
      </c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>
        <v>46095.0</v>
      </c>
      <c r="B111" s="76" t="s">
        <v>894</v>
      </c>
      <c r="C111" s="77" t="s">
        <v>895</v>
      </c>
      <c r="D111" s="76" t="s">
        <v>23</v>
      </c>
      <c r="E111" s="76"/>
      <c r="F111" s="76" t="s">
        <v>8</v>
      </c>
      <c r="G111" s="76">
        <v>220.0</v>
      </c>
      <c r="H111" s="76">
        <v>55.0</v>
      </c>
      <c r="I111" s="75">
        <v>46101.0</v>
      </c>
      <c r="J111" s="78">
        <v>16.22</v>
      </c>
      <c r="K111" s="76" t="s">
        <v>101</v>
      </c>
      <c r="L111" s="79" t="b">
        <v>1</v>
      </c>
      <c r="M111" s="80">
        <f t="shared" si="1"/>
        <v>46097.36858</v>
      </c>
      <c r="N111" s="79" t="b">
        <v>1</v>
      </c>
      <c r="O111" s="80">
        <f t="shared" si="2"/>
        <v>46097.37336</v>
      </c>
      <c r="P111" s="76" t="s">
        <v>101</v>
      </c>
      <c r="Q111" s="76" t="s">
        <v>11</v>
      </c>
      <c r="R111" s="76" t="b">
        <v>0</v>
      </c>
      <c r="S111" s="82" t="b">
        <v>0</v>
      </c>
      <c r="T111" s="76">
        <v>60.0</v>
      </c>
      <c r="U111" s="79" t="s">
        <v>96</v>
      </c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>
        <v>46097.0</v>
      </c>
      <c r="B112" s="76" t="s">
        <v>896</v>
      </c>
      <c r="C112" s="77" t="s">
        <v>897</v>
      </c>
      <c r="D112" s="76" t="s">
        <v>23</v>
      </c>
      <c r="E112" s="76"/>
      <c r="F112" s="76" t="s">
        <v>18</v>
      </c>
      <c r="G112" s="76">
        <v>100.0</v>
      </c>
      <c r="H112" s="76">
        <v>50.0</v>
      </c>
      <c r="I112" s="75">
        <v>46097.0</v>
      </c>
      <c r="J112" s="78">
        <v>9.56</v>
      </c>
      <c r="K112" s="76" t="s">
        <v>101</v>
      </c>
      <c r="L112" s="79" t="b">
        <v>1</v>
      </c>
      <c r="M112" s="80">
        <f t="shared" si="1"/>
        <v>46097.43163</v>
      </c>
      <c r="N112" s="79" t="b">
        <v>1</v>
      </c>
      <c r="O112" s="80">
        <f t="shared" si="2"/>
        <v>46097.43649</v>
      </c>
      <c r="P112" s="76" t="s">
        <v>101</v>
      </c>
      <c r="Q112" s="76" t="s">
        <v>11</v>
      </c>
      <c r="R112" s="76" t="b">
        <v>0</v>
      </c>
      <c r="S112" s="82" t="b">
        <v>0</v>
      </c>
      <c r="T112" s="76">
        <v>60.0</v>
      </c>
      <c r="U112" s="79" t="s">
        <v>96</v>
      </c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>
        <v>46097.0</v>
      </c>
      <c r="B113" s="76" t="s">
        <v>898</v>
      </c>
      <c r="C113" s="77" t="s">
        <v>899</v>
      </c>
      <c r="D113" s="76" t="s">
        <v>31</v>
      </c>
      <c r="E113" s="76"/>
      <c r="F113" s="76" t="s">
        <v>8</v>
      </c>
      <c r="G113" s="76">
        <v>100.0</v>
      </c>
      <c r="H113" s="76">
        <v>100.0</v>
      </c>
      <c r="I113" s="75">
        <v>46101.0</v>
      </c>
      <c r="J113" s="78">
        <v>11.26</v>
      </c>
      <c r="K113" s="76" t="s">
        <v>101</v>
      </c>
      <c r="L113" s="79" t="b">
        <v>1</v>
      </c>
      <c r="M113" s="80">
        <f t="shared" si="1"/>
        <v>46098.58996</v>
      </c>
      <c r="N113" s="79" t="b">
        <v>1</v>
      </c>
      <c r="O113" s="80">
        <f t="shared" si="2"/>
        <v>46098.59366</v>
      </c>
      <c r="P113" s="76" t="s">
        <v>101</v>
      </c>
      <c r="Q113" s="76" t="s">
        <v>11</v>
      </c>
      <c r="R113" s="76" t="b">
        <v>0</v>
      </c>
      <c r="S113" s="82" t="b">
        <v>0</v>
      </c>
      <c r="T113" s="76">
        <v>106.0</v>
      </c>
      <c r="U113" s="79" t="s">
        <v>96</v>
      </c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>
        <v>46097.0</v>
      </c>
      <c r="B114" s="91" t="s">
        <v>900</v>
      </c>
      <c r="C114" s="92" t="s">
        <v>901</v>
      </c>
      <c r="D114" s="93" t="s">
        <v>32</v>
      </c>
      <c r="E114" s="94"/>
      <c r="F114" s="93" t="s">
        <v>27</v>
      </c>
      <c r="G114" s="91">
        <v>400.0</v>
      </c>
      <c r="H114" s="91">
        <v>200.0</v>
      </c>
      <c r="I114" s="75">
        <v>46098.0</v>
      </c>
      <c r="J114" s="78">
        <v>16.42</v>
      </c>
      <c r="K114" s="76" t="s">
        <v>101</v>
      </c>
      <c r="L114" s="79" t="b">
        <v>1</v>
      </c>
      <c r="M114" s="80">
        <f t="shared" si="1"/>
        <v>46098.55503</v>
      </c>
      <c r="N114" s="79" t="b">
        <v>1</v>
      </c>
      <c r="O114" s="80">
        <f t="shared" si="2"/>
        <v>46098.56169</v>
      </c>
      <c r="P114" s="76" t="s">
        <v>101</v>
      </c>
      <c r="Q114" s="76" t="s">
        <v>11</v>
      </c>
      <c r="R114" s="76" t="b">
        <v>0</v>
      </c>
      <c r="S114" s="82" t="b">
        <v>0</v>
      </c>
      <c r="T114" s="76">
        <v>212.0</v>
      </c>
      <c r="U114" s="79" t="s">
        <v>96</v>
      </c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>
        <v>46097.0</v>
      </c>
      <c r="B115" s="76" t="s">
        <v>902</v>
      </c>
      <c r="C115" s="77" t="s">
        <v>903</v>
      </c>
      <c r="D115" s="76" t="s">
        <v>23</v>
      </c>
      <c r="E115" s="76"/>
      <c r="F115" s="76" t="s">
        <v>8</v>
      </c>
      <c r="G115" s="76">
        <v>100.0</v>
      </c>
      <c r="H115" s="76">
        <v>25.0</v>
      </c>
      <c r="I115" s="75">
        <v>46099.0</v>
      </c>
      <c r="J115" s="78">
        <v>16.42</v>
      </c>
      <c r="K115" s="76" t="s">
        <v>101</v>
      </c>
      <c r="L115" s="79" t="b">
        <v>1</v>
      </c>
      <c r="M115" s="80">
        <f t="shared" si="1"/>
        <v>46098.51639</v>
      </c>
      <c r="N115" s="79" t="b">
        <v>1</v>
      </c>
      <c r="O115" s="80">
        <f t="shared" si="2"/>
        <v>46098.51639</v>
      </c>
      <c r="P115" s="76" t="s">
        <v>101</v>
      </c>
      <c r="Q115" s="76" t="s">
        <v>11</v>
      </c>
      <c r="R115" s="76" t="b">
        <v>0</v>
      </c>
      <c r="S115" s="82" t="b">
        <v>0</v>
      </c>
      <c r="T115" s="76">
        <v>30.0</v>
      </c>
      <c r="U115" s="79" t="s">
        <v>96</v>
      </c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>
        <v>46097.0</v>
      </c>
      <c r="B116" s="76" t="s">
        <v>904</v>
      </c>
      <c r="C116" s="77" t="s">
        <v>905</v>
      </c>
      <c r="D116" s="76" t="s">
        <v>23</v>
      </c>
      <c r="E116" s="76"/>
      <c r="F116" s="76" t="s">
        <v>8</v>
      </c>
      <c r="G116" s="76">
        <v>100.0</v>
      </c>
      <c r="H116" s="76">
        <v>25.0</v>
      </c>
      <c r="I116" s="75">
        <v>46099.0</v>
      </c>
      <c r="J116" s="78">
        <v>16.42</v>
      </c>
      <c r="K116" s="76" t="s">
        <v>101</v>
      </c>
      <c r="L116" s="79" t="b">
        <v>1</v>
      </c>
      <c r="M116" s="80">
        <f t="shared" si="1"/>
        <v>46098.51639</v>
      </c>
      <c r="N116" s="79" t="b">
        <v>1</v>
      </c>
      <c r="O116" s="80">
        <f t="shared" si="2"/>
        <v>46098.51639</v>
      </c>
      <c r="P116" s="76" t="s">
        <v>101</v>
      </c>
      <c r="Q116" s="76" t="s">
        <v>11</v>
      </c>
      <c r="R116" s="76" t="b">
        <v>0</v>
      </c>
      <c r="S116" s="82" t="b">
        <v>0</v>
      </c>
      <c r="T116" s="76">
        <v>30.0</v>
      </c>
      <c r="U116" s="79" t="s">
        <v>96</v>
      </c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>
        <v>46098.0</v>
      </c>
      <c r="B117" s="76" t="s">
        <v>906</v>
      </c>
      <c r="C117" s="77" t="s">
        <v>907</v>
      </c>
      <c r="D117" s="76" t="s">
        <v>23</v>
      </c>
      <c r="E117" s="76"/>
      <c r="F117" s="76" t="s">
        <v>8</v>
      </c>
      <c r="G117" s="76">
        <v>200.0</v>
      </c>
      <c r="H117" s="76">
        <v>18.0</v>
      </c>
      <c r="I117" s="75">
        <v>46099.0</v>
      </c>
      <c r="J117" s="78">
        <v>9.25</v>
      </c>
      <c r="K117" s="76" t="s">
        <v>101</v>
      </c>
      <c r="L117" s="79" t="b">
        <v>1</v>
      </c>
      <c r="M117" s="80">
        <f t="shared" si="1"/>
        <v>46098.51639</v>
      </c>
      <c r="N117" s="79" t="b">
        <v>1</v>
      </c>
      <c r="O117" s="80">
        <f t="shared" si="2"/>
        <v>46098.51639</v>
      </c>
      <c r="P117" s="76" t="s">
        <v>101</v>
      </c>
      <c r="Q117" s="76" t="s">
        <v>11</v>
      </c>
      <c r="R117" s="76" t="b">
        <v>0</v>
      </c>
      <c r="S117" s="82" t="b">
        <v>0</v>
      </c>
      <c r="T117" s="76">
        <v>18.0</v>
      </c>
      <c r="U117" s="79" t="s">
        <v>96</v>
      </c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>
        <v>46098.0</v>
      </c>
      <c r="B118" s="76" t="s">
        <v>908</v>
      </c>
      <c r="C118" s="77" t="s">
        <v>909</v>
      </c>
      <c r="D118" s="76" t="s">
        <v>23</v>
      </c>
      <c r="E118" s="76"/>
      <c r="F118" s="76" t="s">
        <v>8</v>
      </c>
      <c r="G118" s="76">
        <v>200.0</v>
      </c>
      <c r="H118" s="76">
        <v>100.0</v>
      </c>
      <c r="I118" s="75">
        <v>46101.0</v>
      </c>
      <c r="J118" s="78">
        <v>9.25</v>
      </c>
      <c r="K118" s="76" t="s">
        <v>101</v>
      </c>
      <c r="L118" s="79" t="b">
        <v>1</v>
      </c>
      <c r="M118" s="80">
        <f t="shared" si="1"/>
        <v>46098.51639</v>
      </c>
      <c r="N118" s="79" t="b">
        <v>1</v>
      </c>
      <c r="O118" s="80">
        <f t="shared" si="2"/>
        <v>46098.51639</v>
      </c>
      <c r="P118" s="76" t="s">
        <v>101</v>
      </c>
      <c r="Q118" s="76" t="s">
        <v>11</v>
      </c>
      <c r="R118" s="76" t="b">
        <v>0</v>
      </c>
      <c r="S118" s="82" t="b">
        <v>0</v>
      </c>
      <c r="T118" s="76">
        <v>108.0</v>
      </c>
      <c r="U118" s="79" t="s">
        <v>96</v>
      </c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>
        <v>46098.0</v>
      </c>
      <c r="B119" s="76" t="s">
        <v>910</v>
      </c>
      <c r="C119" s="77" t="s">
        <v>911</v>
      </c>
      <c r="D119" s="76" t="s">
        <v>23</v>
      </c>
      <c r="E119" s="76"/>
      <c r="F119" s="76" t="s">
        <v>8</v>
      </c>
      <c r="G119" s="76">
        <v>100.0</v>
      </c>
      <c r="H119" s="76">
        <v>50.0</v>
      </c>
      <c r="I119" s="75">
        <v>46101.0</v>
      </c>
      <c r="J119" s="78">
        <v>9.25</v>
      </c>
      <c r="K119" s="76" t="s">
        <v>101</v>
      </c>
      <c r="L119" s="79" t="b">
        <v>1</v>
      </c>
      <c r="M119" s="80">
        <f t="shared" si="1"/>
        <v>46098.51639</v>
      </c>
      <c r="N119" s="79" t="b">
        <v>1</v>
      </c>
      <c r="O119" s="80">
        <f t="shared" si="2"/>
        <v>46098.51639</v>
      </c>
      <c r="P119" s="76" t="s">
        <v>101</v>
      </c>
      <c r="Q119" s="76" t="s">
        <v>11</v>
      </c>
      <c r="R119" s="76" t="b">
        <v>0</v>
      </c>
      <c r="S119" s="82" t="b">
        <v>0</v>
      </c>
      <c r="T119" s="76">
        <v>60.0</v>
      </c>
      <c r="U119" s="79" t="s">
        <v>96</v>
      </c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>
        <v>46098.0</v>
      </c>
      <c r="B120" s="76" t="s">
        <v>912</v>
      </c>
      <c r="C120" s="77" t="s">
        <v>913</v>
      </c>
      <c r="D120" s="76" t="s">
        <v>23</v>
      </c>
      <c r="E120" s="76"/>
      <c r="F120" s="76" t="s">
        <v>8</v>
      </c>
      <c r="G120" s="76">
        <v>100.0</v>
      </c>
      <c r="H120" s="76">
        <v>50.0</v>
      </c>
      <c r="I120" s="75">
        <v>46101.0</v>
      </c>
      <c r="J120" s="78">
        <v>9.25</v>
      </c>
      <c r="K120" s="76" t="s">
        <v>101</v>
      </c>
      <c r="L120" s="79" t="b">
        <v>1</v>
      </c>
      <c r="M120" s="80">
        <f t="shared" si="1"/>
        <v>46098.51639</v>
      </c>
      <c r="N120" s="79" t="b">
        <v>1</v>
      </c>
      <c r="O120" s="80">
        <f t="shared" si="2"/>
        <v>46098.51639</v>
      </c>
      <c r="P120" s="76" t="s">
        <v>101</v>
      </c>
      <c r="Q120" s="76" t="s">
        <v>11</v>
      </c>
      <c r="R120" s="76" t="b">
        <v>0</v>
      </c>
      <c r="S120" s="82" t="b">
        <v>0</v>
      </c>
      <c r="T120" s="76">
        <v>60.0</v>
      </c>
      <c r="U120" s="79" t="s">
        <v>96</v>
      </c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>
        <v>46098.0</v>
      </c>
      <c r="B121" s="76" t="s">
        <v>914</v>
      </c>
      <c r="C121" s="77" t="s">
        <v>915</v>
      </c>
      <c r="D121" s="76" t="s">
        <v>23</v>
      </c>
      <c r="E121" s="76"/>
      <c r="F121" s="76" t="s">
        <v>8</v>
      </c>
      <c r="G121" s="76">
        <v>300.0</v>
      </c>
      <c r="H121" s="76">
        <v>150.0</v>
      </c>
      <c r="I121" s="75">
        <v>46101.0</v>
      </c>
      <c r="J121" s="78">
        <v>9.25</v>
      </c>
      <c r="K121" s="76" t="s">
        <v>101</v>
      </c>
      <c r="L121" s="79" t="b">
        <v>1</v>
      </c>
      <c r="M121" s="80">
        <f t="shared" si="1"/>
        <v>46099.41871</v>
      </c>
      <c r="N121" s="79" t="b">
        <v>1</v>
      </c>
      <c r="O121" s="80">
        <f t="shared" si="2"/>
        <v>46099.43112</v>
      </c>
      <c r="P121" s="76" t="s">
        <v>101</v>
      </c>
      <c r="Q121" s="76" t="s">
        <v>11</v>
      </c>
      <c r="R121" s="76" t="b">
        <v>0</v>
      </c>
      <c r="S121" s="82" t="b">
        <v>0</v>
      </c>
      <c r="T121" s="76">
        <v>156.0</v>
      </c>
      <c r="U121" s="79" t="s">
        <v>96</v>
      </c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>
        <v>46098.0</v>
      </c>
      <c r="B122" s="76" t="s">
        <v>916</v>
      </c>
      <c r="C122" s="77" t="s">
        <v>917</v>
      </c>
      <c r="D122" s="76" t="s">
        <v>16</v>
      </c>
      <c r="E122" s="76"/>
      <c r="F122" s="76" t="s">
        <v>27</v>
      </c>
      <c r="G122" s="76">
        <v>4.0</v>
      </c>
      <c r="H122" s="76">
        <v>1.0</v>
      </c>
      <c r="I122" s="75">
        <v>46098.0</v>
      </c>
      <c r="J122" s="78">
        <v>11.3</v>
      </c>
      <c r="K122" s="76" t="s">
        <v>101</v>
      </c>
      <c r="L122" s="79" t="b">
        <v>1</v>
      </c>
      <c r="M122" s="80">
        <f t="shared" si="1"/>
        <v>46098.5489</v>
      </c>
      <c r="N122" s="79" t="b">
        <v>1</v>
      </c>
      <c r="O122" s="80">
        <f t="shared" si="2"/>
        <v>46098.55025</v>
      </c>
      <c r="P122" s="76" t="s">
        <v>101</v>
      </c>
      <c r="Q122" s="76" t="s">
        <v>11</v>
      </c>
      <c r="R122" s="76" t="b">
        <v>0</v>
      </c>
      <c r="S122" s="82" t="b">
        <v>0</v>
      </c>
      <c r="T122" s="76">
        <v>4.0</v>
      </c>
      <c r="U122" s="79" t="s">
        <v>96</v>
      </c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>
        <v>46098.0</v>
      </c>
      <c r="B123" s="76" t="s">
        <v>918</v>
      </c>
      <c r="C123" s="77" t="s">
        <v>919</v>
      </c>
      <c r="D123" s="76" t="s">
        <v>34</v>
      </c>
      <c r="E123" s="76"/>
      <c r="F123" s="76" t="s">
        <v>8</v>
      </c>
      <c r="G123" s="76">
        <v>500.0</v>
      </c>
      <c r="H123" s="76">
        <v>500.0</v>
      </c>
      <c r="I123" s="75">
        <v>46100.0</v>
      </c>
      <c r="J123" s="78">
        <v>12.0</v>
      </c>
      <c r="K123" s="76" t="s">
        <v>101</v>
      </c>
      <c r="L123" s="79" t="b">
        <v>1</v>
      </c>
      <c r="M123" s="80">
        <f t="shared" si="1"/>
        <v>46100.54548</v>
      </c>
      <c r="N123" s="79" t="b">
        <v>1</v>
      </c>
      <c r="O123" s="80">
        <f t="shared" si="2"/>
        <v>46100.5878</v>
      </c>
      <c r="P123" s="76" t="s">
        <v>101</v>
      </c>
      <c r="Q123" s="76" t="s">
        <v>38</v>
      </c>
      <c r="R123" s="76" t="b">
        <v>0</v>
      </c>
      <c r="S123" s="82" t="b">
        <v>0</v>
      </c>
      <c r="T123" s="76">
        <v>510.0</v>
      </c>
      <c r="U123" s="79" t="s">
        <v>96</v>
      </c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>
        <v>46098.0</v>
      </c>
      <c r="B124" s="76" t="s">
        <v>920</v>
      </c>
      <c r="C124" s="77" t="s">
        <v>921</v>
      </c>
      <c r="D124" s="76" t="s">
        <v>23</v>
      </c>
      <c r="E124" s="76"/>
      <c r="F124" s="76" t="s">
        <v>8</v>
      </c>
      <c r="G124" s="76">
        <v>200.0</v>
      </c>
      <c r="H124" s="76">
        <v>50.0</v>
      </c>
      <c r="I124" s="75">
        <v>46102.0</v>
      </c>
      <c r="J124" s="78">
        <v>13.38</v>
      </c>
      <c r="K124" s="76" t="s">
        <v>101</v>
      </c>
      <c r="L124" s="79" t="b">
        <v>1</v>
      </c>
      <c r="M124" s="80">
        <f t="shared" si="1"/>
        <v>46098.6827</v>
      </c>
      <c r="N124" s="79" t="b">
        <v>1</v>
      </c>
      <c r="O124" s="80">
        <f t="shared" si="2"/>
        <v>46098.68704</v>
      </c>
      <c r="P124" s="76" t="s">
        <v>101</v>
      </c>
      <c r="Q124" s="76" t="s">
        <v>11</v>
      </c>
      <c r="R124" s="76" t="b">
        <v>0</v>
      </c>
      <c r="S124" s="82" t="b">
        <v>0</v>
      </c>
      <c r="T124" s="76">
        <v>60.0</v>
      </c>
      <c r="U124" s="79" t="s">
        <v>96</v>
      </c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>
        <v>46098.0</v>
      </c>
      <c r="B125" s="76" t="s">
        <v>922</v>
      </c>
      <c r="C125" s="77" t="s">
        <v>923</v>
      </c>
      <c r="D125" s="76" t="s">
        <v>23</v>
      </c>
      <c r="E125" s="76"/>
      <c r="F125" s="76" t="s">
        <v>8</v>
      </c>
      <c r="G125" s="76">
        <v>200.0</v>
      </c>
      <c r="H125" s="76">
        <v>100.0</v>
      </c>
      <c r="I125" s="75">
        <v>46102.0</v>
      </c>
      <c r="J125" s="78">
        <v>13.38</v>
      </c>
      <c r="K125" s="76" t="s">
        <v>101</v>
      </c>
      <c r="L125" s="79" t="b">
        <v>1</v>
      </c>
      <c r="M125" s="80">
        <f t="shared" si="1"/>
        <v>46098.68708</v>
      </c>
      <c r="N125" s="79" t="b">
        <v>1</v>
      </c>
      <c r="O125" s="80">
        <f t="shared" si="2"/>
        <v>46098.69803</v>
      </c>
      <c r="P125" s="76" t="s">
        <v>101</v>
      </c>
      <c r="Q125" s="76" t="s">
        <v>11</v>
      </c>
      <c r="R125" s="76" t="b">
        <v>0</v>
      </c>
      <c r="S125" s="82" t="b">
        <v>0</v>
      </c>
      <c r="T125" s="76">
        <v>108.0</v>
      </c>
      <c r="U125" s="79" t="s">
        <v>96</v>
      </c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>
        <v>46098.0</v>
      </c>
      <c r="B126" s="76" t="s">
        <v>924</v>
      </c>
      <c r="C126" s="77" t="s">
        <v>925</v>
      </c>
      <c r="D126" s="76" t="s">
        <v>43</v>
      </c>
      <c r="E126" s="76"/>
      <c r="F126" s="76" t="s">
        <v>27</v>
      </c>
      <c r="G126" s="76">
        <v>2000.0</v>
      </c>
      <c r="H126" s="76">
        <v>24.0</v>
      </c>
      <c r="I126" s="75">
        <v>46100.0</v>
      </c>
      <c r="J126" s="78">
        <v>16.07</v>
      </c>
      <c r="K126" s="76" t="s">
        <v>101</v>
      </c>
      <c r="L126" s="79" t="b">
        <v>1</v>
      </c>
      <c r="M126" s="80">
        <f t="shared" si="1"/>
        <v>46099.43063</v>
      </c>
      <c r="N126" s="79" t="b">
        <v>1</v>
      </c>
      <c r="O126" s="80">
        <f t="shared" si="2"/>
        <v>46099.44126</v>
      </c>
      <c r="P126" s="76" t="s">
        <v>101</v>
      </c>
      <c r="Q126" s="76" t="s">
        <v>38</v>
      </c>
      <c r="R126" s="76" t="b">
        <v>0</v>
      </c>
      <c r="S126" s="82" t="b">
        <v>0</v>
      </c>
      <c r="T126" s="76">
        <v>25.0</v>
      </c>
      <c r="U126" s="79" t="s">
        <v>28</v>
      </c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>
        <v>46098.0</v>
      </c>
      <c r="B127" s="76" t="s">
        <v>926</v>
      </c>
      <c r="C127" s="77" t="s">
        <v>927</v>
      </c>
      <c r="D127" s="76" t="s">
        <v>57</v>
      </c>
      <c r="E127" s="76"/>
      <c r="F127" s="76" t="s">
        <v>8</v>
      </c>
      <c r="G127" s="76">
        <v>15.0</v>
      </c>
      <c r="H127" s="76">
        <v>15.0</v>
      </c>
      <c r="I127" s="75">
        <v>46100.0</v>
      </c>
      <c r="J127" s="78">
        <v>16.42</v>
      </c>
      <c r="K127" s="76" t="s">
        <v>1</v>
      </c>
      <c r="L127" s="79" t="b">
        <v>1</v>
      </c>
      <c r="M127" s="80">
        <f t="shared" si="1"/>
        <v>46099.42879</v>
      </c>
      <c r="N127" s="79" t="b">
        <v>1</v>
      </c>
      <c r="O127" s="80">
        <f t="shared" si="2"/>
        <v>46099.4306</v>
      </c>
      <c r="P127" s="76" t="s">
        <v>101</v>
      </c>
      <c r="Q127" s="76" t="s">
        <v>38</v>
      </c>
      <c r="R127" s="76" t="b">
        <v>0</v>
      </c>
      <c r="S127" s="82" t="b">
        <v>0</v>
      </c>
      <c r="T127" s="76">
        <v>16.0</v>
      </c>
      <c r="U127" s="79" t="s">
        <v>28</v>
      </c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>
        <v>46098.0</v>
      </c>
      <c r="B128" s="76" t="s">
        <v>928</v>
      </c>
      <c r="C128" s="77" t="s">
        <v>929</v>
      </c>
      <c r="D128" s="76" t="s">
        <v>930</v>
      </c>
      <c r="E128" s="76"/>
      <c r="F128" s="76" t="s">
        <v>8</v>
      </c>
      <c r="G128" s="76">
        <v>4000.0</v>
      </c>
      <c r="H128" s="76">
        <v>191.0</v>
      </c>
      <c r="I128" s="75">
        <v>46104.0</v>
      </c>
      <c r="J128" s="78">
        <v>16.42</v>
      </c>
      <c r="K128" s="76" t="s">
        <v>101</v>
      </c>
      <c r="L128" s="79" t="b">
        <v>1</v>
      </c>
      <c r="M128" s="80">
        <f t="shared" si="1"/>
        <v>46104.61499</v>
      </c>
      <c r="N128" s="79" t="b">
        <v>1</v>
      </c>
      <c r="O128" s="80">
        <f t="shared" si="2"/>
        <v>46104.62214</v>
      </c>
      <c r="P128" s="76" t="s">
        <v>101</v>
      </c>
      <c r="Q128" s="76" t="s">
        <v>11</v>
      </c>
      <c r="R128" s="76" t="b">
        <v>0</v>
      </c>
      <c r="S128" s="82" t="b">
        <v>0</v>
      </c>
      <c r="T128" s="76">
        <v>191.0</v>
      </c>
      <c r="U128" s="79" t="s">
        <v>96</v>
      </c>
      <c r="V128" s="83" t="s">
        <v>160</v>
      </c>
      <c r="W128" s="74"/>
      <c r="X128" s="74"/>
      <c r="Y128" s="74"/>
      <c r="Z128" s="74"/>
      <c r="AA128" s="74"/>
      <c r="AB128" s="74"/>
      <c r="AC128" s="74"/>
      <c r="AD128" s="74"/>
    </row>
    <row r="129">
      <c r="A129" s="75">
        <v>46099.0</v>
      </c>
      <c r="B129" s="76" t="s">
        <v>931</v>
      </c>
      <c r="C129" s="77" t="s">
        <v>932</v>
      </c>
      <c r="D129" s="76" t="s">
        <v>23</v>
      </c>
      <c r="E129" s="76"/>
      <c r="F129" s="76" t="s">
        <v>18</v>
      </c>
      <c r="G129" s="76">
        <v>200.0</v>
      </c>
      <c r="H129" s="76">
        <v>50.0</v>
      </c>
      <c r="I129" s="75">
        <v>46099.0</v>
      </c>
      <c r="J129" s="78">
        <v>13.52</v>
      </c>
      <c r="K129" s="76" t="s">
        <v>101</v>
      </c>
      <c r="L129" s="79" t="b">
        <v>1</v>
      </c>
      <c r="M129" s="80">
        <f t="shared" si="1"/>
        <v>46099.58964</v>
      </c>
      <c r="N129" s="79" t="b">
        <v>1</v>
      </c>
      <c r="O129" s="80">
        <f t="shared" si="2"/>
        <v>46099.60566</v>
      </c>
      <c r="P129" s="76" t="s">
        <v>101</v>
      </c>
      <c r="Q129" s="76" t="s">
        <v>38</v>
      </c>
      <c r="R129" s="76" t="b">
        <v>0</v>
      </c>
      <c r="S129" s="82" t="b">
        <v>0</v>
      </c>
      <c r="T129" s="76">
        <v>56.0</v>
      </c>
      <c r="U129" s="79" t="s">
        <v>96</v>
      </c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>
        <v>46099.0</v>
      </c>
      <c r="B130" s="76" t="s">
        <v>933</v>
      </c>
      <c r="C130" s="77" t="s">
        <v>934</v>
      </c>
      <c r="D130" s="76" t="s">
        <v>23</v>
      </c>
      <c r="E130" s="76"/>
      <c r="F130" s="76" t="s">
        <v>8</v>
      </c>
      <c r="G130" s="76">
        <v>1000.0</v>
      </c>
      <c r="H130" s="76">
        <v>250.0</v>
      </c>
      <c r="I130" s="75">
        <v>46101.0</v>
      </c>
      <c r="J130" s="78">
        <v>14.25</v>
      </c>
      <c r="K130" s="76" t="s">
        <v>101</v>
      </c>
      <c r="L130" s="79" t="b">
        <v>1</v>
      </c>
      <c r="M130" s="80">
        <f t="shared" si="1"/>
        <v>46100.37005</v>
      </c>
      <c r="N130" s="79" t="b">
        <v>1</v>
      </c>
      <c r="O130" s="80">
        <f t="shared" si="2"/>
        <v>46100.38406</v>
      </c>
      <c r="P130" s="76" t="s">
        <v>101</v>
      </c>
      <c r="Q130" s="76" t="s">
        <v>38</v>
      </c>
      <c r="R130" s="76" t="b">
        <v>0</v>
      </c>
      <c r="S130" s="82" t="b">
        <v>0</v>
      </c>
      <c r="T130" s="76">
        <v>256.0</v>
      </c>
      <c r="U130" s="79" t="s">
        <v>96</v>
      </c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>
        <v>46099.0</v>
      </c>
      <c r="B131" s="76" t="s">
        <v>935</v>
      </c>
      <c r="C131" s="77" t="s">
        <v>936</v>
      </c>
      <c r="D131" s="76" t="s">
        <v>43</v>
      </c>
      <c r="E131" s="76"/>
      <c r="F131" s="76" t="s">
        <v>8</v>
      </c>
      <c r="G131" s="76">
        <v>500.0</v>
      </c>
      <c r="H131" s="76">
        <v>21.0</v>
      </c>
      <c r="I131" s="75">
        <v>46102.0</v>
      </c>
      <c r="J131" s="78">
        <v>14.25</v>
      </c>
      <c r="K131" s="76" t="s">
        <v>1</v>
      </c>
      <c r="L131" s="79" t="b">
        <v>1</v>
      </c>
      <c r="M131" s="80">
        <f t="shared" si="1"/>
        <v>46099.62438</v>
      </c>
      <c r="N131" s="79" t="b">
        <v>1</v>
      </c>
      <c r="O131" s="80">
        <f t="shared" si="2"/>
        <v>46099.627</v>
      </c>
      <c r="P131" s="76" t="s">
        <v>101</v>
      </c>
      <c r="Q131" s="76" t="s">
        <v>38</v>
      </c>
      <c r="R131" s="76" t="b">
        <v>0</v>
      </c>
      <c r="S131" s="82" t="b">
        <v>0</v>
      </c>
      <c r="T131" s="76">
        <v>22.0</v>
      </c>
      <c r="U131" s="79" t="s">
        <v>28</v>
      </c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>
        <v>46099.0</v>
      </c>
      <c r="B132" s="76" t="s">
        <v>937</v>
      </c>
      <c r="C132" s="77" t="s">
        <v>938</v>
      </c>
      <c r="D132" s="76" t="s">
        <v>31</v>
      </c>
      <c r="E132" s="76"/>
      <c r="F132" s="76" t="s">
        <v>8</v>
      </c>
      <c r="G132" s="76">
        <v>2000.0</v>
      </c>
      <c r="H132" s="76">
        <v>1000.0</v>
      </c>
      <c r="I132" s="75">
        <v>46102.0</v>
      </c>
      <c r="J132" s="78">
        <v>16.24</v>
      </c>
      <c r="K132" s="76" t="s">
        <v>101</v>
      </c>
      <c r="L132" s="79" t="b">
        <v>1</v>
      </c>
      <c r="M132" s="80">
        <f t="shared" si="1"/>
        <v>46100.66055</v>
      </c>
      <c r="N132" s="79" t="b">
        <v>1</v>
      </c>
      <c r="O132" s="80">
        <f t="shared" si="2"/>
        <v>46100.7091</v>
      </c>
      <c r="P132" s="76" t="s">
        <v>101</v>
      </c>
      <c r="Q132" s="76" t="s">
        <v>11</v>
      </c>
      <c r="R132" s="76" t="b">
        <v>0</v>
      </c>
      <c r="S132" s="82" t="b">
        <v>0</v>
      </c>
      <c r="T132" s="76">
        <v>1008.0</v>
      </c>
      <c r="U132" s="79" t="s">
        <v>96</v>
      </c>
      <c r="V132" s="83" t="s">
        <v>187</v>
      </c>
      <c r="W132" s="74"/>
      <c r="X132" s="74"/>
      <c r="Y132" s="74"/>
      <c r="Z132" s="74"/>
      <c r="AA132" s="74"/>
      <c r="AB132" s="74"/>
      <c r="AC132" s="74"/>
      <c r="AD132" s="74"/>
    </row>
    <row r="133">
      <c r="A133" s="75">
        <v>46099.0</v>
      </c>
      <c r="B133" s="76" t="s">
        <v>939</v>
      </c>
      <c r="C133" s="77" t="s">
        <v>940</v>
      </c>
      <c r="D133" s="76" t="s">
        <v>23</v>
      </c>
      <c r="E133" s="76"/>
      <c r="F133" s="76" t="s">
        <v>8</v>
      </c>
      <c r="G133" s="76">
        <v>200.0</v>
      </c>
      <c r="H133" s="76">
        <v>50.0</v>
      </c>
      <c r="I133" s="75">
        <v>46104.0</v>
      </c>
      <c r="J133" s="78">
        <v>17.25</v>
      </c>
      <c r="K133" s="76" t="s">
        <v>101</v>
      </c>
      <c r="L133" s="79" t="b">
        <v>1</v>
      </c>
      <c r="M133" s="80">
        <f t="shared" si="1"/>
        <v>46100.36481</v>
      </c>
      <c r="N133" s="79" t="b">
        <v>1</v>
      </c>
      <c r="O133" s="80">
        <f t="shared" si="2"/>
        <v>46100.36929</v>
      </c>
      <c r="P133" s="76" t="s">
        <v>101</v>
      </c>
      <c r="Q133" s="76" t="s">
        <v>38</v>
      </c>
      <c r="R133" s="76" t="b">
        <v>0</v>
      </c>
      <c r="S133" s="82" t="b">
        <v>0</v>
      </c>
      <c r="T133" s="76">
        <v>56.0</v>
      </c>
      <c r="U133" s="79" t="s">
        <v>96</v>
      </c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>
        <v>46100.0</v>
      </c>
      <c r="B134" s="76" t="s">
        <v>941</v>
      </c>
      <c r="C134" s="77" t="s">
        <v>942</v>
      </c>
      <c r="D134" s="76" t="s">
        <v>23</v>
      </c>
      <c r="E134" s="76"/>
      <c r="F134" s="76" t="s">
        <v>8</v>
      </c>
      <c r="G134" s="76">
        <v>1000.0</v>
      </c>
      <c r="H134" s="76">
        <v>250.0</v>
      </c>
      <c r="I134" s="75">
        <v>46102.0</v>
      </c>
      <c r="J134" s="78">
        <v>9.23</v>
      </c>
      <c r="K134" s="76" t="s">
        <v>101</v>
      </c>
      <c r="L134" s="79" t="b">
        <v>1</v>
      </c>
      <c r="M134" s="80">
        <f t="shared" si="1"/>
        <v>46100.4233</v>
      </c>
      <c r="N134" s="79" t="b">
        <v>1</v>
      </c>
      <c r="O134" s="80">
        <f t="shared" si="2"/>
        <v>46100.43842</v>
      </c>
      <c r="P134" s="76" t="s">
        <v>101</v>
      </c>
      <c r="Q134" s="76" t="s">
        <v>38</v>
      </c>
      <c r="R134" s="76" t="b">
        <v>0</v>
      </c>
      <c r="S134" s="82" t="b">
        <v>0</v>
      </c>
      <c r="T134" s="76">
        <v>256.0</v>
      </c>
      <c r="U134" s="79" t="s">
        <v>96</v>
      </c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>
        <v>46100.0</v>
      </c>
      <c r="B135" s="76" t="s">
        <v>943</v>
      </c>
      <c r="C135" s="77" t="s">
        <v>944</v>
      </c>
      <c r="D135" s="76" t="s">
        <v>14</v>
      </c>
      <c r="E135" s="76"/>
      <c r="F135" s="76" t="s">
        <v>8</v>
      </c>
      <c r="G135" s="76">
        <v>300.0</v>
      </c>
      <c r="H135" s="76">
        <v>300.0</v>
      </c>
      <c r="I135" s="75">
        <v>46106.0</v>
      </c>
      <c r="J135" s="78">
        <v>14.06</v>
      </c>
      <c r="K135" s="76" t="s">
        <v>101</v>
      </c>
      <c r="L135" s="79" t="b">
        <v>0</v>
      </c>
      <c r="M135" s="80" t="str">
        <f t="shared" si="1"/>
        <v/>
      </c>
      <c r="N135" s="79" t="b">
        <v>1</v>
      </c>
      <c r="O135" s="80">
        <f t="shared" si="2"/>
        <v>46106.58801</v>
      </c>
      <c r="P135" s="76"/>
      <c r="Q135" s="76" t="s">
        <v>11</v>
      </c>
      <c r="R135" s="76" t="b">
        <v>0</v>
      </c>
      <c r="S135" s="82" t="b">
        <v>0</v>
      </c>
      <c r="T135" s="76">
        <v>308.0</v>
      </c>
      <c r="U135" s="79" t="s">
        <v>96</v>
      </c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>
        <v>46100.0</v>
      </c>
      <c r="B136" s="76" t="s">
        <v>945</v>
      </c>
      <c r="C136" s="77" t="s">
        <v>946</v>
      </c>
      <c r="D136" s="76" t="s">
        <v>62</v>
      </c>
      <c r="E136" s="76"/>
      <c r="F136" s="76" t="s">
        <v>8</v>
      </c>
      <c r="G136" s="76">
        <v>750.0</v>
      </c>
      <c r="H136" s="76">
        <v>63.0</v>
      </c>
      <c r="I136" s="75">
        <v>46102.0</v>
      </c>
      <c r="J136" s="78">
        <v>14.06</v>
      </c>
      <c r="K136" s="76" t="s">
        <v>101</v>
      </c>
      <c r="L136" s="79" t="b">
        <v>1</v>
      </c>
      <c r="M136" s="80">
        <f t="shared" si="1"/>
        <v>46104.41057</v>
      </c>
      <c r="N136" s="79" t="b">
        <v>1</v>
      </c>
      <c r="O136" s="80">
        <f t="shared" si="2"/>
        <v>46104.61497</v>
      </c>
      <c r="P136" s="76" t="s">
        <v>101</v>
      </c>
      <c r="Q136" s="76" t="s">
        <v>11</v>
      </c>
      <c r="R136" s="76" t="b">
        <v>0</v>
      </c>
      <c r="S136" s="82" t="b">
        <v>0</v>
      </c>
      <c r="T136" s="76">
        <v>63.0</v>
      </c>
      <c r="U136" s="79" t="s">
        <v>96</v>
      </c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>
        <v>46100.0</v>
      </c>
      <c r="B137" s="76" t="s">
        <v>947</v>
      </c>
      <c r="C137" s="77" t="s">
        <v>948</v>
      </c>
      <c r="D137" s="76" t="s">
        <v>23</v>
      </c>
      <c r="E137" s="76"/>
      <c r="F137" s="76" t="s">
        <v>8</v>
      </c>
      <c r="G137" s="76">
        <v>2000.0</v>
      </c>
      <c r="H137" s="76">
        <v>500.0</v>
      </c>
      <c r="I137" s="75">
        <v>46101.0</v>
      </c>
      <c r="J137" s="78">
        <v>14.25</v>
      </c>
      <c r="K137" s="76" t="s">
        <v>101</v>
      </c>
      <c r="L137" s="79" t="b">
        <v>1</v>
      </c>
      <c r="M137" s="80">
        <f t="shared" si="1"/>
        <v>46100.62658</v>
      </c>
      <c r="N137" s="79" t="b">
        <v>1</v>
      </c>
      <c r="O137" s="80">
        <f t="shared" si="2"/>
        <v>46100.63276</v>
      </c>
      <c r="P137" s="76" t="s">
        <v>101</v>
      </c>
      <c r="Q137" s="76" t="s">
        <v>11</v>
      </c>
      <c r="R137" s="76" t="b">
        <v>0</v>
      </c>
      <c r="S137" s="82" t="b">
        <v>0</v>
      </c>
      <c r="T137" s="76">
        <v>504.0</v>
      </c>
      <c r="U137" s="79" t="s">
        <v>96</v>
      </c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>
        <v>46100.0</v>
      </c>
      <c r="B138" s="76" t="s">
        <v>949</v>
      </c>
      <c r="C138" s="77" t="s">
        <v>950</v>
      </c>
      <c r="D138" s="76" t="s">
        <v>34</v>
      </c>
      <c r="E138" s="76"/>
      <c r="F138" s="76" t="s">
        <v>27</v>
      </c>
      <c r="G138" s="76">
        <v>50.0</v>
      </c>
      <c r="H138" s="76">
        <v>2.0</v>
      </c>
      <c r="I138" s="75">
        <v>46104.0</v>
      </c>
      <c r="J138" s="78">
        <v>15.02</v>
      </c>
      <c r="K138" s="76" t="s">
        <v>101</v>
      </c>
      <c r="L138" s="79" t="b">
        <v>1</v>
      </c>
      <c r="M138" s="80">
        <f t="shared" si="1"/>
        <v>46100.64384</v>
      </c>
      <c r="N138" s="79" t="b">
        <v>1</v>
      </c>
      <c r="O138" s="80">
        <f t="shared" si="2"/>
        <v>46100.64508</v>
      </c>
      <c r="P138" s="76" t="s">
        <v>101</v>
      </c>
      <c r="Q138" s="76" t="s">
        <v>38</v>
      </c>
      <c r="R138" s="76" t="b">
        <v>0</v>
      </c>
      <c r="S138" s="82" t="b">
        <v>0</v>
      </c>
      <c r="T138" s="76">
        <v>6.0</v>
      </c>
      <c r="U138" s="79" t="s">
        <v>28</v>
      </c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>
        <v>46104.0</v>
      </c>
      <c r="B139" s="76" t="s">
        <v>951</v>
      </c>
      <c r="C139" s="77" t="s">
        <v>952</v>
      </c>
      <c r="D139" s="76" t="s">
        <v>16</v>
      </c>
      <c r="E139" s="76"/>
      <c r="F139" s="76" t="s">
        <v>8</v>
      </c>
      <c r="G139" s="76">
        <v>800.0</v>
      </c>
      <c r="H139" s="76">
        <v>10.0</v>
      </c>
      <c r="I139" s="75">
        <v>46105.0</v>
      </c>
      <c r="J139" s="78">
        <v>8.3</v>
      </c>
      <c r="K139" s="76" t="s">
        <v>101</v>
      </c>
      <c r="L139" s="79" t="b">
        <v>1</v>
      </c>
      <c r="M139" s="80">
        <f t="shared" si="1"/>
        <v>46105.41575</v>
      </c>
      <c r="N139" s="79" t="b">
        <v>1</v>
      </c>
      <c r="O139" s="80">
        <f t="shared" si="2"/>
        <v>46105.41811</v>
      </c>
      <c r="P139" s="76" t="s">
        <v>101</v>
      </c>
      <c r="Q139" s="76" t="s">
        <v>11</v>
      </c>
      <c r="R139" s="76" t="b">
        <v>0</v>
      </c>
      <c r="S139" s="82" t="b">
        <v>0</v>
      </c>
      <c r="T139" s="76">
        <v>15.0</v>
      </c>
      <c r="U139" s="79" t="s">
        <v>96</v>
      </c>
      <c r="V139" s="83" t="s">
        <v>160</v>
      </c>
      <c r="W139" s="74"/>
      <c r="X139" s="74"/>
      <c r="Y139" s="74"/>
      <c r="Z139" s="74"/>
      <c r="AA139" s="74"/>
      <c r="AB139" s="74"/>
      <c r="AC139" s="74"/>
      <c r="AD139" s="74"/>
    </row>
    <row r="140">
      <c r="A140" s="75">
        <v>46104.0</v>
      </c>
      <c r="B140" s="76" t="s">
        <v>953</v>
      </c>
      <c r="C140" s="77" t="s">
        <v>954</v>
      </c>
      <c r="D140" s="76" t="s">
        <v>31</v>
      </c>
      <c r="E140" s="76"/>
      <c r="F140" s="76" t="s">
        <v>8</v>
      </c>
      <c r="G140" s="76">
        <v>2000.0</v>
      </c>
      <c r="H140" s="76">
        <v>334.0</v>
      </c>
      <c r="I140" s="75">
        <v>46106.0</v>
      </c>
      <c r="J140" s="78">
        <v>8.3</v>
      </c>
      <c r="K140" s="76" t="s">
        <v>101</v>
      </c>
      <c r="L140" s="79" t="b">
        <v>1</v>
      </c>
      <c r="M140" s="80">
        <f t="shared" si="1"/>
        <v>46105.46501</v>
      </c>
      <c r="N140" s="79" t="b">
        <v>1</v>
      </c>
      <c r="O140" s="80">
        <f t="shared" si="2"/>
        <v>46105.47685</v>
      </c>
      <c r="P140" s="76" t="s">
        <v>101</v>
      </c>
      <c r="Q140" s="76" t="s">
        <v>11</v>
      </c>
      <c r="R140" s="76" t="b">
        <v>0</v>
      </c>
      <c r="S140" s="82" t="b">
        <v>0</v>
      </c>
      <c r="T140" s="76">
        <v>340.0</v>
      </c>
      <c r="U140" s="79" t="s">
        <v>96</v>
      </c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>
        <v>46104.0</v>
      </c>
      <c r="B141" s="76" t="s">
        <v>955</v>
      </c>
      <c r="C141" s="77" t="s">
        <v>956</v>
      </c>
      <c r="D141" s="76" t="s">
        <v>16</v>
      </c>
      <c r="E141" s="76"/>
      <c r="F141" s="76" t="s">
        <v>8</v>
      </c>
      <c r="G141" s="76">
        <v>100.0</v>
      </c>
      <c r="H141" s="76">
        <v>100.0</v>
      </c>
      <c r="I141" s="75">
        <v>46107.0</v>
      </c>
      <c r="J141" s="78">
        <v>8.3</v>
      </c>
      <c r="K141" s="76" t="s">
        <v>101</v>
      </c>
      <c r="L141" s="79" t="b">
        <v>1</v>
      </c>
      <c r="M141" s="80">
        <f t="shared" si="1"/>
        <v>46105.41928</v>
      </c>
      <c r="N141" s="79" t="b">
        <v>1</v>
      </c>
      <c r="O141" s="80">
        <f t="shared" si="2"/>
        <v>46105.42403</v>
      </c>
      <c r="P141" s="76" t="s">
        <v>101</v>
      </c>
      <c r="Q141" s="76" t="s">
        <v>11</v>
      </c>
      <c r="R141" s="76" t="b">
        <v>0</v>
      </c>
      <c r="S141" s="82" t="b">
        <v>0</v>
      </c>
      <c r="T141" s="76">
        <v>105.0</v>
      </c>
      <c r="U141" s="79" t="s">
        <v>96</v>
      </c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>
        <v>46104.0</v>
      </c>
      <c r="B142" s="76" t="s">
        <v>957</v>
      </c>
      <c r="C142" s="77" t="s">
        <v>958</v>
      </c>
      <c r="D142" s="76" t="s">
        <v>26</v>
      </c>
      <c r="E142" s="76" t="s">
        <v>41</v>
      </c>
      <c r="F142" s="76" t="s">
        <v>8</v>
      </c>
      <c r="G142" s="76">
        <v>50.0</v>
      </c>
      <c r="H142" s="76">
        <v>25.0</v>
      </c>
      <c r="I142" s="75">
        <v>46112.0</v>
      </c>
      <c r="J142" s="78">
        <v>8.3</v>
      </c>
      <c r="K142" s="76" t="s">
        <v>101</v>
      </c>
      <c r="L142" s="79" t="b">
        <v>1</v>
      </c>
      <c r="M142" s="80">
        <f t="shared" si="1"/>
        <v>46106.69971</v>
      </c>
      <c r="N142" s="79" t="b">
        <v>1</v>
      </c>
      <c r="O142" s="80">
        <f t="shared" si="2"/>
        <v>46107.68149</v>
      </c>
      <c r="P142" s="76" t="s">
        <v>101</v>
      </c>
      <c r="Q142" s="76" t="s">
        <v>11</v>
      </c>
      <c r="R142" s="76" t="b">
        <v>0</v>
      </c>
      <c r="S142" s="82" t="b">
        <v>0</v>
      </c>
      <c r="T142" s="76" t="s">
        <v>959</v>
      </c>
      <c r="U142" s="79" t="s">
        <v>96</v>
      </c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>
        <v>46104.0</v>
      </c>
      <c r="B143" s="76" t="s">
        <v>960</v>
      </c>
      <c r="C143" s="77" t="s">
        <v>961</v>
      </c>
      <c r="D143" s="76" t="s">
        <v>34</v>
      </c>
      <c r="E143" s="76"/>
      <c r="F143" s="76" t="s">
        <v>8</v>
      </c>
      <c r="G143" s="76">
        <v>18.0</v>
      </c>
      <c r="H143" s="76">
        <v>6.0</v>
      </c>
      <c r="I143" s="75">
        <v>46105.0</v>
      </c>
      <c r="J143" s="78">
        <v>8.3</v>
      </c>
      <c r="K143" s="76" t="s">
        <v>101</v>
      </c>
      <c r="L143" s="79" t="b">
        <v>1</v>
      </c>
      <c r="M143" s="80">
        <f t="shared" si="1"/>
        <v>46105.45845</v>
      </c>
      <c r="N143" s="79" t="b">
        <v>1</v>
      </c>
      <c r="O143" s="80">
        <f t="shared" si="2"/>
        <v>46105.45977</v>
      </c>
      <c r="P143" s="76" t="s">
        <v>101</v>
      </c>
      <c r="Q143" s="76" t="s">
        <v>38</v>
      </c>
      <c r="R143" s="76" t="b">
        <v>0</v>
      </c>
      <c r="S143" s="82" t="b">
        <v>0</v>
      </c>
      <c r="T143" s="76">
        <v>7.0</v>
      </c>
      <c r="U143" s="79" t="s">
        <v>28</v>
      </c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>
        <v>46104.0</v>
      </c>
      <c r="B144" s="76" t="s">
        <v>962</v>
      </c>
      <c r="C144" s="77" t="s">
        <v>963</v>
      </c>
      <c r="D144" s="76" t="s">
        <v>34</v>
      </c>
      <c r="E144" s="76"/>
      <c r="F144" s="76" t="s">
        <v>8</v>
      </c>
      <c r="G144" s="76">
        <v>18.0</v>
      </c>
      <c r="H144" s="76">
        <v>6.0</v>
      </c>
      <c r="I144" s="75">
        <v>46105.0</v>
      </c>
      <c r="J144" s="78">
        <v>8.3</v>
      </c>
      <c r="K144" s="76" t="s">
        <v>101</v>
      </c>
      <c r="L144" s="79" t="b">
        <v>1</v>
      </c>
      <c r="M144" s="80">
        <f t="shared" si="1"/>
        <v>46105.4541</v>
      </c>
      <c r="N144" s="79" t="b">
        <v>1</v>
      </c>
      <c r="O144" s="80">
        <f t="shared" si="2"/>
        <v>46105.45521</v>
      </c>
      <c r="P144" s="76" t="s">
        <v>101</v>
      </c>
      <c r="Q144" s="76" t="s">
        <v>38</v>
      </c>
      <c r="R144" s="76" t="b">
        <v>0</v>
      </c>
      <c r="S144" s="82" t="b">
        <v>0</v>
      </c>
      <c r="T144" s="76">
        <v>7.0</v>
      </c>
      <c r="U144" s="79" t="s">
        <v>28</v>
      </c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>
        <v>46104.0</v>
      </c>
      <c r="B145" s="76" t="s">
        <v>964</v>
      </c>
      <c r="C145" s="77" t="s">
        <v>965</v>
      </c>
      <c r="D145" s="76" t="s">
        <v>34</v>
      </c>
      <c r="E145" s="76"/>
      <c r="F145" s="76" t="s">
        <v>8</v>
      </c>
      <c r="G145" s="76">
        <v>18.0</v>
      </c>
      <c r="H145" s="76">
        <v>6.0</v>
      </c>
      <c r="I145" s="75">
        <v>46105.0</v>
      </c>
      <c r="J145" s="78">
        <v>8.3</v>
      </c>
      <c r="K145" s="76" t="s">
        <v>101</v>
      </c>
      <c r="L145" s="79" t="b">
        <v>1</v>
      </c>
      <c r="M145" s="80">
        <f t="shared" si="1"/>
        <v>46105.44509</v>
      </c>
      <c r="N145" s="79" t="b">
        <v>1</v>
      </c>
      <c r="O145" s="80">
        <f t="shared" si="2"/>
        <v>46105.44703</v>
      </c>
      <c r="P145" s="76" t="s">
        <v>101</v>
      </c>
      <c r="Q145" s="76" t="s">
        <v>38</v>
      </c>
      <c r="R145" s="76" t="b">
        <v>0</v>
      </c>
      <c r="S145" s="82" t="b">
        <v>0</v>
      </c>
      <c r="T145" s="76">
        <v>7.0</v>
      </c>
      <c r="U145" s="79" t="s">
        <v>28</v>
      </c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>
        <v>46104.0</v>
      </c>
      <c r="B146" s="76" t="s">
        <v>966</v>
      </c>
      <c r="C146" s="77" t="s">
        <v>967</v>
      </c>
      <c r="D146" s="76" t="s">
        <v>34</v>
      </c>
      <c r="E146" s="76"/>
      <c r="F146" s="76" t="s">
        <v>8</v>
      </c>
      <c r="G146" s="76">
        <v>18.0</v>
      </c>
      <c r="H146" s="76">
        <v>6.0</v>
      </c>
      <c r="I146" s="75">
        <v>46105.0</v>
      </c>
      <c r="J146" s="78">
        <v>8.3</v>
      </c>
      <c r="K146" s="76" t="s">
        <v>101</v>
      </c>
      <c r="L146" s="79" t="b">
        <v>1</v>
      </c>
      <c r="M146" s="80">
        <f t="shared" si="1"/>
        <v>46105.44705</v>
      </c>
      <c r="N146" s="79" t="b">
        <v>1</v>
      </c>
      <c r="O146" s="80">
        <f t="shared" si="2"/>
        <v>46105.45064</v>
      </c>
      <c r="P146" s="76" t="s">
        <v>101</v>
      </c>
      <c r="Q146" s="76" t="s">
        <v>38</v>
      </c>
      <c r="R146" s="76" t="b">
        <v>0</v>
      </c>
      <c r="S146" s="82" t="b">
        <v>0</v>
      </c>
      <c r="T146" s="76">
        <v>7.0</v>
      </c>
      <c r="U146" s="79" t="s">
        <v>28</v>
      </c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>
        <v>46104.0</v>
      </c>
      <c r="B147" s="76" t="s">
        <v>968</v>
      </c>
      <c r="C147" s="77" t="s">
        <v>969</v>
      </c>
      <c r="D147" s="76" t="s">
        <v>34</v>
      </c>
      <c r="E147" s="76"/>
      <c r="F147" s="76" t="s">
        <v>8</v>
      </c>
      <c r="G147" s="76">
        <v>14.0</v>
      </c>
      <c r="H147" s="76">
        <v>22.0</v>
      </c>
      <c r="I147" s="75">
        <v>46105.0</v>
      </c>
      <c r="J147" s="78">
        <v>8.3</v>
      </c>
      <c r="K147" s="76" t="s">
        <v>1</v>
      </c>
      <c r="L147" s="79" t="b">
        <v>1</v>
      </c>
      <c r="M147" s="80">
        <f t="shared" si="1"/>
        <v>46105.45524</v>
      </c>
      <c r="N147" s="79" t="b">
        <v>1</v>
      </c>
      <c r="O147" s="80">
        <f t="shared" si="2"/>
        <v>46105.45844</v>
      </c>
      <c r="P147" s="76" t="s">
        <v>101</v>
      </c>
      <c r="Q147" s="76" t="s">
        <v>38</v>
      </c>
      <c r="R147" s="76" t="b">
        <v>0</v>
      </c>
      <c r="S147" s="82" t="b">
        <v>0</v>
      </c>
      <c r="T147" s="76">
        <v>23.0</v>
      </c>
      <c r="U147" s="79" t="s">
        <v>28</v>
      </c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>
        <v>46104.0</v>
      </c>
      <c r="B148" s="76" t="s">
        <v>970</v>
      </c>
      <c r="C148" s="77" t="s">
        <v>971</v>
      </c>
      <c r="D148" s="76" t="s">
        <v>43</v>
      </c>
      <c r="E148" s="76"/>
      <c r="F148" s="76" t="s">
        <v>8</v>
      </c>
      <c r="G148" s="76">
        <v>1000.0</v>
      </c>
      <c r="H148" s="76">
        <v>167.0</v>
      </c>
      <c r="I148" s="75">
        <v>46105.0</v>
      </c>
      <c r="J148" s="78">
        <v>8.3</v>
      </c>
      <c r="K148" s="76" t="s">
        <v>101</v>
      </c>
      <c r="L148" s="79" t="b">
        <v>1</v>
      </c>
      <c r="M148" s="80">
        <f t="shared" si="1"/>
        <v>46105.37886</v>
      </c>
      <c r="N148" s="79" t="b">
        <v>1</v>
      </c>
      <c r="O148" s="80">
        <f t="shared" si="2"/>
        <v>46105.38725</v>
      </c>
      <c r="P148" s="76" t="s">
        <v>101</v>
      </c>
      <c r="Q148" s="76" t="s">
        <v>38</v>
      </c>
      <c r="R148" s="76" t="b">
        <v>0</v>
      </c>
      <c r="S148" s="82" t="b">
        <v>0</v>
      </c>
      <c r="T148" s="76">
        <v>170.0</v>
      </c>
      <c r="U148" s="79" t="s">
        <v>96</v>
      </c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>
        <v>46104.0</v>
      </c>
      <c r="B149" s="76" t="s">
        <v>972</v>
      </c>
      <c r="C149" s="77" t="s">
        <v>973</v>
      </c>
      <c r="D149" s="76" t="s">
        <v>43</v>
      </c>
      <c r="E149" s="76"/>
      <c r="F149" s="76" t="s">
        <v>8</v>
      </c>
      <c r="G149" s="76">
        <v>150.0</v>
      </c>
      <c r="H149" s="76">
        <v>19.0</v>
      </c>
      <c r="I149" s="75">
        <v>46105.0</v>
      </c>
      <c r="J149" s="78">
        <v>8.3</v>
      </c>
      <c r="K149" s="76" t="s">
        <v>101</v>
      </c>
      <c r="L149" s="79" t="b">
        <v>1</v>
      </c>
      <c r="M149" s="80">
        <f t="shared" si="1"/>
        <v>46105.37778</v>
      </c>
      <c r="N149" s="79" t="b">
        <v>1</v>
      </c>
      <c r="O149" s="80">
        <f t="shared" si="2"/>
        <v>46105.42825</v>
      </c>
      <c r="P149" s="76" t="s">
        <v>101</v>
      </c>
      <c r="Q149" s="76" t="s">
        <v>38</v>
      </c>
      <c r="R149" s="76" t="b">
        <v>0</v>
      </c>
      <c r="S149" s="82" t="b">
        <v>0</v>
      </c>
      <c r="T149" s="76">
        <v>25.0</v>
      </c>
      <c r="U149" s="79" t="s">
        <v>28</v>
      </c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>
        <v>46104.0</v>
      </c>
      <c r="B150" s="76" t="s">
        <v>974</v>
      </c>
      <c r="C150" s="77" t="s">
        <v>975</v>
      </c>
      <c r="D150" s="76" t="s">
        <v>34</v>
      </c>
      <c r="E150" s="76"/>
      <c r="F150" s="76" t="s">
        <v>27</v>
      </c>
      <c r="G150" s="76">
        <v>1000.0</v>
      </c>
      <c r="H150" s="76">
        <v>20.0</v>
      </c>
      <c r="I150" s="75">
        <v>46104.0</v>
      </c>
      <c r="J150" s="78">
        <v>10.07</v>
      </c>
      <c r="K150" s="76" t="s">
        <v>101</v>
      </c>
      <c r="L150" s="79" t="b">
        <v>1</v>
      </c>
      <c r="M150" s="80">
        <f t="shared" si="1"/>
        <v>46104.43687</v>
      </c>
      <c r="N150" s="79" t="b">
        <v>1</v>
      </c>
      <c r="O150" s="80">
        <f t="shared" si="2"/>
        <v>46104.43917</v>
      </c>
      <c r="P150" s="76" t="s">
        <v>101</v>
      </c>
      <c r="Q150" s="76" t="s">
        <v>38</v>
      </c>
      <c r="R150" s="76" t="b">
        <v>0</v>
      </c>
      <c r="S150" s="82" t="b">
        <v>0</v>
      </c>
      <c r="T150" s="76">
        <v>22.0</v>
      </c>
      <c r="U150" s="79" t="s">
        <v>28</v>
      </c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>
        <v>46104.0</v>
      </c>
      <c r="B151" s="76" t="s">
        <v>976</v>
      </c>
      <c r="C151" s="77" t="s">
        <v>977</v>
      </c>
      <c r="D151" s="76" t="s">
        <v>16</v>
      </c>
      <c r="E151" s="76"/>
      <c r="F151" s="76" t="s">
        <v>8</v>
      </c>
      <c r="G151" s="76">
        <v>200.0</v>
      </c>
      <c r="H151" s="76">
        <v>10.0</v>
      </c>
      <c r="I151" s="75">
        <v>46109.0</v>
      </c>
      <c r="J151" s="78">
        <v>15.2</v>
      </c>
      <c r="K151" s="76" t="s">
        <v>101</v>
      </c>
      <c r="L151" s="79" t="b">
        <v>1</v>
      </c>
      <c r="M151" s="80">
        <f t="shared" si="1"/>
        <v>46106.5551</v>
      </c>
      <c r="N151" s="79" t="b">
        <v>1</v>
      </c>
      <c r="O151" s="80">
        <f t="shared" si="2"/>
        <v>46106.55753</v>
      </c>
      <c r="P151" s="76" t="s">
        <v>101</v>
      </c>
      <c r="Q151" s="76" t="s">
        <v>11</v>
      </c>
      <c r="R151" s="76" t="b">
        <v>0</v>
      </c>
      <c r="S151" s="82" t="b">
        <v>0</v>
      </c>
      <c r="T151" s="76">
        <v>19.0</v>
      </c>
      <c r="U151" s="79" t="s">
        <v>96</v>
      </c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>
        <v>46105.0</v>
      </c>
      <c r="B152" s="76" t="s">
        <v>978</v>
      </c>
      <c r="C152" s="77" t="s">
        <v>979</v>
      </c>
      <c r="D152" s="76" t="s">
        <v>31</v>
      </c>
      <c r="E152" s="76"/>
      <c r="F152" s="76" t="s">
        <v>8</v>
      </c>
      <c r="G152" s="76">
        <v>2000.0</v>
      </c>
      <c r="H152" s="76">
        <v>1000.0</v>
      </c>
      <c r="I152" s="75">
        <v>46108.0</v>
      </c>
      <c r="J152" s="78">
        <v>10.21</v>
      </c>
      <c r="K152" s="76" t="s">
        <v>101</v>
      </c>
      <c r="L152" s="79" t="b">
        <v>1</v>
      </c>
      <c r="M152" s="80">
        <f t="shared" si="1"/>
        <v>46106.63194</v>
      </c>
      <c r="N152" s="79" t="b">
        <v>1</v>
      </c>
      <c r="O152" s="80">
        <f t="shared" si="2"/>
        <v>46106.64986</v>
      </c>
      <c r="P152" s="76" t="s">
        <v>101</v>
      </c>
      <c r="Q152" s="76" t="s">
        <v>11</v>
      </c>
      <c r="R152" s="76" t="b">
        <v>0</v>
      </c>
      <c r="S152" s="82" t="b">
        <v>0</v>
      </c>
      <c r="T152" s="76">
        <v>1006.0</v>
      </c>
      <c r="U152" s="79" t="s">
        <v>96</v>
      </c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>
        <v>46105.0</v>
      </c>
      <c r="B153" s="76" t="s">
        <v>980</v>
      </c>
      <c r="C153" s="77" t="s">
        <v>981</v>
      </c>
      <c r="D153" s="76" t="s">
        <v>23</v>
      </c>
      <c r="E153" s="76"/>
      <c r="F153" s="76" t="s">
        <v>18</v>
      </c>
      <c r="G153" s="76">
        <v>3000.0</v>
      </c>
      <c r="H153" s="76">
        <v>750.0</v>
      </c>
      <c r="I153" s="75">
        <v>46105.0</v>
      </c>
      <c r="J153" s="78">
        <v>10.48</v>
      </c>
      <c r="K153" s="76" t="s">
        <v>101</v>
      </c>
      <c r="L153" s="79" t="b">
        <v>1</v>
      </c>
      <c r="M153" s="80">
        <f t="shared" si="1"/>
        <v>46105.56383</v>
      </c>
      <c r="N153" s="79" t="b">
        <v>1</v>
      </c>
      <c r="O153" s="80">
        <f t="shared" si="2"/>
        <v>46105.58744</v>
      </c>
      <c r="P153" s="76" t="s">
        <v>101</v>
      </c>
      <c r="Q153" s="76" t="s">
        <v>11</v>
      </c>
      <c r="R153" s="76" t="b">
        <v>0</v>
      </c>
      <c r="S153" s="82" t="b">
        <v>0</v>
      </c>
      <c r="T153" s="76">
        <v>756.0</v>
      </c>
      <c r="U153" s="79" t="s">
        <v>96</v>
      </c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>
        <v>46105.0</v>
      </c>
      <c r="B154" s="76" t="s">
        <v>982</v>
      </c>
      <c r="C154" s="77" t="s">
        <v>983</v>
      </c>
      <c r="D154" s="76" t="s">
        <v>34</v>
      </c>
      <c r="E154" s="76"/>
      <c r="F154" s="76" t="s">
        <v>8</v>
      </c>
      <c r="G154" s="76">
        <v>6.0</v>
      </c>
      <c r="H154" s="76">
        <v>6.0</v>
      </c>
      <c r="I154" s="75">
        <v>46108.0</v>
      </c>
      <c r="J154" s="78">
        <v>11.38</v>
      </c>
      <c r="K154" s="76" t="s">
        <v>101</v>
      </c>
      <c r="L154" s="79" t="b">
        <v>1</v>
      </c>
      <c r="M154" s="80">
        <f t="shared" si="1"/>
        <v>46106.43564</v>
      </c>
      <c r="N154" s="79" t="b">
        <v>1</v>
      </c>
      <c r="O154" s="80">
        <f t="shared" si="2"/>
        <v>46106.43709</v>
      </c>
      <c r="P154" s="76" t="s">
        <v>101</v>
      </c>
      <c r="Q154" s="76" t="s">
        <v>38</v>
      </c>
      <c r="R154" s="76" t="b">
        <v>0</v>
      </c>
      <c r="S154" s="82" t="b">
        <v>0</v>
      </c>
      <c r="T154" s="76">
        <v>7.0</v>
      </c>
      <c r="U154" s="79" t="s">
        <v>28</v>
      </c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>
        <v>46105.0</v>
      </c>
      <c r="B155" s="76" t="s">
        <v>984</v>
      </c>
      <c r="C155" s="77" t="s">
        <v>985</v>
      </c>
      <c r="D155" s="76" t="s">
        <v>34</v>
      </c>
      <c r="E155" s="76"/>
      <c r="F155" s="76" t="s">
        <v>8</v>
      </c>
      <c r="G155" s="76">
        <v>12.0</v>
      </c>
      <c r="H155" s="76">
        <v>12.0</v>
      </c>
      <c r="I155" s="75">
        <v>46108.0</v>
      </c>
      <c r="J155" s="78">
        <v>11.38</v>
      </c>
      <c r="K155" s="76" t="s">
        <v>101</v>
      </c>
      <c r="L155" s="79" t="b">
        <v>1</v>
      </c>
      <c r="M155" s="80">
        <f t="shared" si="1"/>
        <v>46106.43708</v>
      </c>
      <c r="N155" s="79" t="b">
        <v>1</v>
      </c>
      <c r="O155" s="80">
        <f t="shared" si="2"/>
        <v>46106.43904</v>
      </c>
      <c r="P155" s="76" t="s">
        <v>101</v>
      </c>
      <c r="Q155" s="76" t="s">
        <v>38</v>
      </c>
      <c r="R155" s="76" t="b">
        <v>0</v>
      </c>
      <c r="S155" s="82" t="b">
        <v>0</v>
      </c>
      <c r="T155" s="76">
        <v>13.0</v>
      </c>
      <c r="U155" s="79" t="s">
        <v>28</v>
      </c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>
        <v>46105.0</v>
      </c>
      <c r="B156" s="76" t="s">
        <v>986</v>
      </c>
      <c r="C156" s="77" t="s">
        <v>987</v>
      </c>
      <c r="D156" s="76" t="s">
        <v>26</v>
      </c>
      <c r="E156" s="76"/>
      <c r="F156" s="76" t="s">
        <v>27</v>
      </c>
      <c r="G156" s="76">
        <v>55.0</v>
      </c>
      <c r="H156" s="76">
        <v>6.0</v>
      </c>
      <c r="I156" s="75">
        <v>46105.0</v>
      </c>
      <c r="J156" s="78">
        <v>13.21</v>
      </c>
      <c r="K156" s="76" t="s">
        <v>101</v>
      </c>
      <c r="L156" s="79" t="b">
        <v>1</v>
      </c>
      <c r="M156" s="80">
        <f t="shared" si="1"/>
        <v>46105.59998</v>
      </c>
      <c r="N156" s="79" t="b">
        <v>1</v>
      </c>
      <c r="O156" s="80">
        <f t="shared" si="2"/>
        <v>46105.60555</v>
      </c>
      <c r="P156" s="76" t="s">
        <v>101</v>
      </c>
      <c r="Q156" s="76" t="s">
        <v>11</v>
      </c>
      <c r="R156" s="76" t="b">
        <v>0</v>
      </c>
      <c r="S156" s="82" t="b">
        <v>0</v>
      </c>
      <c r="T156" s="76">
        <v>16.0</v>
      </c>
      <c r="U156" s="79" t="s">
        <v>19</v>
      </c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>
        <v>46105.0</v>
      </c>
      <c r="B157" s="76" t="s">
        <v>988</v>
      </c>
      <c r="C157" s="77" t="s">
        <v>989</v>
      </c>
      <c r="D157" s="76" t="s">
        <v>60</v>
      </c>
      <c r="E157" s="76"/>
      <c r="F157" s="76" t="s">
        <v>18</v>
      </c>
      <c r="G157" s="76">
        <v>100.0</v>
      </c>
      <c r="H157" s="76">
        <v>5.0</v>
      </c>
      <c r="I157" s="75">
        <v>46105.0</v>
      </c>
      <c r="J157" s="78">
        <v>13.27</v>
      </c>
      <c r="K157" s="76" t="s">
        <v>101</v>
      </c>
      <c r="L157" s="79" t="b">
        <v>1</v>
      </c>
      <c r="M157" s="80">
        <f t="shared" si="1"/>
        <v>46105.60553</v>
      </c>
      <c r="N157" s="79" t="b">
        <v>1</v>
      </c>
      <c r="O157" s="80">
        <f t="shared" si="2"/>
        <v>46105.60624</v>
      </c>
      <c r="P157" s="76" t="s">
        <v>101</v>
      </c>
      <c r="Q157" s="76" t="s">
        <v>11</v>
      </c>
      <c r="R157" s="76" t="b">
        <v>0</v>
      </c>
      <c r="S157" s="82" t="b">
        <v>0</v>
      </c>
      <c r="T157" s="76">
        <v>12.0</v>
      </c>
      <c r="U157" s="79" t="s">
        <v>96</v>
      </c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>
        <v>46105.0</v>
      </c>
      <c r="B158" s="76" t="s">
        <v>990</v>
      </c>
      <c r="C158" s="77" t="s">
        <v>991</v>
      </c>
      <c r="D158" s="76" t="s">
        <v>47</v>
      </c>
      <c r="E158" s="76"/>
      <c r="F158" s="76" t="s">
        <v>8</v>
      </c>
      <c r="G158" s="76">
        <v>250.0</v>
      </c>
      <c r="H158" s="76">
        <v>125.0</v>
      </c>
      <c r="I158" s="75">
        <v>46108.0</v>
      </c>
      <c r="J158" s="78">
        <v>16.1</v>
      </c>
      <c r="K158" s="76" t="s">
        <v>101</v>
      </c>
      <c r="L158" s="79" t="b">
        <v>1</v>
      </c>
      <c r="M158" s="80">
        <f t="shared" si="1"/>
        <v>46106.66425</v>
      </c>
      <c r="N158" s="79" t="b">
        <v>1</v>
      </c>
      <c r="O158" s="80">
        <f t="shared" si="2"/>
        <v>46106.68572</v>
      </c>
      <c r="P158" s="76" t="s">
        <v>101</v>
      </c>
      <c r="Q158" s="76" t="s">
        <v>11</v>
      </c>
      <c r="R158" s="76" t="b">
        <v>0</v>
      </c>
      <c r="S158" s="82" t="b">
        <v>0</v>
      </c>
      <c r="T158" s="76">
        <v>140.0</v>
      </c>
      <c r="U158" s="79" t="s">
        <v>96</v>
      </c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>
        <v>46105.0</v>
      </c>
      <c r="B159" s="76" t="s">
        <v>992</v>
      </c>
      <c r="C159" s="77" t="s">
        <v>993</v>
      </c>
      <c r="D159" s="76" t="s">
        <v>47</v>
      </c>
      <c r="E159" s="76"/>
      <c r="F159" s="76" t="s">
        <v>8</v>
      </c>
      <c r="G159" s="76">
        <v>250.0</v>
      </c>
      <c r="H159" s="76">
        <v>125.0</v>
      </c>
      <c r="I159" s="75">
        <v>46108.0</v>
      </c>
      <c r="J159" s="78">
        <v>16.1</v>
      </c>
      <c r="K159" s="76" t="s">
        <v>101</v>
      </c>
      <c r="L159" s="79" t="b">
        <v>1</v>
      </c>
      <c r="M159" s="80">
        <f t="shared" si="1"/>
        <v>46106.68574</v>
      </c>
      <c r="N159" s="79" t="b">
        <v>1</v>
      </c>
      <c r="O159" s="80">
        <f t="shared" si="2"/>
        <v>46106.71388</v>
      </c>
      <c r="P159" s="76" t="s">
        <v>101</v>
      </c>
      <c r="Q159" s="76" t="s">
        <v>11</v>
      </c>
      <c r="R159" s="76" t="b">
        <v>0</v>
      </c>
      <c r="S159" s="82" t="b">
        <v>0</v>
      </c>
      <c r="T159" s="76">
        <v>140.0</v>
      </c>
      <c r="U159" s="79" t="s">
        <v>96</v>
      </c>
      <c r="V159" s="90"/>
      <c r="W159" s="118"/>
      <c r="X159" s="74"/>
      <c r="Y159" s="74"/>
      <c r="Z159" s="74"/>
      <c r="AA159" s="74"/>
      <c r="AB159" s="74"/>
      <c r="AC159" s="74"/>
      <c r="AD159" s="74"/>
    </row>
    <row r="160">
      <c r="A160" s="75">
        <v>46105.0</v>
      </c>
      <c r="B160" s="76" t="s">
        <v>994</v>
      </c>
      <c r="C160" s="77" t="s">
        <v>995</v>
      </c>
      <c r="D160" s="76" t="s">
        <v>34</v>
      </c>
      <c r="E160" s="76"/>
      <c r="F160" s="76" t="s">
        <v>8</v>
      </c>
      <c r="G160" s="76">
        <v>31.0</v>
      </c>
      <c r="H160" s="76">
        <v>31.0</v>
      </c>
      <c r="I160" s="75">
        <v>46107.0</v>
      </c>
      <c r="J160" s="78">
        <v>16.1</v>
      </c>
      <c r="K160" s="76" t="s">
        <v>101</v>
      </c>
      <c r="L160" s="79" t="b">
        <v>1</v>
      </c>
      <c r="M160" s="80">
        <f t="shared" si="1"/>
        <v>46106.43315</v>
      </c>
      <c r="N160" s="79" t="b">
        <v>1</v>
      </c>
      <c r="O160" s="80">
        <f t="shared" si="2"/>
        <v>46106.43557</v>
      </c>
      <c r="P160" s="76" t="s">
        <v>101</v>
      </c>
      <c r="Q160" s="76" t="s">
        <v>38</v>
      </c>
      <c r="R160" s="76" t="b">
        <v>0</v>
      </c>
      <c r="S160" s="82" t="b">
        <v>0</v>
      </c>
      <c r="T160" s="76">
        <v>32.0</v>
      </c>
      <c r="U160" s="79" t="s">
        <v>28</v>
      </c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>
        <v>46105.0</v>
      </c>
      <c r="B161" s="76" t="s">
        <v>996</v>
      </c>
      <c r="C161" s="77" t="s">
        <v>997</v>
      </c>
      <c r="D161" s="76" t="s">
        <v>16</v>
      </c>
      <c r="E161" s="76"/>
      <c r="F161" s="76" t="s">
        <v>27</v>
      </c>
      <c r="G161" s="76">
        <v>75.0</v>
      </c>
      <c r="H161" s="76">
        <v>3.0</v>
      </c>
      <c r="I161" s="75">
        <v>46105.0</v>
      </c>
      <c r="J161" s="78" t="s">
        <v>151</v>
      </c>
      <c r="K161" s="76" t="s">
        <v>101</v>
      </c>
      <c r="L161" s="79" t="b">
        <v>1</v>
      </c>
      <c r="M161" s="80">
        <f t="shared" si="1"/>
        <v>46105.73459</v>
      </c>
      <c r="N161" s="79" t="b">
        <v>1</v>
      </c>
      <c r="O161" s="80">
        <f t="shared" si="2"/>
        <v>46105.7368</v>
      </c>
      <c r="P161" s="76" t="s">
        <v>101</v>
      </c>
      <c r="Q161" s="76" t="s">
        <v>11</v>
      </c>
      <c r="R161" s="76" t="b">
        <v>0</v>
      </c>
      <c r="S161" s="82" t="b">
        <v>0</v>
      </c>
      <c r="T161" s="76">
        <v>4.0</v>
      </c>
      <c r="U161" s="79" t="s">
        <v>96</v>
      </c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>
        <v>46105.0</v>
      </c>
      <c r="B162" s="76" t="s">
        <v>998</v>
      </c>
      <c r="C162" s="77" t="s">
        <v>999</v>
      </c>
      <c r="D162" s="76" t="s">
        <v>41</v>
      </c>
      <c r="E162" s="76"/>
      <c r="F162" s="76" t="s">
        <v>27</v>
      </c>
      <c r="G162" s="76" t="s">
        <v>1000</v>
      </c>
      <c r="H162" s="76" t="s">
        <v>1001</v>
      </c>
      <c r="I162" s="75">
        <v>46105.0</v>
      </c>
      <c r="J162" s="78" t="s">
        <v>151</v>
      </c>
      <c r="K162" s="76" t="s">
        <v>101</v>
      </c>
      <c r="L162" s="79" t="b">
        <v>1</v>
      </c>
      <c r="M162" s="80">
        <f t="shared" si="1"/>
        <v>46105.74338</v>
      </c>
      <c r="N162" s="79" t="b">
        <v>1</v>
      </c>
      <c r="O162" s="80">
        <f t="shared" si="2"/>
        <v>46105.74747</v>
      </c>
      <c r="P162" s="76" t="s">
        <v>101</v>
      </c>
      <c r="Q162" s="76" t="s">
        <v>11</v>
      </c>
      <c r="R162" s="76" t="b">
        <v>0</v>
      </c>
      <c r="S162" s="82" t="b">
        <v>0</v>
      </c>
      <c r="T162" s="76" t="s">
        <v>1002</v>
      </c>
      <c r="U162" s="79" t="s">
        <v>96</v>
      </c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>
        <v>46106.0</v>
      </c>
      <c r="B163" s="76" t="s">
        <v>1003</v>
      </c>
      <c r="C163" s="77" t="s">
        <v>1004</v>
      </c>
      <c r="D163" s="76" t="s">
        <v>57</v>
      </c>
      <c r="E163" s="76"/>
      <c r="F163" s="76" t="s">
        <v>27</v>
      </c>
      <c r="G163" s="76">
        <v>3000.0</v>
      </c>
      <c r="H163" s="76">
        <v>9.0</v>
      </c>
      <c r="I163" s="75">
        <v>46106.0</v>
      </c>
      <c r="J163" s="78" t="s">
        <v>151</v>
      </c>
      <c r="K163" s="76" t="s">
        <v>1</v>
      </c>
      <c r="L163" s="79" t="b">
        <v>1</v>
      </c>
      <c r="M163" s="80">
        <f t="shared" si="1"/>
        <v>46106.35801</v>
      </c>
      <c r="N163" s="79" t="b">
        <v>1</v>
      </c>
      <c r="O163" s="80">
        <f t="shared" si="2"/>
        <v>46106.36491</v>
      </c>
      <c r="P163" s="76" t="s">
        <v>101</v>
      </c>
      <c r="Q163" s="76" t="s">
        <v>38</v>
      </c>
      <c r="R163" s="76" t="b">
        <v>0</v>
      </c>
      <c r="S163" s="82" t="b">
        <v>0</v>
      </c>
      <c r="T163" s="76">
        <v>10.0</v>
      </c>
      <c r="U163" s="79" t="s">
        <v>28</v>
      </c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>
        <v>46106.0</v>
      </c>
      <c r="B164" s="76" t="s">
        <v>1005</v>
      </c>
      <c r="C164" s="77" t="s">
        <v>1006</v>
      </c>
      <c r="D164" s="76" t="s">
        <v>23</v>
      </c>
      <c r="E164" s="76"/>
      <c r="F164" s="76" t="s">
        <v>8</v>
      </c>
      <c r="G164" s="76">
        <v>100.0</v>
      </c>
      <c r="H164" s="76">
        <v>50.0</v>
      </c>
      <c r="I164" s="75">
        <v>46109.0</v>
      </c>
      <c r="J164" s="78">
        <v>10.11</v>
      </c>
      <c r="K164" s="76" t="s">
        <v>101</v>
      </c>
      <c r="L164" s="79" t="b">
        <v>1</v>
      </c>
      <c r="M164" s="80">
        <f t="shared" si="1"/>
        <v>46106.59427</v>
      </c>
      <c r="N164" s="79" t="b">
        <v>1</v>
      </c>
      <c r="O164" s="80">
        <f t="shared" si="2"/>
        <v>46106.59785</v>
      </c>
      <c r="P164" s="76" t="s">
        <v>101</v>
      </c>
      <c r="Q164" s="76" t="s">
        <v>11</v>
      </c>
      <c r="R164" s="76" t="b">
        <v>0</v>
      </c>
      <c r="S164" s="76" t="b">
        <v>0</v>
      </c>
      <c r="T164" s="76">
        <v>56.0</v>
      </c>
      <c r="U164" s="79" t="s">
        <v>96</v>
      </c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>
        <v>46106.0</v>
      </c>
      <c r="B165" s="76" t="s">
        <v>1007</v>
      </c>
      <c r="C165" s="77" t="s">
        <v>1008</v>
      </c>
      <c r="D165" s="76" t="s">
        <v>23</v>
      </c>
      <c r="E165" s="76"/>
      <c r="F165" s="76" t="s">
        <v>8</v>
      </c>
      <c r="G165" s="76">
        <v>2000.0</v>
      </c>
      <c r="H165" s="76">
        <v>500.0</v>
      </c>
      <c r="I165" s="75">
        <v>46109.0</v>
      </c>
      <c r="J165" s="78">
        <v>10.11</v>
      </c>
      <c r="K165" s="76" t="s">
        <v>101</v>
      </c>
      <c r="L165" s="79" t="b">
        <v>1</v>
      </c>
      <c r="M165" s="80">
        <f t="shared" si="1"/>
        <v>46106.60145</v>
      </c>
      <c r="N165" s="79" t="b">
        <v>1</v>
      </c>
      <c r="O165" s="80">
        <f t="shared" si="2"/>
        <v>46106.63596</v>
      </c>
      <c r="P165" s="76" t="s">
        <v>101</v>
      </c>
      <c r="Q165" s="76" t="s">
        <v>11</v>
      </c>
      <c r="R165" s="76" t="b">
        <v>0</v>
      </c>
      <c r="S165" s="76" t="b">
        <v>0</v>
      </c>
      <c r="T165" s="76">
        <v>506.0</v>
      </c>
      <c r="U165" s="79" t="s">
        <v>96</v>
      </c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>
        <v>46106.0</v>
      </c>
      <c r="B166" s="76" t="s">
        <v>1009</v>
      </c>
      <c r="C166" s="95" t="s">
        <v>1010</v>
      </c>
      <c r="D166" s="76" t="s">
        <v>23</v>
      </c>
      <c r="E166" s="76"/>
      <c r="F166" s="76" t="s">
        <v>8</v>
      </c>
      <c r="G166" s="76">
        <v>50.0</v>
      </c>
      <c r="H166" s="76">
        <v>25.0</v>
      </c>
      <c r="I166" s="75">
        <v>46109.0</v>
      </c>
      <c r="J166" s="78">
        <v>10.11</v>
      </c>
      <c r="K166" s="76" t="s">
        <v>101</v>
      </c>
      <c r="L166" s="79" t="b">
        <v>1</v>
      </c>
      <c r="M166" s="80">
        <f t="shared" si="1"/>
        <v>46107.4287</v>
      </c>
      <c r="N166" s="79" t="b">
        <v>1</v>
      </c>
      <c r="O166" s="80">
        <f t="shared" si="2"/>
        <v>46107.4354</v>
      </c>
      <c r="P166" s="76" t="s">
        <v>101</v>
      </c>
      <c r="Q166" s="76" t="s">
        <v>11</v>
      </c>
      <c r="R166" s="76" t="b">
        <v>0</v>
      </c>
      <c r="S166" s="76" t="b">
        <v>0</v>
      </c>
      <c r="T166" s="76">
        <v>30.0</v>
      </c>
      <c r="U166" s="79" t="s">
        <v>96</v>
      </c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>
        <v>46106.0</v>
      </c>
      <c r="B167" s="76" t="s">
        <v>1011</v>
      </c>
      <c r="C167" s="95" t="s">
        <v>1012</v>
      </c>
      <c r="D167" s="76" t="s">
        <v>23</v>
      </c>
      <c r="E167" s="76"/>
      <c r="F167" s="76" t="s">
        <v>8</v>
      </c>
      <c r="G167" s="76">
        <v>100.0</v>
      </c>
      <c r="H167" s="76">
        <v>50.0</v>
      </c>
      <c r="I167" s="75">
        <v>46109.0</v>
      </c>
      <c r="J167" s="78">
        <v>10.11</v>
      </c>
      <c r="K167" s="76" t="s">
        <v>101</v>
      </c>
      <c r="L167" s="79" t="b">
        <v>1</v>
      </c>
      <c r="M167" s="80">
        <f t="shared" si="1"/>
        <v>46107.4389</v>
      </c>
      <c r="N167" s="79" t="b">
        <v>1</v>
      </c>
      <c r="O167" s="80">
        <f t="shared" si="2"/>
        <v>46107.46169</v>
      </c>
      <c r="P167" s="76" t="s">
        <v>101</v>
      </c>
      <c r="Q167" s="76" t="s">
        <v>11</v>
      </c>
      <c r="R167" s="76" t="b">
        <v>0</v>
      </c>
      <c r="S167" s="76" t="b">
        <v>0</v>
      </c>
      <c r="T167" s="76">
        <v>56.0</v>
      </c>
      <c r="U167" s="79" t="s">
        <v>96</v>
      </c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>
        <v>46106.0</v>
      </c>
      <c r="B168" s="76" t="s">
        <v>1013</v>
      </c>
      <c r="C168" s="95" t="s">
        <v>1014</v>
      </c>
      <c r="D168" s="76" t="s">
        <v>23</v>
      </c>
      <c r="E168" s="76"/>
      <c r="F168" s="76" t="s">
        <v>18</v>
      </c>
      <c r="G168" s="76">
        <v>100.0</v>
      </c>
      <c r="H168" s="76">
        <v>100.0</v>
      </c>
      <c r="I168" s="75">
        <v>46106.0</v>
      </c>
      <c r="J168" s="78">
        <v>10.48</v>
      </c>
      <c r="K168" s="76" t="s">
        <v>101</v>
      </c>
      <c r="L168" s="79" t="b">
        <v>1</v>
      </c>
      <c r="M168" s="80">
        <f t="shared" si="1"/>
        <v>46106.50297</v>
      </c>
      <c r="N168" s="79" t="b">
        <v>1</v>
      </c>
      <c r="O168" s="80">
        <f t="shared" si="2"/>
        <v>46106.50297</v>
      </c>
      <c r="P168" s="76" t="s">
        <v>101</v>
      </c>
      <c r="Q168" s="76" t="s">
        <v>11</v>
      </c>
      <c r="R168" s="76" t="b">
        <v>0</v>
      </c>
      <c r="S168" s="76" t="b">
        <v>0</v>
      </c>
      <c r="T168" s="76">
        <v>108.0</v>
      </c>
      <c r="U168" s="79" t="s">
        <v>96</v>
      </c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>
        <v>46106.0</v>
      </c>
      <c r="B169" s="76" t="s">
        <v>1015</v>
      </c>
      <c r="C169" s="95" t="s">
        <v>1016</v>
      </c>
      <c r="D169" s="76" t="s">
        <v>23</v>
      </c>
      <c r="E169" s="76"/>
      <c r="F169" s="76" t="s">
        <v>8</v>
      </c>
      <c r="G169" s="76">
        <v>50.0</v>
      </c>
      <c r="H169" s="76">
        <v>25.0</v>
      </c>
      <c r="I169" s="75">
        <v>46109.0</v>
      </c>
      <c r="J169" s="78">
        <v>10.48</v>
      </c>
      <c r="K169" s="76" t="s">
        <v>101</v>
      </c>
      <c r="L169" s="79" t="b">
        <v>1</v>
      </c>
      <c r="M169" s="80">
        <f t="shared" si="1"/>
        <v>46107.42629</v>
      </c>
      <c r="N169" s="79" t="b">
        <v>1</v>
      </c>
      <c r="O169" s="80">
        <f t="shared" si="2"/>
        <v>46107.42788</v>
      </c>
      <c r="P169" s="76" t="s">
        <v>101</v>
      </c>
      <c r="Q169" s="76" t="s">
        <v>11</v>
      </c>
      <c r="R169" s="76" t="b">
        <v>0</v>
      </c>
      <c r="S169" s="76" t="b">
        <v>0</v>
      </c>
      <c r="T169" s="76">
        <v>30.0</v>
      </c>
      <c r="U169" s="79" t="s">
        <v>96</v>
      </c>
      <c r="V169" s="83" t="s">
        <v>160</v>
      </c>
      <c r="W169" s="74"/>
      <c r="X169" s="74"/>
      <c r="Y169" s="74"/>
      <c r="Z169" s="74"/>
      <c r="AA169" s="74"/>
      <c r="AB169" s="74"/>
      <c r="AC169" s="74"/>
      <c r="AD169" s="74"/>
    </row>
    <row r="170">
      <c r="A170" s="75">
        <v>46106.0</v>
      </c>
      <c r="B170" s="76" t="s">
        <v>1017</v>
      </c>
      <c r="C170" s="95" t="s">
        <v>1018</v>
      </c>
      <c r="D170" s="76" t="s">
        <v>23</v>
      </c>
      <c r="E170" s="76"/>
      <c r="F170" s="76" t="s">
        <v>27</v>
      </c>
      <c r="G170" s="76">
        <v>20.0</v>
      </c>
      <c r="H170" s="76">
        <v>10.0</v>
      </c>
      <c r="I170" s="75">
        <v>46109.0</v>
      </c>
      <c r="J170" s="78">
        <v>11.1</v>
      </c>
      <c r="K170" s="76" t="s">
        <v>101</v>
      </c>
      <c r="L170" s="79" t="b">
        <v>1</v>
      </c>
      <c r="M170" s="80">
        <f t="shared" si="1"/>
        <v>46107.40145</v>
      </c>
      <c r="N170" s="79" t="b">
        <v>1</v>
      </c>
      <c r="O170" s="80">
        <f t="shared" si="2"/>
        <v>46107.41357</v>
      </c>
      <c r="P170" s="76" t="s">
        <v>101</v>
      </c>
      <c r="Q170" s="76" t="s">
        <v>11</v>
      </c>
      <c r="R170" s="76" t="b">
        <v>0</v>
      </c>
      <c r="S170" s="76" t="b">
        <v>0</v>
      </c>
      <c r="T170" s="76">
        <v>20.0</v>
      </c>
      <c r="U170" s="79" t="s">
        <v>96</v>
      </c>
      <c r="V170" s="83" t="s">
        <v>160</v>
      </c>
      <c r="W170" s="74"/>
      <c r="X170" s="74"/>
      <c r="Y170" s="74"/>
      <c r="Z170" s="74"/>
      <c r="AA170" s="74"/>
      <c r="AB170" s="74"/>
      <c r="AC170" s="74"/>
      <c r="AD170" s="74"/>
    </row>
    <row r="171">
      <c r="A171" s="75">
        <v>46106.0</v>
      </c>
      <c r="B171" s="76" t="s">
        <v>1019</v>
      </c>
      <c r="C171" s="95" t="s">
        <v>178</v>
      </c>
      <c r="D171" s="76" t="s">
        <v>13</v>
      </c>
      <c r="E171" s="76"/>
      <c r="F171" s="76" t="s">
        <v>8</v>
      </c>
      <c r="G171" s="76">
        <v>300.0</v>
      </c>
      <c r="H171" s="76">
        <v>150.0</v>
      </c>
      <c r="I171" s="75">
        <v>46111.0</v>
      </c>
      <c r="J171" s="78">
        <v>11.1</v>
      </c>
      <c r="K171" s="76" t="s">
        <v>101</v>
      </c>
      <c r="L171" s="79" t="b">
        <v>1</v>
      </c>
      <c r="M171" s="80">
        <f t="shared" si="1"/>
        <v>46107.47946</v>
      </c>
      <c r="N171" s="79" t="b">
        <v>1</v>
      </c>
      <c r="O171" s="80">
        <f t="shared" si="2"/>
        <v>46107.48541</v>
      </c>
      <c r="P171" s="76" t="s">
        <v>101</v>
      </c>
      <c r="Q171" s="76" t="s">
        <v>11</v>
      </c>
      <c r="R171" s="76" t="b">
        <v>0</v>
      </c>
      <c r="S171" s="76" t="b">
        <v>0</v>
      </c>
      <c r="T171" s="76">
        <v>156.0</v>
      </c>
      <c r="U171" s="79" t="s">
        <v>96</v>
      </c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>
        <v>46106.0</v>
      </c>
      <c r="B172" s="76" t="s">
        <v>1020</v>
      </c>
      <c r="C172" s="95" t="s">
        <v>1021</v>
      </c>
      <c r="D172" s="76" t="s">
        <v>23</v>
      </c>
      <c r="E172" s="76"/>
      <c r="F172" s="76" t="s">
        <v>8</v>
      </c>
      <c r="G172" s="76">
        <v>200.0</v>
      </c>
      <c r="H172" s="76">
        <v>34.0</v>
      </c>
      <c r="I172" s="75">
        <v>46109.0</v>
      </c>
      <c r="J172" s="78">
        <v>16.53</v>
      </c>
      <c r="K172" s="76" t="s">
        <v>101</v>
      </c>
      <c r="L172" s="79" t="b">
        <v>1</v>
      </c>
      <c r="M172" s="80">
        <f t="shared" si="1"/>
        <v>46107.39794</v>
      </c>
      <c r="N172" s="79" t="b">
        <v>1</v>
      </c>
      <c r="O172" s="80">
        <f t="shared" si="2"/>
        <v>46107.40003</v>
      </c>
      <c r="P172" s="76" t="s">
        <v>101</v>
      </c>
      <c r="Q172" s="76" t="s">
        <v>11</v>
      </c>
      <c r="R172" s="76" t="b">
        <v>0</v>
      </c>
      <c r="S172" s="76" t="b">
        <v>0</v>
      </c>
      <c r="T172" s="76">
        <v>44.0</v>
      </c>
      <c r="U172" s="79" t="s">
        <v>96</v>
      </c>
      <c r="V172" s="83" t="s">
        <v>160</v>
      </c>
      <c r="W172" s="74"/>
      <c r="X172" s="74"/>
      <c r="Y172" s="74"/>
      <c r="Z172" s="74"/>
      <c r="AA172" s="74"/>
      <c r="AB172" s="74"/>
      <c r="AC172" s="74"/>
      <c r="AD172" s="74"/>
    </row>
    <row r="173">
      <c r="A173" s="75">
        <v>46106.0</v>
      </c>
      <c r="B173" s="76" t="s">
        <v>1022</v>
      </c>
      <c r="C173" s="95" t="s">
        <v>1023</v>
      </c>
      <c r="D173" s="76" t="s">
        <v>23</v>
      </c>
      <c r="E173" s="76"/>
      <c r="F173" s="76" t="s">
        <v>18</v>
      </c>
      <c r="G173" s="76">
        <v>1000.0</v>
      </c>
      <c r="H173" s="76">
        <v>250.0</v>
      </c>
      <c r="I173" s="75">
        <v>46107.0</v>
      </c>
      <c r="J173" s="78">
        <v>17.12</v>
      </c>
      <c r="K173" s="76" t="s">
        <v>101</v>
      </c>
      <c r="L173" s="79" t="b">
        <v>1</v>
      </c>
      <c r="M173" s="80">
        <f t="shared" si="1"/>
        <v>46107.37375</v>
      </c>
      <c r="N173" s="79" t="b">
        <v>1</v>
      </c>
      <c r="O173" s="80">
        <f t="shared" si="2"/>
        <v>46107.38094</v>
      </c>
      <c r="P173" s="76" t="s">
        <v>101</v>
      </c>
      <c r="Q173" s="76" t="s">
        <v>11</v>
      </c>
      <c r="R173" s="76" t="b">
        <v>0</v>
      </c>
      <c r="S173" s="76" t="b">
        <v>0</v>
      </c>
      <c r="T173" s="76">
        <v>256.0</v>
      </c>
      <c r="U173" s="79" t="s">
        <v>96</v>
      </c>
      <c r="V173" s="83" t="s">
        <v>160</v>
      </c>
      <c r="W173" s="74"/>
      <c r="X173" s="74"/>
      <c r="Y173" s="74"/>
      <c r="Z173" s="74"/>
      <c r="AA173" s="74"/>
      <c r="AB173" s="74"/>
      <c r="AC173" s="74"/>
      <c r="AD173" s="74"/>
    </row>
    <row r="174">
      <c r="A174" s="127">
        <v>46106.0</v>
      </c>
      <c r="B174" s="76" t="s">
        <v>1024</v>
      </c>
      <c r="C174" s="95" t="s">
        <v>1025</v>
      </c>
      <c r="D174" s="76" t="s">
        <v>23</v>
      </c>
      <c r="E174" s="76"/>
      <c r="F174" s="76" t="s">
        <v>18</v>
      </c>
      <c r="G174" s="76">
        <v>1000.0</v>
      </c>
      <c r="H174" s="76">
        <v>250.0</v>
      </c>
      <c r="I174" s="127">
        <v>46107.0</v>
      </c>
      <c r="J174" s="78">
        <v>17.12</v>
      </c>
      <c r="K174" s="76" t="s">
        <v>101</v>
      </c>
      <c r="L174" s="79" t="b">
        <v>1</v>
      </c>
      <c r="M174" s="80">
        <f t="shared" si="1"/>
        <v>46107.38096</v>
      </c>
      <c r="N174" s="79" t="b">
        <v>1</v>
      </c>
      <c r="O174" s="80">
        <f t="shared" si="2"/>
        <v>46107.38914</v>
      </c>
      <c r="P174" s="76" t="s">
        <v>101</v>
      </c>
      <c r="Q174" s="76" t="s">
        <v>11</v>
      </c>
      <c r="R174" s="76" t="b">
        <v>0</v>
      </c>
      <c r="S174" s="76" t="b">
        <v>0</v>
      </c>
      <c r="T174" s="76">
        <v>256.0</v>
      </c>
      <c r="U174" s="79" t="s">
        <v>96</v>
      </c>
      <c r="V174" s="83" t="s">
        <v>160</v>
      </c>
      <c r="W174" s="74"/>
      <c r="X174" s="74"/>
      <c r="Y174" s="74"/>
      <c r="Z174" s="74"/>
      <c r="AA174" s="74"/>
      <c r="AB174" s="74"/>
      <c r="AC174" s="74"/>
      <c r="AD174" s="74"/>
    </row>
    <row r="175">
      <c r="A175" s="127">
        <v>46107.0</v>
      </c>
      <c r="B175" s="76" t="s">
        <v>1026</v>
      </c>
      <c r="C175" s="77" t="s">
        <v>1027</v>
      </c>
      <c r="D175" s="76" t="s">
        <v>23</v>
      </c>
      <c r="E175" s="76"/>
      <c r="F175" s="76" t="s">
        <v>18</v>
      </c>
      <c r="G175" s="76">
        <v>100.0</v>
      </c>
      <c r="H175" s="76">
        <v>25.0</v>
      </c>
      <c r="I175" s="127">
        <v>46107.0</v>
      </c>
      <c r="J175" s="78">
        <v>8.5</v>
      </c>
      <c r="K175" s="76" t="s">
        <v>101</v>
      </c>
      <c r="L175" s="79" t="b">
        <v>1</v>
      </c>
      <c r="M175" s="80">
        <f t="shared" si="1"/>
        <v>46107.38916</v>
      </c>
      <c r="N175" s="79" t="b">
        <v>1</v>
      </c>
      <c r="O175" s="80">
        <f t="shared" si="2"/>
        <v>46107.39274</v>
      </c>
      <c r="P175" s="76" t="s">
        <v>101</v>
      </c>
      <c r="Q175" s="76" t="s">
        <v>11</v>
      </c>
      <c r="R175" s="76" t="b">
        <v>0</v>
      </c>
      <c r="S175" s="76" t="b">
        <v>0</v>
      </c>
      <c r="T175" s="76">
        <v>30.0</v>
      </c>
      <c r="U175" s="79" t="s">
        <v>96</v>
      </c>
      <c r="V175" s="83" t="s">
        <v>160</v>
      </c>
      <c r="W175" s="74"/>
      <c r="X175" s="74"/>
      <c r="Y175" s="74"/>
      <c r="Z175" s="74"/>
      <c r="AA175" s="74"/>
      <c r="AB175" s="74"/>
      <c r="AC175" s="74"/>
      <c r="AD175" s="74"/>
    </row>
    <row r="176">
      <c r="A176" s="127">
        <v>46107.0</v>
      </c>
      <c r="B176" s="76" t="s">
        <v>1028</v>
      </c>
      <c r="C176" s="77" t="s">
        <v>1029</v>
      </c>
      <c r="D176" s="76" t="s">
        <v>31</v>
      </c>
      <c r="E176" s="76"/>
      <c r="F176" s="76" t="s">
        <v>8</v>
      </c>
      <c r="G176" s="76">
        <v>1000.0</v>
      </c>
      <c r="H176" s="76">
        <v>500.0</v>
      </c>
      <c r="I176" s="127">
        <v>46111.0</v>
      </c>
      <c r="J176" s="78">
        <v>14.13</v>
      </c>
      <c r="K176" s="76" t="s">
        <v>101</v>
      </c>
      <c r="L176" s="79" t="b">
        <v>1</v>
      </c>
      <c r="M176" s="80">
        <f t="shared" si="1"/>
        <v>46107.64418</v>
      </c>
      <c r="N176" s="79" t="b">
        <v>1</v>
      </c>
      <c r="O176" s="80">
        <f t="shared" si="2"/>
        <v>46107.66284</v>
      </c>
      <c r="P176" s="76" t="s">
        <v>101</v>
      </c>
      <c r="Q176" s="76" t="s">
        <v>11</v>
      </c>
      <c r="R176" s="76" t="b">
        <v>0</v>
      </c>
      <c r="S176" s="76" t="b">
        <v>0</v>
      </c>
      <c r="T176" s="76">
        <v>506.0</v>
      </c>
      <c r="U176" s="79" t="s">
        <v>96</v>
      </c>
      <c r="V176" s="83"/>
      <c r="W176" s="74"/>
      <c r="X176" s="74"/>
      <c r="Y176" s="74"/>
      <c r="Z176" s="74"/>
      <c r="AA176" s="74"/>
      <c r="AB176" s="74"/>
      <c r="AC176" s="74"/>
      <c r="AD176" s="74"/>
    </row>
    <row r="177">
      <c r="A177" s="127">
        <v>46107.0</v>
      </c>
      <c r="B177" s="76" t="s">
        <v>1030</v>
      </c>
      <c r="C177" s="77" t="s">
        <v>1031</v>
      </c>
      <c r="D177" s="76" t="s">
        <v>34</v>
      </c>
      <c r="E177" s="76"/>
      <c r="F177" s="76" t="s">
        <v>8</v>
      </c>
      <c r="G177" s="76">
        <v>6.0</v>
      </c>
      <c r="H177" s="76">
        <v>6.0</v>
      </c>
      <c r="I177" s="127">
        <v>46109.0</v>
      </c>
      <c r="J177" s="78">
        <v>16.47</v>
      </c>
      <c r="K177" s="76" t="s">
        <v>101</v>
      </c>
      <c r="L177" s="79" t="b">
        <v>1</v>
      </c>
      <c r="M177" s="80">
        <f t="shared" si="1"/>
        <v>46108.36223</v>
      </c>
      <c r="N177" s="79" t="b">
        <v>1</v>
      </c>
      <c r="O177" s="80">
        <f t="shared" si="2"/>
        <v>46108.36518</v>
      </c>
      <c r="P177" s="76" t="s">
        <v>101</v>
      </c>
      <c r="Q177" s="76" t="s">
        <v>38</v>
      </c>
      <c r="R177" s="76" t="b">
        <v>0</v>
      </c>
      <c r="S177" s="76" t="b">
        <v>0</v>
      </c>
      <c r="T177" s="76">
        <v>7.0</v>
      </c>
      <c r="U177" s="79" t="s">
        <v>28</v>
      </c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>
        <v>46108.0</v>
      </c>
      <c r="B178" s="76" t="s">
        <v>1032</v>
      </c>
      <c r="C178" s="77" t="s">
        <v>1033</v>
      </c>
      <c r="D178" s="76" t="s">
        <v>23</v>
      </c>
      <c r="E178" s="76"/>
      <c r="F178" s="76" t="s">
        <v>8</v>
      </c>
      <c r="G178" s="76">
        <v>500.0</v>
      </c>
      <c r="H178" s="76">
        <v>125.0</v>
      </c>
      <c r="I178" s="127">
        <v>46111.0</v>
      </c>
      <c r="J178" s="78">
        <v>10.08</v>
      </c>
      <c r="K178" s="76" t="s">
        <v>101</v>
      </c>
      <c r="L178" s="79" t="b">
        <v>1</v>
      </c>
      <c r="M178" s="80">
        <f t="shared" si="1"/>
        <v>46108.44514</v>
      </c>
      <c r="N178" s="79" t="b">
        <v>1</v>
      </c>
      <c r="O178" s="80">
        <f t="shared" si="2"/>
        <v>46108.44931</v>
      </c>
      <c r="P178" s="76" t="s">
        <v>101</v>
      </c>
      <c r="Q178" s="76" t="s">
        <v>11</v>
      </c>
      <c r="R178" s="76" t="b">
        <v>0</v>
      </c>
      <c r="S178" s="76" t="b">
        <v>0</v>
      </c>
      <c r="T178" s="76">
        <v>130.0</v>
      </c>
      <c r="U178" s="79" t="s">
        <v>96</v>
      </c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>
        <v>46108.0</v>
      </c>
      <c r="B179" s="76" t="s">
        <v>1034</v>
      </c>
      <c r="C179" s="77" t="s">
        <v>1035</v>
      </c>
      <c r="D179" s="76" t="s">
        <v>23</v>
      </c>
      <c r="E179" s="76"/>
      <c r="F179" s="76" t="s">
        <v>18</v>
      </c>
      <c r="G179" s="76">
        <v>1000.0</v>
      </c>
      <c r="H179" s="76">
        <v>250.0</v>
      </c>
      <c r="I179" s="127">
        <v>46108.0</v>
      </c>
      <c r="J179" s="78">
        <v>11.03</v>
      </c>
      <c r="K179" s="76" t="s">
        <v>101</v>
      </c>
      <c r="L179" s="79" t="b">
        <v>1</v>
      </c>
      <c r="M179" s="80">
        <f t="shared" si="1"/>
        <v>46108.46515</v>
      </c>
      <c r="N179" s="79" t="b">
        <v>1</v>
      </c>
      <c r="O179" s="80">
        <f t="shared" si="2"/>
        <v>46108.47212</v>
      </c>
      <c r="P179" s="76" t="s">
        <v>101</v>
      </c>
      <c r="Q179" s="76" t="s">
        <v>11</v>
      </c>
      <c r="R179" s="76" t="b">
        <v>0</v>
      </c>
      <c r="S179" s="76" t="b">
        <v>0</v>
      </c>
      <c r="T179" s="76">
        <v>256.0</v>
      </c>
      <c r="U179" s="79" t="s">
        <v>96</v>
      </c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>
        <v>46108.0</v>
      </c>
      <c r="B180" s="76" t="s">
        <v>1036</v>
      </c>
      <c r="C180" s="77" t="s">
        <v>1037</v>
      </c>
      <c r="D180" s="76" t="s">
        <v>23</v>
      </c>
      <c r="E180" s="76"/>
      <c r="F180" s="76" t="s">
        <v>18</v>
      </c>
      <c r="G180" s="76">
        <v>1000.0</v>
      </c>
      <c r="H180" s="76">
        <v>250.0</v>
      </c>
      <c r="I180" s="127">
        <v>46108.0</v>
      </c>
      <c r="J180" s="78">
        <v>11.4</v>
      </c>
      <c r="K180" s="76" t="s">
        <v>101</v>
      </c>
      <c r="L180" s="79" t="b">
        <v>1</v>
      </c>
      <c r="M180" s="80">
        <f t="shared" si="1"/>
        <v>46108.54531</v>
      </c>
      <c r="N180" s="79" t="b">
        <v>1</v>
      </c>
      <c r="O180" s="80">
        <f t="shared" si="2"/>
        <v>46108.55417</v>
      </c>
      <c r="P180" s="76" t="s">
        <v>101</v>
      </c>
      <c r="Q180" s="76" t="s">
        <v>11</v>
      </c>
      <c r="R180" s="76" t="b">
        <v>0</v>
      </c>
      <c r="S180" s="76" t="b">
        <v>0</v>
      </c>
      <c r="T180" s="76">
        <v>256.0</v>
      </c>
      <c r="U180" s="79" t="s">
        <v>96</v>
      </c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>
        <v>46108.0</v>
      </c>
      <c r="B181" s="76" t="s">
        <v>1038</v>
      </c>
      <c r="C181" s="77" t="s">
        <v>1039</v>
      </c>
      <c r="D181" s="76" t="s">
        <v>49</v>
      </c>
      <c r="E181" s="76"/>
      <c r="F181" s="76" t="s">
        <v>8</v>
      </c>
      <c r="G181" s="76">
        <v>200.0</v>
      </c>
      <c r="H181" s="76">
        <v>67.0</v>
      </c>
      <c r="I181" s="127">
        <v>46119.0</v>
      </c>
      <c r="J181" s="78">
        <v>15.13</v>
      </c>
      <c r="K181" s="76" t="s">
        <v>101</v>
      </c>
      <c r="L181" s="79" t="b">
        <v>0</v>
      </c>
      <c r="M181" s="80" t="str">
        <f t="shared" si="1"/>
        <v/>
      </c>
      <c r="N181" s="79" t="b">
        <v>1</v>
      </c>
      <c r="O181" s="80">
        <f t="shared" si="2"/>
        <v>46112.49219</v>
      </c>
      <c r="P181" s="76"/>
      <c r="Q181" s="76" t="s">
        <v>11</v>
      </c>
      <c r="R181" s="76" t="b">
        <v>0</v>
      </c>
      <c r="S181" s="76" t="b">
        <v>0</v>
      </c>
      <c r="T181" s="76">
        <v>80.0</v>
      </c>
      <c r="U181" s="79" t="s">
        <v>96</v>
      </c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>
        <v>46108.0</v>
      </c>
      <c r="B182" s="76" t="s">
        <v>1040</v>
      </c>
      <c r="C182" s="77" t="s">
        <v>1041</v>
      </c>
      <c r="D182" s="76" t="s">
        <v>49</v>
      </c>
      <c r="E182" s="76"/>
      <c r="F182" s="76" t="s">
        <v>8</v>
      </c>
      <c r="G182" s="76">
        <v>200.0</v>
      </c>
      <c r="H182" s="76">
        <v>100.0</v>
      </c>
      <c r="I182" s="127">
        <v>46119.0</v>
      </c>
      <c r="J182" s="78">
        <v>15.13</v>
      </c>
      <c r="K182" s="76" t="s">
        <v>101</v>
      </c>
      <c r="L182" s="79" t="b">
        <v>0</v>
      </c>
      <c r="M182" s="80" t="str">
        <f t="shared" si="1"/>
        <v/>
      </c>
      <c r="N182" s="79" t="b">
        <v>1</v>
      </c>
      <c r="O182" s="80">
        <f t="shared" si="2"/>
        <v>46112.4922</v>
      </c>
      <c r="P182" s="76"/>
      <c r="Q182" s="76" t="s">
        <v>11</v>
      </c>
      <c r="R182" s="76" t="b">
        <v>0</v>
      </c>
      <c r="S182" s="76" t="b">
        <v>0</v>
      </c>
      <c r="T182" s="76">
        <v>120.0</v>
      </c>
      <c r="U182" s="79" t="s">
        <v>96</v>
      </c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>
        <v>46108.0</v>
      </c>
      <c r="B183" s="76" t="s">
        <v>1042</v>
      </c>
      <c r="C183" s="77" t="s">
        <v>1043</v>
      </c>
      <c r="D183" s="76" t="s">
        <v>23</v>
      </c>
      <c r="E183" s="76"/>
      <c r="F183" s="76" t="s">
        <v>8</v>
      </c>
      <c r="G183" s="76">
        <v>300.0</v>
      </c>
      <c r="H183" s="76">
        <v>38.0</v>
      </c>
      <c r="I183" s="127">
        <v>46113.0</v>
      </c>
      <c r="J183" s="78">
        <v>17.15</v>
      </c>
      <c r="K183" s="76" t="s">
        <v>101</v>
      </c>
      <c r="L183" s="79" t="b">
        <v>0</v>
      </c>
      <c r="M183" s="80" t="str">
        <f t="shared" si="1"/>
        <v/>
      </c>
      <c r="N183" s="79" t="b">
        <v>1</v>
      </c>
      <c r="O183" s="80">
        <f t="shared" si="2"/>
        <v>46112.4922</v>
      </c>
      <c r="P183" s="76"/>
      <c r="Q183" s="76" t="s">
        <v>11</v>
      </c>
      <c r="R183" s="76" t="b">
        <v>0</v>
      </c>
      <c r="S183" s="76" t="b">
        <v>0</v>
      </c>
      <c r="T183" s="76">
        <v>40.0</v>
      </c>
      <c r="U183" s="79" t="s">
        <v>96</v>
      </c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>
        <v>46109.0</v>
      </c>
      <c r="B184" s="76" t="s">
        <v>1044</v>
      </c>
      <c r="C184" s="77" t="s">
        <v>1045</v>
      </c>
      <c r="D184" s="76" t="s">
        <v>34</v>
      </c>
      <c r="E184" s="76"/>
      <c r="F184" s="76" t="s">
        <v>8</v>
      </c>
      <c r="G184" s="76">
        <v>16.0</v>
      </c>
      <c r="H184" s="76">
        <v>16.0</v>
      </c>
      <c r="I184" s="127">
        <v>46112.0</v>
      </c>
      <c r="J184" s="78">
        <v>9.5</v>
      </c>
      <c r="K184" s="76" t="s">
        <v>101</v>
      </c>
      <c r="L184" s="79" t="b">
        <v>0</v>
      </c>
      <c r="M184" s="80" t="str">
        <f t="shared" si="1"/>
        <v/>
      </c>
      <c r="N184" s="79" t="b">
        <v>1</v>
      </c>
      <c r="O184" s="80">
        <f t="shared" si="2"/>
        <v>46112.4922</v>
      </c>
      <c r="P184" s="76"/>
      <c r="Q184" s="76" t="s">
        <v>38</v>
      </c>
      <c r="R184" s="76" t="b">
        <v>0</v>
      </c>
      <c r="S184" s="76" t="b">
        <v>0</v>
      </c>
      <c r="T184" s="76">
        <v>17.0</v>
      </c>
      <c r="U184" s="79" t="s">
        <v>96</v>
      </c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>
        <v>46109.0</v>
      </c>
      <c r="B185" s="76" t="s">
        <v>1046</v>
      </c>
      <c r="C185" s="77" t="s">
        <v>1047</v>
      </c>
      <c r="D185" s="76" t="s">
        <v>23</v>
      </c>
      <c r="E185" s="76"/>
      <c r="F185" s="76" t="s">
        <v>8</v>
      </c>
      <c r="G185" s="76">
        <v>120.0</v>
      </c>
      <c r="H185" s="76">
        <v>60.0</v>
      </c>
      <c r="I185" s="127">
        <v>46115.0</v>
      </c>
      <c r="J185" s="78">
        <v>10.47</v>
      </c>
      <c r="K185" s="76" t="s">
        <v>101</v>
      </c>
      <c r="L185" s="79" t="b">
        <v>0</v>
      </c>
      <c r="M185" s="80" t="str">
        <f t="shared" si="1"/>
        <v/>
      </c>
      <c r="N185" s="79" t="b">
        <v>1</v>
      </c>
      <c r="O185" s="80">
        <f t="shared" si="2"/>
        <v>46112.49221</v>
      </c>
      <c r="P185" s="76"/>
      <c r="Q185" s="76" t="s">
        <v>11</v>
      </c>
      <c r="R185" s="76" t="b">
        <v>0</v>
      </c>
      <c r="S185" s="76" t="b">
        <v>0</v>
      </c>
      <c r="T185" s="76">
        <v>65.0</v>
      </c>
      <c r="U185" s="79" t="s">
        <v>96</v>
      </c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>
        <v>46112.0</v>
      </c>
      <c r="B186" s="76" t="s">
        <v>1048</v>
      </c>
      <c r="C186" s="77" t="s">
        <v>1049</v>
      </c>
      <c r="D186" s="76" t="s">
        <v>31</v>
      </c>
      <c r="E186" s="76"/>
      <c r="F186" s="76" t="s">
        <v>8</v>
      </c>
      <c r="G186" s="76">
        <v>300.0</v>
      </c>
      <c r="H186" s="76">
        <v>75.0</v>
      </c>
      <c r="I186" s="127">
        <v>46115.0</v>
      </c>
      <c r="J186" s="78">
        <v>15.36</v>
      </c>
      <c r="K186" s="76" t="s">
        <v>101</v>
      </c>
      <c r="L186" s="79" t="b">
        <v>1</v>
      </c>
      <c r="M186" s="80">
        <f t="shared" si="1"/>
        <v>46113.44431</v>
      </c>
      <c r="N186" s="79" t="b">
        <v>1</v>
      </c>
      <c r="O186" s="80">
        <f t="shared" si="2"/>
        <v>46113.44573</v>
      </c>
      <c r="P186" s="76" t="s">
        <v>101</v>
      </c>
      <c r="Q186" s="76" t="s">
        <v>11</v>
      </c>
      <c r="R186" s="76" t="b">
        <v>0</v>
      </c>
      <c r="S186" s="76" t="b">
        <v>0</v>
      </c>
      <c r="T186" s="76">
        <v>80.0</v>
      </c>
      <c r="U186" s="79" t="s">
        <v>96</v>
      </c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>
        <v>46112.0</v>
      </c>
      <c r="B187" s="76" t="s">
        <v>1050</v>
      </c>
      <c r="C187" s="77" t="s">
        <v>1051</v>
      </c>
      <c r="D187" s="76" t="s">
        <v>31</v>
      </c>
      <c r="E187" s="76"/>
      <c r="F187" s="76" t="s">
        <v>8</v>
      </c>
      <c r="G187" s="76">
        <v>300.0</v>
      </c>
      <c r="H187" s="76">
        <v>150.0</v>
      </c>
      <c r="I187" s="127">
        <v>46115.0</v>
      </c>
      <c r="J187" s="78">
        <v>15.36</v>
      </c>
      <c r="K187" s="76" t="s">
        <v>101</v>
      </c>
      <c r="L187" s="79" t="b">
        <v>1</v>
      </c>
      <c r="M187" s="80">
        <f t="shared" si="1"/>
        <v>46113.43962</v>
      </c>
      <c r="N187" s="79" t="b">
        <v>1</v>
      </c>
      <c r="O187" s="80">
        <f t="shared" si="2"/>
        <v>46113.44275</v>
      </c>
      <c r="P187" s="76" t="s">
        <v>101</v>
      </c>
      <c r="Q187" s="76" t="s">
        <v>11</v>
      </c>
      <c r="R187" s="76" t="b">
        <v>0</v>
      </c>
      <c r="S187" s="76" t="b">
        <v>0</v>
      </c>
      <c r="T187" s="76">
        <v>156.0</v>
      </c>
      <c r="U187" s="79" t="s">
        <v>96</v>
      </c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8">
        <v>46112.0</v>
      </c>
      <c r="B188" s="97" t="s">
        <v>1052</v>
      </c>
      <c r="C188" s="120" t="s">
        <v>1053</v>
      </c>
      <c r="D188" s="97" t="s">
        <v>43</v>
      </c>
      <c r="E188" s="97"/>
      <c r="F188" s="97" t="s">
        <v>27</v>
      </c>
      <c r="G188" s="97">
        <v>1000.0</v>
      </c>
      <c r="H188" s="97">
        <v>12.0</v>
      </c>
      <c r="I188" s="128">
        <v>46116.0</v>
      </c>
      <c r="J188" s="99">
        <v>15.49</v>
      </c>
      <c r="K188" s="97" t="s">
        <v>101</v>
      </c>
      <c r="L188" s="100" t="b">
        <v>1</v>
      </c>
      <c r="M188" s="101">
        <f t="shared" si="1"/>
        <v>46112.68072</v>
      </c>
      <c r="N188" s="100" t="b">
        <v>1</v>
      </c>
      <c r="O188" s="101">
        <f t="shared" si="2"/>
        <v>46112.68282</v>
      </c>
      <c r="P188" s="97" t="s">
        <v>101</v>
      </c>
      <c r="Q188" s="97" t="s">
        <v>38</v>
      </c>
      <c r="R188" s="97" t="b">
        <v>0</v>
      </c>
      <c r="S188" s="97" t="b">
        <v>0</v>
      </c>
      <c r="T188" s="97">
        <v>13.0</v>
      </c>
      <c r="U188" s="100" t="s">
        <v>28</v>
      </c>
      <c r="V188" s="102"/>
      <c r="W188" s="74"/>
      <c r="X188" s="74"/>
      <c r="Y188" s="74"/>
      <c r="Z188" s="74"/>
      <c r="AA188" s="74"/>
      <c r="AB188" s="74"/>
      <c r="AC188" s="74"/>
      <c r="AD188" s="74"/>
    </row>
    <row r="189">
      <c r="A189" s="129"/>
      <c r="B189" s="104"/>
      <c r="C189" s="122"/>
      <c r="D189" s="104"/>
      <c r="E189" s="104"/>
      <c r="F189" s="104"/>
      <c r="G189" s="104"/>
      <c r="H189" s="104"/>
      <c r="I189" s="129"/>
      <c r="J189" s="106"/>
      <c r="K189" s="104"/>
      <c r="L189" s="107"/>
      <c r="M189" s="108"/>
      <c r="N189" s="107"/>
      <c r="O189" s="108"/>
      <c r="P189" s="104"/>
      <c r="Q189" s="104"/>
      <c r="R189" s="104"/>
      <c r="S189" s="104"/>
      <c r="T189" s="104"/>
      <c r="U189" s="107"/>
      <c r="V189" s="109"/>
      <c r="W189" s="74"/>
      <c r="X189" s="74"/>
      <c r="Y189" s="74"/>
      <c r="Z189" s="74"/>
      <c r="AA189" s="74"/>
      <c r="AB189" s="74"/>
      <c r="AC189" s="74"/>
      <c r="AD189" s="74"/>
    </row>
    <row r="190">
      <c r="A190" s="116"/>
      <c r="B190" s="111"/>
      <c r="C190" s="117"/>
      <c r="D190" s="111"/>
      <c r="E190" s="111"/>
      <c r="F190" s="111"/>
      <c r="G190" s="111"/>
      <c r="H190" s="111"/>
      <c r="I190" s="116"/>
      <c r="J190" s="113"/>
      <c r="K190" s="111"/>
      <c r="L190" s="114"/>
      <c r="M190" s="115"/>
      <c r="N190" s="114"/>
      <c r="O190" s="115"/>
      <c r="P190" s="111"/>
      <c r="Q190" s="111"/>
      <c r="R190" s="111"/>
      <c r="S190" s="111"/>
      <c r="T190" s="111"/>
      <c r="U190" s="114"/>
      <c r="V190" s="74"/>
      <c r="W190" s="74"/>
      <c r="X190" s="74"/>
      <c r="Y190" s="74"/>
      <c r="Z190" s="74"/>
      <c r="AA190" s="74"/>
      <c r="AB190" s="74"/>
      <c r="AC190" s="74"/>
      <c r="AD190" s="74"/>
    </row>
    <row r="191">
      <c r="A191" s="116"/>
      <c r="B191" s="111"/>
      <c r="C191" s="117"/>
      <c r="D191" s="111"/>
      <c r="E191" s="111"/>
      <c r="F191" s="111"/>
      <c r="G191" s="111"/>
      <c r="H191" s="111"/>
      <c r="I191" s="116"/>
      <c r="J191" s="113"/>
      <c r="K191" s="111"/>
      <c r="L191" s="114"/>
      <c r="M191" s="115"/>
      <c r="N191" s="114"/>
      <c r="O191" s="115"/>
      <c r="P191" s="111"/>
      <c r="Q191" s="111"/>
      <c r="R191" s="111"/>
      <c r="S191" s="111"/>
      <c r="T191" s="111"/>
      <c r="U191" s="114"/>
      <c r="V191" s="74"/>
      <c r="W191" s="74"/>
      <c r="X191" s="74"/>
      <c r="Y191" s="74"/>
      <c r="Z191" s="74"/>
      <c r="AA191" s="74"/>
      <c r="AB191" s="74"/>
      <c r="AC191" s="74"/>
      <c r="AD191" s="74"/>
    </row>
    <row r="192">
      <c r="A192" s="116"/>
      <c r="B192" s="111"/>
      <c r="C192" s="117"/>
      <c r="D192" s="111"/>
      <c r="E192" s="111"/>
      <c r="F192" s="111"/>
      <c r="G192" s="111"/>
      <c r="H192" s="111"/>
      <c r="I192" s="116"/>
      <c r="J192" s="113"/>
      <c r="K192" s="111"/>
      <c r="L192" s="114"/>
      <c r="M192" s="115"/>
      <c r="N192" s="114"/>
      <c r="O192" s="115"/>
      <c r="P192" s="111"/>
      <c r="Q192" s="111"/>
      <c r="R192" s="111"/>
      <c r="S192" s="111"/>
      <c r="T192" s="111"/>
      <c r="U192" s="114"/>
      <c r="V192" s="74"/>
      <c r="W192" s="74"/>
      <c r="X192" s="74"/>
      <c r="Y192" s="74"/>
      <c r="Z192" s="74"/>
      <c r="AA192" s="74"/>
      <c r="AB192" s="74"/>
      <c r="AC192" s="74"/>
      <c r="AD192" s="74"/>
    </row>
    <row r="193">
      <c r="A193" s="116"/>
      <c r="B193" s="111"/>
      <c r="C193" s="117"/>
      <c r="D193" s="111"/>
      <c r="E193" s="111"/>
      <c r="F193" s="111"/>
      <c r="G193" s="111"/>
      <c r="H193" s="111"/>
      <c r="I193" s="116"/>
      <c r="J193" s="113"/>
      <c r="K193" s="111"/>
      <c r="L193" s="114"/>
      <c r="M193" s="115"/>
      <c r="N193" s="114"/>
      <c r="O193" s="115"/>
      <c r="P193" s="111"/>
      <c r="Q193" s="111"/>
      <c r="R193" s="111"/>
      <c r="S193" s="111"/>
      <c r="T193" s="111"/>
      <c r="U193" s="114"/>
      <c r="V193" s="74"/>
      <c r="W193" s="74"/>
      <c r="X193" s="74"/>
      <c r="Y193" s="74"/>
      <c r="Z193" s="74"/>
      <c r="AA193" s="74"/>
      <c r="AB193" s="74"/>
      <c r="AC193" s="74"/>
      <c r="AD193" s="74"/>
    </row>
    <row r="194">
      <c r="A194" s="116"/>
      <c r="B194" s="111"/>
      <c r="C194" s="117"/>
      <c r="D194" s="111"/>
      <c r="E194" s="111"/>
      <c r="F194" s="111"/>
      <c r="G194" s="111"/>
      <c r="H194" s="111"/>
      <c r="I194" s="116"/>
      <c r="J194" s="113"/>
      <c r="K194" s="111"/>
      <c r="L194" s="114"/>
      <c r="M194" s="115"/>
      <c r="N194" s="114"/>
      <c r="O194" s="115"/>
      <c r="P194" s="111"/>
      <c r="Q194" s="111"/>
      <c r="R194" s="111"/>
      <c r="S194" s="111"/>
      <c r="T194" s="111"/>
      <c r="U194" s="114"/>
      <c r="V194" s="74"/>
      <c r="W194" s="74"/>
      <c r="X194" s="74"/>
      <c r="Y194" s="74"/>
      <c r="Z194" s="74"/>
      <c r="AA194" s="74"/>
      <c r="AB194" s="74"/>
      <c r="AC194" s="74"/>
      <c r="AD194" s="74"/>
    </row>
    <row r="195">
      <c r="A195" s="116"/>
      <c r="B195" s="111"/>
      <c r="C195" s="117"/>
      <c r="D195" s="111"/>
      <c r="E195" s="111"/>
      <c r="F195" s="111"/>
      <c r="G195" s="111"/>
      <c r="H195" s="111"/>
      <c r="I195" s="116"/>
      <c r="J195" s="113"/>
      <c r="K195" s="111"/>
      <c r="L195" s="114"/>
      <c r="M195" s="115"/>
      <c r="N195" s="114"/>
      <c r="O195" s="115"/>
      <c r="P195" s="111"/>
      <c r="Q195" s="111"/>
      <c r="R195" s="111"/>
      <c r="S195" s="111"/>
      <c r="T195" s="111"/>
      <c r="U195" s="114"/>
      <c r="V195" s="74"/>
      <c r="W195" s="74"/>
      <c r="X195" s="74"/>
      <c r="Y195" s="74"/>
      <c r="Z195" s="74"/>
      <c r="AA195" s="74"/>
      <c r="AB195" s="74"/>
      <c r="AC195" s="74"/>
      <c r="AD195" s="74"/>
    </row>
    <row r="196">
      <c r="A196" s="116"/>
      <c r="B196" s="111"/>
      <c r="C196" s="117"/>
      <c r="D196" s="111"/>
      <c r="E196" s="111"/>
      <c r="F196" s="111"/>
      <c r="G196" s="111"/>
      <c r="H196" s="111"/>
      <c r="I196" s="116"/>
      <c r="J196" s="113"/>
      <c r="K196" s="111"/>
      <c r="L196" s="114"/>
      <c r="M196" s="115"/>
      <c r="N196" s="114"/>
      <c r="O196" s="115"/>
      <c r="P196" s="111"/>
      <c r="Q196" s="111"/>
      <c r="R196" s="111"/>
      <c r="S196" s="111"/>
      <c r="T196" s="111"/>
      <c r="U196" s="114"/>
      <c r="V196" s="74"/>
      <c r="W196" s="74"/>
      <c r="X196" s="74"/>
      <c r="Y196" s="74"/>
      <c r="Z196" s="74"/>
      <c r="AA196" s="74"/>
      <c r="AB196" s="74"/>
      <c r="AC196" s="74"/>
      <c r="AD196" s="74"/>
    </row>
    <row r="197">
      <c r="A197" s="116"/>
      <c r="B197" s="111"/>
      <c r="C197" s="117"/>
      <c r="D197" s="111"/>
      <c r="E197" s="111"/>
      <c r="F197" s="111"/>
      <c r="G197" s="111"/>
      <c r="H197" s="111"/>
      <c r="I197" s="116"/>
      <c r="J197" s="113"/>
      <c r="K197" s="111"/>
      <c r="L197" s="114"/>
      <c r="M197" s="115"/>
      <c r="N197" s="114"/>
      <c r="O197" s="115"/>
      <c r="P197" s="111"/>
      <c r="Q197" s="111"/>
      <c r="R197" s="111"/>
      <c r="S197" s="111"/>
      <c r="T197" s="111"/>
      <c r="U197" s="114"/>
      <c r="V197" s="74"/>
      <c r="W197" s="74"/>
      <c r="X197" s="74"/>
      <c r="Y197" s="74"/>
      <c r="Z197" s="74"/>
      <c r="AA197" s="74"/>
      <c r="AB197" s="74"/>
      <c r="AC197" s="74"/>
      <c r="AD197" s="74"/>
    </row>
    <row r="198">
      <c r="A198" s="116"/>
      <c r="B198" s="111"/>
      <c r="C198" s="117"/>
      <c r="D198" s="111"/>
      <c r="E198" s="111"/>
      <c r="F198" s="111"/>
      <c r="G198" s="111"/>
      <c r="H198" s="111"/>
      <c r="I198" s="116"/>
      <c r="J198" s="113"/>
      <c r="K198" s="111"/>
      <c r="L198" s="114"/>
      <c r="M198" s="115"/>
      <c r="N198" s="114"/>
      <c r="O198" s="115"/>
      <c r="P198" s="111"/>
      <c r="Q198" s="111"/>
      <c r="R198" s="111"/>
      <c r="S198" s="111"/>
      <c r="T198" s="111"/>
      <c r="U198" s="114"/>
      <c r="V198" s="74"/>
      <c r="W198" s="74"/>
      <c r="X198" s="74"/>
      <c r="Y198" s="74"/>
      <c r="Z198" s="74"/>
      <c r="AA198" s="74"/>
      <c r="AB198" s="74"/>
      <c r="AC198" s="74"/>
      <c r="AD198" s="74"/>
    </row>
    <row r="199">
      <c r="A199" s="116"/>
      <c r="B199" s="111"/>
      <c r="C199" s="117"/>
      <c r="D199" s="111"/>
      <c r="E199" s="111"/>
      <c r="F199" s="111"/>
      <c r="G199" s="111"/>
      <c r="H199" s="111"/>
      <c r="I199" s="116"/>
      <c r="J199" s="113"/>
      <c r="K199" s="111"/>
      <c r="L199" s="114"/>
      <c r="M199" s="115"/>
      <c r="N199" s="114"/>
      <c r="O199" s="115"/>
      <c r="P199" s="111"/>
      <c r="Q199" s="111"/>
      <c r="R199" s="111"/>
      <c r="S199" s="111"/>
      <c r="T199" s="111"/>
      <c r="U199" s="114"/>
      <c r="V199" s="74"/>
      <c r="W199" s="74"/>
      <c r="X199" s="74"/>
      <c r="Y199" s="74"/>
      <c r="Z199" s="74"/>
      <c r="AA199" s="74"/>
      <c r="AB199" s="74"/>
      <c r="AC199" s="74"/>
      <c r="AD199" s="74"/>
    </row>
    <row r="200">
      <c r="A200" s="116"/>
      <c r="B200" s="111"/>
      <c r="C200" s="117"/>
      <c r="D200" s="111"/>
      <c r="E200" s="111"/>
      <c r="F200" s="111"/>
      <c r="G200" s="111"/>
      <c r="H200" s="111"/>
      <c r="I200" s="116"/>
      <c r="J200" s="113"/>
      <c r="K200" s="111"/>
      <c r="L200" s="114"/>
      <c r="M200" s="115"/>
      <c r="N200" s="114"/>
      <c r="O200" s="115"/>
      <c r="P200" s="111"/>
      <c r="Q200" s="111"/>
      <c r="R200" s="111"/>
      <c r="S200" s="111"/>
      <c r="T200" s="111"/>
      <c r="U200" s="114"/>
      <c r="V200" s="74"/>
      <c r="W200" s="74"/>
      <c r="X200" s="74"/>
      <c r="Y200" s="74"/>
      <c r="Z200" s="74"/>
      <c r="AA200" s="74"/>
      <c r="AB200" s="74"/>
      <c r="AC200" s="74"/>
      <c r="AD200" s="74"/>
    </row>
    <row r="201">
      <c r="A201" s="116"/>
      <c r="B201" s="111"/>
      <c r="C201" s="117"/>
      <c r="D201" s="111"/>
      <c r="E201" s="111"/>
      <c r="F201" s="111"/>
      <c r="G201" s="111"/>
      <c r="H201" s="111"/>
      <c r="I201" s="116"/>
      <c r="J201" s="113"/>
      <c r="K201" s="111"/>
      <c r="L201" s="114"/>
      <c r="M201" s="115"/>
      <c r="N201" s="114"/>
      <c r="O201" s="115"/>
      <c r="P201" s="111"/>
      <c r="Q201" s="111"/>
      <c r="R201" s="111"/>
      <c r="S201" s="111"/>
      <c r="T201" s="111"/>
      <c r="U201" s="114"/>
      <c r="V201" s="74"/>
      <c r="W201" s="74"/>
      <c r="X201" s="74"/>
      <c r="Y201" s="74"/>
      <c r="Z201" s="74"/>
      <c r="AA201" s="74"/>
      <c r="AB201" s="74"/>
      <c r="AC201" s="74"/>
      <c r="AD201" s="74"/>
    </row>
    <row r="202">
      <c r="A202" s="116"/>
      <c r="B202" s="111"/>
      <c r="C202" s="117"/>
      <c r="D202" s="111"/>
      <c r="E202" s="111"/>
      <c r="F202" s="111"/>
      <c r="G202" s="111"/>
      <c r="H202" s="111"/>
      <c r="I202" s="116"/>
      <c r="J202" s="113"/>
      <c r="K202" s="111"/>
      <c r="L202" s="114"/>
      <c r="M202" s="115"/>
      <c r="N202" s="114"/>
      <c r="O202" s="115"/>
      <c r="P202" s="111"/>
      <c r="Q202" s="111"/>
      <c r="R202" s="111"/>
      <c r="S202" s="111"/>
      <c r="T202" s="111"/>
      <c r="U202" s="114"/>
      <c r="V202" s="74"/>
      <c r="W202" s="74"/>
      <c r="X202" s="74"/>
      <c r="Y202" s="74"/>
      <c r="Z202" s="74"/>
      <c r="AA202" s="74"/>
      <c r="AB202" s="74"/>
      <c r="AC202" s="74"/>
      <c r="AD202" s="74"/>
    </row>
    <row r="203">
      <c r="A203" s="116"/>
      <c r="B203" s="111"/>
      <c r="C203" s="117"/>
      <c r="D203" s="111"/>
      <c r="E203" s="111"/>
      <c r="F203" s="111"/>
      <c r="G203" s="111"/>
      <c r="H203" s="111"/>
      <c r="I203" s="116"/>
      <c r="J203" s="113"/>
      <c r="K203" s="111"/>
      <c r="L203" s="114"/>
      <c r="M203" s="115"/>
      <c r="N203" s="114"/>
      <c r="O203" s="115"/>
      <c r="P203" s="111"/>
      <c r="Q203" s="111"/>
      <c r="R203" s="111"/>
      <c r="S203" s="111"/>
      <c r="T203" s="111"/>
      <c r="U203" s="114"/>
      <c r="V203" s="74"/>
      <c r="W203" s="74"/>
      <c r="X203" s="74"/>
      <c r="Y203" s="74"/>
      <c r="Z203" s="74"/>
      <c r="AA203" s="74"/>
      <c r="AB203" s="74"/>
      <c r="AC203" s="74"/>
      <c r="AD203" s="74"/>
    </row>
    <row r="204">
      <c r="A204" s="116"/>
      <c r="B204" s="111"/>
      <c r="C204" s="117"/>
      <c r="D204" s="111"/>
      <c r="E204" s="111"/>
      <c r="F204" s="111"/>
      <c r="G204" s="111"/>
      <c r="H204" s="111"/>
      <c r="I204" s="116"/>
      <c r="J204" s="113"/>
      <c r="K204" s="111"/>
      <c r="L204" s="114"/>
      <c r="M204" s="115"/>
      <c r="N204" s="114"/>
      <c r="O204" s="115"/>
      <c r="P204" s="111"/>
      <c r="Q204" s="111"/>
      <c r="R204" s="111"/>
      <c r="S204" s="111"/>
      <c r="T204" s="111"/>
      <c r="U204" s="114"/>
      <c r="V204" s="74"/>
      <c r="W204" s="74"/>
      <c r="X204" s="74"/>
      <c r="Y204" s="74"/>
      <c r="Z204" s="74"/>
      <c r="AA204" s="74"/>
      <c r="AB204" s="74"/>
      <c r="AC204" s="74"/>
      <c r="AD204" s="74"/>
    </row>
    <row r="205">
      <c r="A205" s="116"/>
      <c r="B205" s="111"/>
      <c r="C205" s="117"/>
      <c r="D205" s="111"/>
      <c r="E205" s="111"/>
      <c r="F205" s="111"/>
      <c r="G205" s="111"/>
      <c r="H205" s="111"/>
      <c r="I205" s="116"/>
      <c r="J205" s="113"/>
      <c r="K205" s="111"/>
      <c r="L205" s="114"/>
      <c r="M205" s="115"/>
      <c r="N205" s="114"/>
      <c r="O205" s="115"/>
      <c r="P205" s="111"/>
      <c r="Q205" s="111"/>
      <c r="R205" s="111"/>
      <c r="S205" s="111"/>
      <c r="T205" s="111"/>
      <c r="U205" s="114"/>
      <c r="V205" s="74"/>
      <c r="W205" s="74"/>
      <c r="X205" s="74"/>
      <c r="Y205" s="74"/>
      <c r="Z205" s="74"/>
      <c r="AA205" s="74"/>
      <c r="AB205" s="74"/>
      <c r="AC205" s="74"/>
      <c r="AD205" s="74"/>
    </row>
    <row r="206">
      <c r="A206" s="116"/>
      <c r="B206" s="111"/>
      <c r="C206" s="117"/>
      <c r="D206" s="111"/>
      <c r="E206" s="111"/>
      <c r="F206" s="111"/>
      <c r="G206" s="111"/>
      <c r="H206" s="111"/>
      <c r="I206" s="116"/>
      <c r="J206" s="113"/>
      <c r="K206" s="111"/>
      <c r="L206" s="114"/>
      <c r="M206" s="115"/>
      <c r="N206" s="114"/>
      <c r="O206" s="115"/>
      <c r="P206" s="111"/>
      <c r="Q206" s="111"/>
      <c r="R206" s="111"/>
      <c r="S206" s="111"/>
      <c r="T206" s="111"/>
      <c r="U206" s="114"/>
      <c r="V206" s="74"/>
      <c r="W206" s="74"/>
      <c r="X206" s="74"/>
      <c r="Y206" s="74"/>
      <c r="Z206" s="74"/>
      <c r="AA206" s="74"/>
      <c r="AB206" s="74"/>
      <c r="AC206" s="74"/>
      <c r="AD206" s="74"/>
    </row>
    <row r="207">
      <c r="A207" s="116"/>
      <c r="B207" s="111"/>
      <c r="C207" s="117"/>
      <c r="D207" s="111"/>
      <c r="E207" s="111"/>
      <c r="F207" s="111"/>
      <c r="G207" s="111"/>
      <c r="H207" s="111"/>
      <c r="I207" s="116"/>
      <c r="J207" s="113"/>
      <c r="K207" s="111"/>
      <c r="L207" s="114"/>
      <c r="M207" s="115"/>
      <c r="N207" s="114"/>
      <c r="O207" s="115"/>
      <c r="P207" s="111"/>
      <c r="Q207" s="111"/>
      <c r="R207" s="111"/>
      <c r="S207" s="111"/>
      <c r="T207" s="111"/>
      <c r="U207" s="114"/>
      <c r="V207" s="74"/>
      <c r="W207" s="74"/>
      <c r="X207" s="74"/>
      <c r="Y207" s="74"/>
      <c r="Z207" s="74"/>
      <c r="AA207" s="74"/>
      <c r="AB207" s="74"/>
      <c r="AC207" s="74"/>
      <c r="AD207" s="74"/>
    </row>
    <row r="208">
      <c r="A208" s="116"/>
      <c r="B208" s="111"/>
      <c r="C208" s="117"/>
      <c r="D208" s="111"/>
      <c r="E208" s="111"/>
      <c r="F208" s="111"/>
      <c r="G208" s="111"/>
      <c r="H208" s="111"/>
      <c r="I208" s="116"/>
      <c r="J208" s="113"/>
      <c r="K208" s="111"/>
      <c r="L208" s="114"/>
      <c r="M208" s="115"/>
      <c r="N208" s="114"/>
      <c r="O208" s="115"/>
      <c r="P208" s="111"/>
      <c r="Q208" s="111"/>
      <c r="R208" s="111"/>
      <c r="S208" s="111"/>
      <c r="T208" s="111"/>
      <c r="U208" s="114"/>
      <c r="V208" s="74"/>
      <c r="W208" s="74"/>
      <c r="X208" s="74"/>
      <c r="Y208" s="74"/>
      <c r="Z208" s="74"/>
      <c r="AA208" s="74"/>
      <c r="AB208" s="74"/>
      <c r="AC208" s="74"/>
      <c r="AD208" s="74"/>
    </row>
    <row r="209">
      <c r="A209" s="116"/>
      <c r="B209" s="111"/>
      <c r="C209" s="117"/>
      <c r="D209" s="111"/>
      <c r="E209" s="111"/>
      <c r="F209" s="111"/>
      <c r="G209" s="111"/>
      <c r="H209" s="111"/>
      <c r="I209" s="116"/>
      <c r="J209" s="113"/>
      <c r="K209" s="111"/>
      <c r="L209" s="114"/>
      <c r="M209" s="115"/>
      <c r="N209" s="114"/>
      <c r="O209" s="115"/>
      <c r="P209" s="111"/>
      <c r="Q209" s="111"/>
      <c r="R209" s="111"/>
      <c r="S209" s="111"/>
      <c r="T209" s="111"/>
      <c r="U209" s="114"/>
      <c r="V209" s="74"/>
      <c r="W209" s="74"/>
      <c r="X209" s="74"/>
      <c r="Y209" s="74"/>
      <c r="Z209" s="74"/>
      <c r="AA209" s="74"/>
      <c r="AB209" s="74"/>
      <c r="AC209" s="74"/>
      <c r="AD209" s="74"/>
    </row>
    <row r="210">
      <c r="A210" s="116"/>
      <c r="B210" s="111"/>
      <c r="C210" s="117"/>
      <c r="D210" s="111"/>
      <c r="E210" s="111"/>
      <c r="F210" s="111"/>
      <c r="G210" s="111"/>
      <c r="H210" s="111"/>
      <c r="I210" s="116"/>
      <c r="J210" s="113"/>
      <c r="K210" s="111"/>
      <c r="L210" s="114"/>
      <c r="M210" s="115"/>
      <c r="N210" s="114"/>
      <c r="O210" s="115"/>
      <c r="P210" s="111"/>
      <c r="Q210" s="111"/>
      <c r="R210" s="111"/>
      <c r="S210" s="111"/>
      <c r="T210" s="111"/>
      <c r="U210" s="114"/>
      <c r="V210" s="74"/>
      <c r="W210" s="74"/>
      <c r="X210" s="74"/>
      <c r="Y210" s="74"/>
      <c r="Z210" s="74"/>
      <c r="AA210" s="74"/>
      <c r="AB210" s="74"/>
      <c r="AC210" s="74"/>
      <c r="AD210" s="74"/>
    </row>
    <row r="211">
      <c r="A211" s="116"/>
      <c r="B211" s="111"/>
      <c r="C211" s="117"/>
      <c r="D211" s="111"/>
      <c r="E211" s="111"/>
      <c r="F211" s="111"/>
      <c r="G211" s="111"/>
      <c r="H211" s="111"/>
      <c r="I211" s="116"/>
      <c r="J211" s="113"/>
      <c r="K211" s="111"/>
      <c r="L211" s="114"/>
      <c r="M211" s="115"/>
      <c r="N211" s="114"/>
      <c r="O211" s="115"/>
      <c r="P211" s="111"/>
      <c r="Q211" s="111"/>
      <c r="R211" s="111"/>
      <c r="S211" s="111"/>
      <c r="T211" s="111"/>
      <c r="U211" s="114"/>
      <c r="V211" s="74"/>
      <c r="W211" s="74"/>
      <c r="X211" s="74"/>
      <c r="Y211" s="74"/>
      <c r="Z211" s="74"/>
      <c r="AA211" s="74"/>
      <c r="AB211" s="74"/>
      <c r="AC211" s="74"/>
      <c r="AD211" s="74"/>
    </row>
    <row r="212">
      <c r="A212" s="116"/>
      <c r="B212" s="111"/>
      <c r="C212" s="117"/>
      <c r="D212" s="111"/>
      <c r="E212" s="111"/>
      <c r="F212" s="111"/>
      <c r="G212" s="111"/>
      <c r="H212" s="111"/>
      <c r="I212" s="116"/>
      <c r="J212" s="113"/>
      <c r="K212" s="111"/>
      <c r="L212" s="114"/>
      <c r="M212" s="115"/>
      <c r="N212" s="114"/>
      <c r="O212" s="115"/>
      <c r="P212" s="111"/>
      <c r="Q212" s="111"/>
      <c r="R212" s="111"/>
      <c r="S212" s="111"/>
      <c r="T212" s="111"/>
      <c r="U212" s="114"/>
      <c r="V212" s="74"/>
      <c r="W212" s="74"/>
      <c r="X212" s="74"/>
      <c r="Y212" s="74"/>
      <c r="Z212" s="74"/>
      <c r="AA212" s="74"/>
      <c r="AB212" s="74"/>
      <c r="AC212" s="74"/>
      <c r="AD212" s="74"/>
    </row>
    <row r="213">
      <c r="A213" s="116"/>
      <c r="B213" s="111"/>
      <c r="C213" s="117"/>
      <c r="D213" s="111"/>
      <c r="E213" s="111"/>
      <c r="F213" s="111"/>
      <c r="G213" s="111"/>
      <c r="H213" s="111"/>
      <c r="I213" s="116"/>
      <c r="J213" s="113"/>
      <c r="K213" s="111"/>
      <c r="L213" s="114"/>
      <c r="M213" s="115"/>
      <c r="N213" s="114"/>
      <c r="O213" s="115"/>
      <c r="P213" s="111"/>
      <c r="Q213" s="111"/>
      <c r="R213" s="111"/>
      <c r="S213" s="111"/>
      <c r="T213" s="111"/>
      <c r="U213" s="114"/>
      <c r="V213" s="74"/>
      <c r="W213" s="74"/>
      <c r="X213" s="74"/>
      <c r="Y213" s="74"/>
      <c r="Z213" s="74"/>
      <c r="AA213" s="74"/>
      <c r="AB213" s="74"/>
      <c r="AC213" s="74"/>
      <c r="AD213" s="74"/>
    </row>
    <row r="214">
      <c r="A214" s="116"/>
      <c r="B214" s="111"/>
      <c r="C214" s="117"/>
      <c r="D214" s="111"/>
      <c r="E214" s="111"/>
      <c r="F214" s="111"/>
      <c r="G214" s="111"/>
      <c r="H214" s="111"/>
      <c r="I214" s="116"/>
      <c r="J214" s="113"/>
      <c r="K214" s="111"/>
      <c r="L214" s="114"/>
      <c r="M214" s="115"/>
      <c r="N214" s="114"/>
      <c r="O214" s="115"/>
      <c r="P214" s="111"/>
      <c r="Q214" s="111"/>
      <c r="R214" s="111"/>
      <c r="S214" s="111"/>
      <c r="T214" s="111"/>
      <c r="U214" s="114"/>
      <c r="V214" s="74"/>
      <c r="W214" s="74"/>
      <c r="X214" s="74"/>
      <c r="Y214" s="74"/>
      <c r="Z214" s="74"/>
      <c r="AA214" s="74"/>
      <c r="AB214" s="74"/>
      <c r="AC214" s="74"/>
      <c r="AD214" s="74"/>
    </row>
    <row r="215">
      <c r="A215" s="116"/>
      <c r="B215" s="111"/>
      <c r="C215" s="117"/>
      <c r="D215" s="111"/>
      <c r="E215" s="111"/>
      <c r="F215" s="111"/>
      <c r="G215" s="111"/>
      <c r="H215" s="111"/>
      <c r="I215" s="116"/>
      <c r="J215" s="113"/>
      <c r="K215" s="111"/>
      <c r="L215" s="114"/>
      <c r="M215" s="115"/>
      <c r="N215" s="114"/>
      <c r="O215" s="115"/>
      <c r="P215" s="111"/>
      <c r="Q215" s="111"/>
      <c r="R215" s="111"/>
      <c r="S215" s="111"/>
      <c r="T215" s="111"/>
      <c r="U215" s="114"/>
      <c r="V215" s="74"/>
      <c r="W215" s="74"/>
      <c r="X215" s="74"/>
      <c r="Y215" s="74"/>
      <c r="Z215" s="74"/>
      <c r="AA215" s="74"/>
      <c r="AB215" s="74"/>
      <c r="AC215" s="74"/>
      <c r="AD215" s="74"/>
    </row>
    <row r="216">
      <c r="A216" s="116"/>
      <c r="B216" s="111"/>
      <c r="C216" s="117"/>
      <c r="D216" s="111"/>
      <c r="E216" s="111"/>
      <c r="F216" s="111"/>
      <c r="G216" s="111"/>
      <c r="H216" s="111"/>
      <c r="I216" s="116"/>
      <c r="J216" s="113"/>
      <c r="K216" s="111"/>
      <c r="L216" s="114"/>
      <c r="M216" s="115"/>
      <c r="N216" s="114"/>
      <c r="O216" s="115"/>
      <c r="P216" s="111"/>
      <c r="Q216" s="111"/>
      <c r="R216" s="111"/>
      <c r="S216" s="111"/>
      <c r="T216" s="111"/>
      <c r="U216" s="114"/>
      <c r="V216" s="74"/>
      <c r="W216" s="74"/>
      <c r="X216" s="74"/>
      <c r="Y216" s="74"/>
      <c r="Z216" s="74"/>
      <c r="AA216" s="74"/>
      <c r="AB216" s="74"/>
      <c r="AC216" s="74"/>
      <c r="AD216" s="74"/>
    </row>
    <row r="217">
      <c r="A217" s="116"/>
      <c r="B217" s="111"/>
      <c r="C217" s="117"/>
      <c r="D217" s="111"/>
      <c r="E217" s="111"/>
      <c r="F217" s="111"/>
      <c r="G217" s="111"/>
      <c r="H217" s="111"/>
      <c r="I217" s="116"/>
      <c r="J217" s="113"/>
      <c r="K217" s="111"/>
      <c r="L217" s="114"/>
      <c r="M217" s="115"/>
      <c r="N217" s="114"/>
      <c r="O217" s="115"/>
      <c r="P217" s="111"/>
      <c r="Q217" s="111"/>
      <c r="R217" s="111"/>
      <c r="S217" s="111"/>
      <c r="T217" s="111"/>
      <c r="U217" s="114"/>
      <c r="V217" s="74"/>
      <c r="W217" s="74"/>
      <c r="X217" s="74"/>
      <c r="Y217" s="74"/>
      <c r="Z217" s="74"/>
      <c r="AA217" s="74"/>
      <c r="AB217" s="74"/>
      <c r="AC217" s="74"/>
      <c r="AD217" s="74"/>
    </row>
    <row r="218">
      <c r="A218" s="116"/>
      <c r="B218" s="111"/>
      <c r="C218" s="117"/>
      <c r="D218" s="111"/>
      <c r="E218" s="111"/>
      <c r="F218" s="111"/>
      <c r="G218" s="111"/>
      <c r="H218" s="111"/>
      <c r="I218" s="116"/>
      <c r="J218" s="113"/>
      <c r="K218" s="111"/>
      <c r="L218" s="114"/>
      <c r="M218" s="115"/>
      <c r="N218" s="114"/>
      <c r="O218" s="115"/>
      <c r="P218" s="111"/>
      <c r="Q218" s="111"/>
      <c r="R218" s="111"/>
      <c r="S218" s="111"/>
      <c r="T218" s="111"/>
      <c r="U218" s="114"/>
      <c r="V218" s="74"/>
      <c r="W218" s="74"/>
      <c r="X218" s="74"/>
      <c r="Y218" s="74"/>
      <c r="Z218" s="74"/>
      <c r="AA218" s="74"/>
      <c r="AB218" s="74"/>
      <c r="AC218" s="74"/>
      <c r="AD218" s="74"/>
    </row>
    <row r="219">
      <c r="A219" s="116"/>
      <c r="B219" s="111"/>
      <c r="C219" s="117"/>
      <c r="D219" s="111"/>
      <c r="E219" s="111"/>
      <c r="F219" s="111"/>
      <c r="G219" s="111"/>
      <c r="H219" s="111"/>
      <c r="I219" s="116"/>
      <c r="J219" s="113"/>
      <c r="K219" s="111"/>
      <c r="L219" s="114"/>
      <c r="M219" s="115"/>
      <c r="N219" s="114"/>
      <c r="O219" s="115"/>
      <c r="P219" s="111"/>
      <c r="Q219" s="111"/>
      <c r="R219" s="111"/>
      <c r="S219" s="111"/>
      <c r="T219" s="111"/>
      <c r="U219" s="114"/>
      <c r="V219" s="74"/>
      <c r="W219" s="74"/>
      <c r="X219" s="74"/>
      <c r="Y219" s="74"/>
      <c r="Z219" s="74"/>
      <c r="AA219" s="74"/>
      <c r="AB219" s="74"/>
      <c r="AC219" s="74"/>
      <c r="AD219" s="74"/>
    </row>
    <row r="220">
      <c r="A220" s="116"/>
      <c r="B220" s="111"/>
      <c r="C220" s="117"/>
      <c r="D220" s="111"/>
      <c r="E220" s="111"/>
      <c r="F220" s="111"/>
      <c r="G220" s="111"/>
      <c r="H220" s="111"/>
      <c r="I220" s="116"/>
      <c r="J220" s="113"/>
      <c r="K220" s="111"/>
      <c r="L220" s="114"/>
      <c r="M220" s="115"/>
      <c r="N220" s="114"/>
      <c r="O220" s="115"/>
      <c r="P220" s="111"/>
      <c r="Q220" s="111"/>
      <c r="R220" s="111"/>
      <c r="S220" s="111"/>
      <c r="T220" s="111"/>
      <c r="U220" s="114"/>
      <c r="V220" s="74"/>
      <c r="W220" s="74"/>
      <c r="X220" s="74"/>
      <c r="Y220" s="74"/>
      <c r="Z220" s="74"/>
      <c r="AA220" s="74"/>
      <c r="AB220" s="74"/>
      <c r="AC220" s="74"/>
      <c r="AD220" s="74"/>
    </row>
    <row r="221">
      <c r="A221" s="116"/>
      <c r="B221" s="111"/>
      <c r="C221" s="117"/>
      <c r="D221" s="111"/>
      <c r="E221" s="111"/>
      <c r="F221" s="111"/>
      <c r="G221" s="111"/>
      <c r="H221" s="111"/>
      <c r="I221" s="116"/>
      <c r="J221" s="113"/>
      <c r="K221" s="111"/>
      <c r="L221" s="114"/>
      <c r="M221" s="115"/>
      <c r="N221" s="114"/>
      <c r="O221" s="115"/>
      <c r="P221" s="111"/>
      <c r="Q221" s="111"/>
      <c r="R221" s="111"/>
      <c r="S221" s="111"/>
      <c r="T221" s="111"/>
      <c r="U221" s="114"/>
      <c r="V221" s="74"/>
      <c r="W221" s="74"/>
      <c r="X221" s="74"/>
      <c r="Y221" s="74"/>
      <c r="Z221" s="74"/>
      <c r="AA221" s="74"/>
      <c r="AB221" s="74"/>
      <c r="AC221" s="74"/>
      <c r="AD221" s="74"/>
    </row>
    <row r="222">
      <c r="A222" s="116"/>
      <c r="B222" s="111"/>
      <c r="C222" s="117"/>
      <c r="D222" s="111"/>
      <c r="E222" s="111"/>
      <c r="F222" s="111"/>
      <c r="G222" s="111"/>
      <c r="H222" s="111"/>
      <c r="I222" s="116"/>
      <c r="J222" s="113"/>
      <c r="K222" s="111"/>
      <c r="L222" s="114"/>
      <c r="M222" s="115"/>
      <c r="N222" s="114"/>
      <c r="O222" s="115"/>
      <c r="P222" s="111"/>
      <c r="Q222" s="111"/>
      <c r="R222" s="111"/>
      <c r="S222" s="111"/>
      <c r="T222" s="111"/>
      <c r="U222" s="114"/>
      <c r="V222" s="74"/>
      <c r="W222" s="74"/>
      <c r="X222" s="74"/>
      <c r="Y222" s="74"/>
      <c r="Z222" s="74"/>
      <c r="AA222" s="74"/>
      <c r="AB222" s="74"/>
      <c r="AC222" s="74"/>
      <c r="AD222" s="74"/>
    </row>
    <row r="223">
      <c r="A223" s="116"/>
      <c r="B223" s="111"/>
      <c r="C223" s="117"/>
      <c r="D223" s="111"/>
      <c r="E223" s="111"/>
      <c r="F223" s="111"/>
      <c r="G223" s="111"/>
      <c r="H223" s="111"/>
      <c r="I223" s="116"/>
      <c r="J223" s="113"/>
      <c r="K223" s="111"/>
      <c r="L223" s="114"/>
      <c r="M223" s="115"/>
      <c r="N223" s="114"/>
      <c r="O223" s="115"/>
      <c r="P223" s="111"/>
      <c r="Q223" s="111"/>
      <c r="R223" s="111"/>
      <c r="S223" s="111"/>
      <c r="T223" s="111"/>
      <c r="U223" s="114"/>
      <c r="V223" s="74"/>
      <c r="W223" s="74"/>
      <c r="X223" s="74"/>
      <c r="Y223" s="74"/>
      <c r="Z223" s="74"/>
      <c r="AA223" s="74"/>
      <c r="AB223" s="74"/>
      <c r="AC223" s="74"/>
      <c r="AD223" s="74"/>
    </row>
    <row r="224">
      <c r="A224" s="116"/>
      <c r="B224" s="111"/>
      <c r="C224" s="117"/>
      <c r="D224" s="111"/>
      <c r="E224" s="111"/>
      <c r="F224" s="111"/>
      <c r="G224" s="111"/>
      <c r="H224" s="111"/>
      <c r="I224" s="116"/>
      <c r="J224" s="113"/>
      <c r="K224" s="111"/>
      <c r="L224" s="114"/>
      <c r="M224" s="115"/>
      <c r="N224" s="114"/>
      <c r="O224" s="115"/>
      <c r="P224" s="111"/>
      <c r="Q224" s="111"/>
      <c r="R224" s="111"/>
      <c r="S224" s="111"/>
      <c r="T224" s="111"/>
      <c r="U224" s="114"/>
      <c r="V224" s="74"/>
      <c r="W224" s="74"/>
      <c r="X224" s="74"/>
      <c r="Y224" s="74"/>
      <c r="Z224" s="74"/>
      <c r="AA224" s="74"/>
      <c r="AB224" s="74"/>
      <c r="AC224" s="74"/>
      <c r="AD224" s="74"/>
    </row>
    <row r="225">
      <c r="A225" s="116"/>
      <c r="B225" s="111"/>
      <c r="C225" s="117"/>
      <c r="D225" s="111"/>
      <c r="E225" s="111"/>
      <c r="F225" s="111"/>
      <c r="G225" s="111"/>
      <c r="H225" s="111"/>
      <c r="I225" s="116"/>
      <c r="J225" s="113"/>
      <c r="K225" s="111"/>
      <c r="L225" s="114"/>
      <c r="M225" s="115"/>
      <c r="N225" s="114"/>
      <c r="O225" s="115"/>
      <c r="P225" s="111"/>
      <c r="Q225" s="111"/>
      <c r="R225" s="111"/>
      <c r="S225" s="111"/>
      <c r="T225" s="111"/>
      <c r="U225" s="114"/>
      <c r="V225" s="74"/>
      <c r="W225" s="74"/>
      <c r="X225" s="74"/>
      <c r="Y225" s="74"/>
      <c r="Z225" s="74"/>
      <c r="AA225" s="74"/>
      <c r="AB225" s="74"/>
      <c r="AC225" s="74"/>
      <c r="AD225" s="74"/>
    </row>
    <row r="226">
      <c r="A226" s="116"/>
      <c r="B226" s="111"/>
      <c r="C226" s="117"/>
      <c r="D226" s="111"/>
      <c r="E226" s="111"/>
      <c r="F226" s="111"/>
      <c r="G226" s="111"/>
      <c r="H226" s="111"/>
      <c r="I226" s="116"/>
      <c r="J226" s="113"/>
      <c r="K226" s="111"/>
      <c r="L226" s="114"/>
      <c r="M226" s="115"/>
      <c r="N226" s="114"/>
      <c r="O226" s="115"/>
      <c r="P226" s="111"/>
      <c r="Q226" s="111"/>
      <c r="R226" s="111"/>
      <c r="S226" s="111"/>
      <c r="T226" s="111"/>
      <c r="U226" s="114"/>
      <c r="V226" s="74"/>
      <c r="W226" s="74"/>
      <c r="X226" s="74"/>
      <c r="Y226" s="74"/>
      <c r="Z226" s="74"/>
      <c r="AA226" s="74"/>
      <c r="AB226" s="74"/>
      <c r="AC226" s="74"/>
      <c r="AD226" s="74"/>
    </row>
    <row r="227">
      <c r="A227" s="116"/>
      <c r="B227" s="111"/>
      <c r="C227" s="117"/>
      <c r="D227" s="111"/>
      <c r="E227" s="111"/>
      <c r="F227" s="111"/>
      <c r="G227" s="111"/>
      <c r="H227" s="111"/>
      <c r="I227" s="116"/>
      <c r="J227" s="113"/>
      <c r="K227" s="111"/>
      <c r="L227" s="114"/>
      <c r="M227" s="115"/>
      <c r="N227" s="114"/>
      <c r="O227" s="115"/>
      <c r="P227" s="111"/>
      <c r="Q227" s="111"/>
      <c r="R227" s="111"/>
      <c r="S227" s="111"/>
      <c r="T227" s="111"/>
      <c r="U227" s="114"/>
      <c r="V227" s="74"/>
      <c r="W227" s="74"/>
      <c r="X227" s="74"/>
      <c r="Y227" s="74"/>
      <c r="Z227" s="74"/>
      <c r="AA227" s="74"/>
      <c r="AB227" s="74"/>
      <c r="AC227" s="74"/>
      <c r="AD227" s="74"/>
    </row>
    <row r="228">
      <c r="A228" s="116"/>
      <c r="B228" s="111"/>
      <c r="C228" s="117"/>
      <c r="D228" s="111"/>
      <c r="E228" s="111"/>
      <c r="F228" s="111"/>
      <c r="G228" s="111"/>
      <c r="H228" s="111"/>
      <c r="I228" s="116"/>
      <c r="J228" s="113"/>
      <c r="K228" s="111"/>
      <c r="L228" s="114"/>
      <c r="M228" s="115"/>
      <c r="N228" s="114"/>
      <c r="O228" s="115"/>
      <c r="P228" s="111"/>
      <c r="Q228" s="111"/>
      <c r="R228" s="111"/>
      <c r="S228" s="111"/>
      <c r="T228" s="111"/>
      <c r="U228" s="114"/>
      <c r="V228" s="74"/>
      <c r="W228" s="74"/>
      <c r="X228" s="74"/>
      <c r="Y228" s="74"/>
      <c r="Z228" s="74"/>
      <c r="AA228" s="74"/>
      <c r="AB228" s="74"/>
      <c r="AC228" s="74"/>
      <c r="AD228" s="74"/>
    </row>
    <row r="229">
      <c r="A229" s="116"/>
      <c r="B229" s="111"/>
      <c r="C229" s="117"/>
      <c r="D229" s="111"/>
      <c r="E229" s="111"/>
      <c r="F229" s="111"/>
      <c r="G229" s="111"/>
      <c r="H229" s="111"/>
      <c r="I229" s="116"/>
      <c r="J229" s="113"/>
      <c r="K229" s="111"/>
      <c r="L229" s="114"/>
      <c r="M229" s="115"/>
      <c r="N229" s="114"/>
      <c r="O229" s="115"/>
      <c r="P229" s="111"/>
      <c r="Q229" s="111"/>
      <c r="R229" s="111"/>
      <c r="S229" s="111"/>
      <c r="T229" s="111"/>
      <c r="U229" s="114"/>
      <c r="V229" s="74"/>
      <c r="W229" s="74"/>
      <c r="X229" s="74"/>
      <c r="Y229" s="74"/>
      <c r="Z229" s="74"/>
      <c r="AA229" s="74"/>
      <c r="AB229" s="74"/>
      <c r="AC229" s="74"/>
      <c r="AD229" s="74"/>
    </row>
    <row r="230">
      <c r="A230" s="116"/>
      <c r="B230" s="111"/>
      <c r="C230" s="117"/>
      <c r="D230" s="111"/>
      <c r="E230" s="111"/>
      <c r="F230" s="111"/>
      <c r="G230" s="111"/>
      <c r="H230" s="111"/>
      <c r="I230" s="116"/>
      <c r="J230" s="113"/>
      <c r="K230" s="111"/>
      <c r="L230" s="114"/>
      <c r="M230" s="115"/>
      <c r="N230" s="114"/>
      <c r="O230" s="115"/>
      <c r="P230" s="111"/>
      <c r="Q230" s="111"/>
      <c r="R230" s="111"/>
      <c r="S230" s="111"/>
      <c r="T230" s="111"/>
      <c r="U230" s="114"/>
      <c r="V230" s="74"/>
      <c r="W230" s="74"/>
      <c r="X230" s="74"/>
      <c r="Y230" s="74"/>
      <c r="Z230" s="74"/>
      <c r="AA230" s="74"/>
      <c r="AB230" s="74"/>
      <c r="AC230" s="74"/>
      <c r="AD230" s="74"/>
    </row>
    <row r="231">
      <c r="A231" s="116"/>
      <c r="B231" s="111"/>
      <c r="C231" s="117"/>
      <c r="D231" s="111"/>
      <c r="E231" s="111"/>
      <c r="F231" s="111"/>
      <c r="G231" s="111"/>
      <c r="H231" s="111"/>
      <c r="I231" s="116"/>
      <c r="J231" s="113"/>
      <c r="K231" s="111"/>
      <c r="L231" s="114"/>
      <c r="M231" s="115"/>
      <c r="N231" s="114"/>
      <c r="O231" s="115"/>
      <c r="P231" s="111"/>
      <c r="Q231" s="111"/>
      <c r="R231" s="111"/>
      <c r="S231" s="111"/>
      <c r="T231" s="111"/>
      <c r="U231" s="114"/>
      <c r="V231" s="74"/>
      <c r="W231" s="74"/>
      <c r="X231" s="74"/>
      <c r="Y231" s="74"/>
      <c r="Z231" s="74"/>
      <c r="AA231" s="74"/>
      <c r="AB231" s="74"/>
      <c r="AC231" s="74"/>
      <c r="AD231" s="74"/>
    </row>
    <row r="232">
      <c r="A232" s="116"/>
      <c r="B232" s="111"/>
      <c r="C232" s="117"/>
      <c r="D232" s="111"/>
      <c r="E232" s="111"/>
      <c r="F232" s="111"/>
      <c r="G232" s="111"/>
      <c r="H232" s="111"/>
      <c r="I232" s="116"/>
      <c r="J232" s="113"/>
      <c r="K232" s="111"/>
      <c r="L232" s="114"/>
      <c r="M232" s="115"/>
      <c r="N232" s="114"/>
      <c r="O232" s="115"/>
      <c r="P232" s="111"/>
      <c r="Q232" s="111"/>
      <c r="R232" s="111"/>
      <c r="S232" s="111"/>
      <c r="T232" s="111"/>
      <c r="U232" s="114"/>
      <c r="V232" s="74"/>
      <c r="W232" s="74"/>
      <c r="X232" s="74"/>
      <c r="Y232" s="74"/>
      <c r="Z232" s="74"/>
      <c r="AA232" s="74"/>
      <c r="AB232" s="74"/>
      <c r="AC232" s="74"/>
      <c r="AD232" s="74"/>
    </row>
    <row r="233">
      <c r="A233" s="116"/>
      <c r="B233" s="111"/>
      <c r="C233" s="117"/>
      <c r="D233" s="111"/>
      <c r="E233" s="111"/>
      <c r="F233" s="111"/>
      <c r="G233" s="111"/>
      <c r="H233" s="111"/>
      <c r="I233" s="116"/>
      <c r="J233" s="113"/>
      <c r="K233" s="111"/>
      <c r="L233" s="114"/>
      <c r="M233" s="115"/>
      <c r="N233" s="114"/>
      <c r="O233" s="115"/>
      <c r="P233" s="111"/>
      <c r="Q233" s="111"/>
      <c r="R233" s="111"/>
      <c r="S233" s="111"/>
      <c r="T233" s="111"/>
      <c r="U233" s="114"/>
      <c r="V233" s="74"/>
      <c r="W233" s="74"/>
      <c r="X233" s="74"/>
      <c r="Y233" s="74"/>
      <c r="Z233" s="74"/>
      <c r="AA233" s="74"/>
      <c r="AB233" s="74"/>
      <c r="AC233" s="74"/>
      <c r="AD233" s="74"/>
    </row>
    <row r="234">
      <c r="A234" s="116"/>
      <c r="B234" s="111"/>
      <c r="C234" s="117"/>
      <c r="D234" s="111"/>
      <c r="E234" s="111"/>
      <c r="F234" s="111"/>
      <c r="G234" s="111"/>
      <c r="H234" s="111"/>
      <c r="I234" s="116"/>
      <c r="J234" s="113"/>
      <c r="K234" s="111"/>
      <c r="L234" s="114"/>
      <c r="M234" s="115"/>
      <c r="N234" s="114"/>
      <c r="O234" s="115"/>
      <c r="P234" s="111"/>
      <c r="Q234" s="111"/>
      <c r="R234" s="111"/>
      <c r="S234" s="111"/>
      <c r="T234" s="111"/>
      <c r="U234" s="114"/>
      <c r="V234" s="74"/>
      <c r="W234" s="74"/>
      <c r="X234" s="74"/>
      <c r="Y234" s="74"/>
      <c r="Z234" s="74"/>
      <c r="AA234" s="74"/>
      <c r="AB234" s="74"/>
      <c r="AC234" s="74"/>
      <c r="AD234" s="74"/>
    </row>
    <row r="235">
      <c r="A235" s="116"/>
      <c r="B235" s="111"/>
      <c r="C235" s="117"/>
      <c r="D235" s="111"/>
      <c r="E235" s="111"/>
      <c r="F235" s="111"/>
      <c r="G235" s="111"/>
      <c r="H235" s="111"/>
      <c r="I235" s="116"/>
      <c r="J235" s="113"/>
      <c r="K235" s="111"/>
      <c r="L235" s="114"/>
      <c r="M235" s="115"/>
      <c r="N235" s="114"/>
      <c r="O235" s="115"/>
      <c r="P235" s="111"/>
      <c r="Q235" s="111"/>
      <c r="R235" s="111"/>
      <c r="S235" s="111"/>
      <c r="T235" s="111"/>
      <c r="U235" s="114"/>
      <c r="V235" s="74"/>
      <c r="W235" s="74"/>
      <c r="X235" s="74"/>
      <c r="Y235" s="74"/>
      <c r="Z235" s="74"/>
      <c r="AA235" s="74"/>
      <c r="AB235" s="74"/>
      <c r="AC235" s="74"/>
      <c r="AD235" s="74"/>
    </row>
    <row r="236">
      <c r="A236" s="116"/>
      <c r="B236" s="111"/>
      <c r="C236" s="117"/>
      <c r="D236" s="111"/>
      <c r="E236" s="111"/>
      <c r="F236" s="111"/>
      <c r="G236" s="111"/>
      <c r="H236" s="111"/>
      <c r="I236" s="116"/>
      <c r="J236" s="113"/>
      <c r="K236" s="111"/>
      <c r="L236" s="114"/>
      <c r="M236" s="115"/>
      <c r="N236" s="114"/>
      <c r="O236" s="115"/>
      <c r="P236" s="111"/>
      <c r="Q236" s="111"/>
      <c r="R236" s="111"/>
      <c r="S236" s="111"/>
      <c r="T236" s="111"/>
      <c r="U236" s="114"/>
      <c r="V236" s="74"/>
      <c r="W236" s="74"/>
      <c r="X236" s="74"/>
      <c r="Y236" s="74"/>
      <c r="Z236" s="74"/>
      <c r="AA236" s="74"/>
      <c r="AB236" s="74"/>
      <c r="AC236" s="74"/>
      <c r="AD236" s="74"/>
    </row>
    <row r="237">
      <c r="A237" s="116"/>
      <c r="B237" s="111"/>
      <c r="C237" s="117"/>
      <c r="D237" s="111"/>
      <c r="E237" s="111"/>
      <c r="F237" s="111"/>
      <c r="G237" s="111"/>
      <c r="H237" s="111"/>
      <c r="I237" s="116"/>
      <c r="J237" s="113"/>
      <c r="K237" s="111"/>
      <c r="L237" s="114"/>
      <c r="M237" s="115"/>
      <c r="N237" s="114"/>
      <c r="O237" s="115"/>
      <c r="P237" s="111"/>
      <c r="Q237" s="111"/>
      <c r="R237" s="111"/>
      <c r="S237" s="111"/>
      <c r="T237" s="111"/>
      <c r="U237" s="114"/>
      <c r="V237" s="74"/>
      <c r="W237" s="74"/>
      <c r="X237" s="74"/>
      <c r="Y237" s="74"/>
      <c r="Z237" s="74"/>
      <c r="AA237" s="74"/>
      <c r="AB237" s="74"/>
      <c r="AC237" s="74"/>
      <c r="AD237" s="74"/>
    </row>
    <row r="238">
      <c r="A238" s="116"/>
      <c r="B238" s="111"/>
      <c r="C238" s="117"/>
      <c r="D238" s="111"/>
      <c r="E238" s="111"/>
      <c r="F238" s="111"/>
      <c r="G238" s="111"/>
      <c r="H238" s="111"/>
      <c r="I238" s="116"/>
      <c r="J238" s="113"/>
      <c r="K238" s="111"/>
      <c r="L238" s="114"/>
      <c r="M238" s="115"/>
      <c r="N238" s="114"/>
      <c r="O238" s="115"/>
      <c r="P238" s="111"/>
      <c r="Q238" s="111"/>
      <c r="R238" s="111"/>
      <c r="S238" s="111"/>
      <c r="T238" s="111"/>
      <c r="U238" s="114"/>
      <c r="V238" s="74"/>
      <c r="W238" s="74"/>
      <c r="X238" s="74"/>
      <c r="Y238" s="74"/>
      <c r="Z238" s="74"/>
      <c r="AA238" s="74"/>
      <c r="AB238" s="74"/>
      <c r="AC238" s="74"/>
      <c r="AD238" s="74"/>
    </row>
    <row r="239">
      <c r="A239" s="116"/>
      <c r="B239" s="111"/>
      <c r="C239" s="117"/>
      <c r="D239" s="111"/>
      <c r="E239" s="111"/>
      <c r="F239" s="111"/>
      <c r="G239" s="111"/>
      <c r="H239" s="111"/>
      <c r="I239" s="116"/>
      <c r="J239" s="113"/>
      <c r="K239" s="111"/>
      <c r="L239" s="114"/>
      <c r="M239" s="115"/>
      <c r="N239" s="114"/>
      <c r="O239" s="115"/>
      <c r="P239" s="111"/>
      <c r="Q239" s="111"/>
      <c r="R239" s="111"/>
      <c r="S239" s="111"/>
      <c r="T239" s="111"/>
      <c r="U239" s="114"/>
      <c r="V239" s="74"/>
      <c r="W239" s="74"/>
      <c r="X239" s="74"/>
      <c r="Y239" s="74"/>
      <c r="Z239" s="74"/>
      <c r="AA239" s="74"/>
      <c r="AB239" s="74"/>
      <c r="AC239" s="74"/>
      <c r="AD239" s="74"/>
    </row>
    <row r="240">
      <c r="A240" s="116"/>
      <c r="B240" s="111"/>
      <c r="C240" s="117"/>
      <c r="D240" s="111"/>
      <c r="E240" s="111"/>
      <c r="F240" s="111"/>
      <c r="G240" s="111"/>
      <c r="H240" s="111"/>
      <c r="I240" s="116"/>
      <c r="J240" s="113"/>
      <c r="K240" s="111"/>
      <c r="L240" s="114"/>
      <c r="M240" s="115"/>
      <c r="N240" s="114"/>
      <c r="O240" s="115"/>
      <c r="P240" s="111"/>
      <c r="Q240" s="111"/>
      <c r="R240" s="111"/>
      <c r="S240" s="111"/>
      <c r="T240" s="111"/>
      <c r="U240" s="114"/>
      <c r="V240" s="74"/>
      <c r="W240" s="74"/>
      <c r="X240" s="74"/>
      <c r="Y240" s="74"/>
      <c r="Z240" s="74"/>
      <c r="AA240" s="74"/>
      <c r="AB240" s="74"/>
      <c r="AC240" s="74"/>
      <c r="AD240" s="74"/>
    </row>
    <row r="241">
      <c r="A241" s="116"/>
      <c r="B241" s="111"/>
      <c r="C241" s="117"/>
      <c r="D241" s="111"/>
      <c r="E241" s="111"/>
      <c r="F241" s="111"/>
      <c r="G241" s="111"/>
      <c r="H241" s="111"/>
      <c r="I241" s="116"/>
      <c r="J241" s="113"/>
      <c r="K241" s="111"/>
      <c r="L241" s="114"/>
      <c r="M241" s="115"/>
      <c r="N241" s="114"/>
      <c r="O241" s="115"/>
      <c r="P241" s="111"/>
      <c r="Q241" s="111"/>
      <c r="R241" s="111"/>
      <c r="S241" s="111"/>
      <c r="T241" s="111"/>
      <c r="U241" s="114"/>
      <c r="V241" s="74"/>
      <c r="W241" s="74"/>
      <c r="X241" s="74"/>
      <c r="Y241" s="74"/>
      <c r="Z241" s="74"/>
      <c r="AA241" s="74"/>
      <c r="AB241" s="74"/>
      <c r="AC241" s="74"/>
      <c r="AD241" s="74"/>
    </row>
    <row r="242">
      <c r="A242" s="116"/>
      <c r="B242" s="111"/>
      <c r="C242" s="117"/>
      <c r="D242" s="111"/>
      <c r="E242" s="111"/>
      <c r="F242" s="111"/>
      <c r="G242" s="111"/>
      <c r="H242" s="111"/>
      <c r="I242" s="116"/>
      <c r="J242" s="113"/>
      <c r="K242" s="111"/>
      <c r="L242" s="114"/>
      <c r="M242" s="115"/>
      <c r="N242" s="114"/>
      <c r="O242" s="115"/>
      <c r="P242" s="111"/>
      <c r="Q242" s="111"/>
      <c r="R242" s="111"/>
      <c r="S242" s="111"/>
      <c r="T242" s="111"/>
      <c r="U242" s="114"/>
      <c r="V242" s="74"/>
      <c r="W242" s="74"/>
      <c r="X242" s="74"/>
      <c r="Y242" s="74"/>
      <c r="Z242" s="74"/>
      <c r="AA242" s="74"/>
      <c r="AB242" s="74"/>
      <c r="AC242" s="74"/>
      <c r="AD242" s="74"/>
    </row>
    <row r="243">
      <c r="A243" s="116"/>
      <c r="B243" s="111"/>
      <c r="C243" s="117"/>
      <c r="D243" s="111"/>
      <c r="E243" s="111"/>
      <c r="F243" s="111"/>
      <c r="G243" s="111"/>
      <c r="H243" s="111"/>
      <c r="I243" s="116"/>
      <c r="J243" s="113"/>
      <c r="K243" s="111"/>
      <c r="L243" s="114"/>
      <c r="M243" s="115"/>
      <c r="N243" s="114"/>
      <c r="O243" s="115"/>
      <c r="P243" s="111"/>
      <c r="Q243" s="111"/>
      <c r="R243" s="111"/>
      <c r="S243" s="111"/>
      <c r="T243" s="111"/>
      <c r="U243" s="114"/>
      <c r="V243" s="74"/>
      <c r="W243" s="74"/>
      <c r="X243" s="74"/>
      <c r="Y243" s="74"/>
      <c r="Z243" s="74"/>
      <c r="AA243" s="74"/>
      <c r="AB243" s="74"/>
      <c r="AC243" s="74"/>
      <c r="AD243" s="74"/>
    </row>
    <row r="244">
      <c r="A244" s="116"/>
      <c r="B244" s="111"/>
      <c r="C244" s="117"/>
      <c r="D244" s="111"/>
      <c r="E244" s="111"/>
      <c r="F244" s="111"/>
      <c r="G244" s="111"/>
      <c r="H244" s="111"/>
      <c r="I244" s="116"/>
      <c r="J244" s="113"/>
      <c r="K244" s="111"/>
      <c r="L244" s="114"/>
      <c r="M244" s="115"/>
      <c r="N244" s="114"/>
      <c r="O244" s="115"/>
      <c r="P244" s="111"/>
      <c r="Q244" s="111"/>
      <c r="R244" s="111"/>
      <c r="S244" s="111"/>
      <c r="T244" s="111"/>
      <c r="U244" s="114"/>
      <c r="V244" s="74"/>
      <c r="W244" s="74"/>
      <c r="X244" s="74"/>
      <c r="Y244" s="74"/>
      <c r="Z244" s="74"/>
      <c r="AA244" s="74"/>
      <c r="AB244" s="74"/>
      <c r="AC244" s="74"/>
      <c r="AD244" s="74"/>
    </row>
    <row r="245">
      <c r="A245" s="116"/>
      <c r="B245" s="111"/>
      <c r="C245" s="117"/>
      <c r="D245" s="111"/>
      <c r="E245" s="111"/>
      <c r="F245" s="111"/>
      <c r="G245" s="111"/>
      <c r="H245" s="111"/>
      <c r="I245" s="116"/>
      <c r="J245" s="113"/>
      <c r="K245" s="111"/>
      <c r="L245" s="114"/>
      <c r="M245" s="115"/>
      <c r="N245" s="114"/>
      <c r="O245" s="115"/>
      <c r="P245" s="111"/>
      <c r="Q245" s="111"/>
      <c r="R245" s="111"/>
      <c r="S245" s="111"/>
      <c r="T245" s="111"/>
      <c r="U245" s="114"/>
      <c r="V245" s="74"/>
      <c r="W245" s="74"/>
      <c r="X245" s="74"/>
      <c r="Y245" s="74"/>
      <c r="Z245" s="74"/>
      <c r="AA245" s="74"/>
      <c r="AB245" s="74"/>
      <c r="AC245" s="74"/>
      <c r="AD245" s="74"/>
    </row>
    <row r="246">
      <c r="A246" s="116"/>
      <c r="B246" s="111"/>
      <c r="C246" s="117"/>
      <c r="D246" s="111"/>
      <c r="E246" s="111"/>
      <c r="F246" s="111"/>
      <c r="G246" s="111"/>
      <c r="H246" s="111"/>
      <c r="I246" s="116"/>
      <c r="J246" s="113"/>
      <c r="K246" s="111"/>
      <c r="L246" s="114"/>
      <c r="M246" s="115"/>
      <c r="N246" s="114"/>
      <c r="O246" s="115"/>
      <c r="P246" s="111"/>
      <c r="Q246" s="111"/>
      <c r="R246" s="111"/>
      <c r="S246" s="111"/>
      <c r="T246" s="111"/>
      <c r="U246" s="114"/>
      <c r="V246" s="74"/>
      <c r="W246" s="74"/>
      <c r="X246" s="74"/>
      <c r="Y246" s="74"/>
      <c r="Z246" s="74"/>
      <c r="AA246" s="74"/>
      <c r="AB246" s="74"/>
      <c r="AC246" s="74"/>
      <c r="AD246" s="74"/>
    </row>
    <row r="247">
      <c r="A247" s="116"/>
      <c r="B247" s="111"/>
      <c r="C247" s="117"/>
      <c r="D247" s="111"/>
      <c r="E247" s="111"/>
      <c r="F247" s="111"/>
      <c r="G247" s="111"/>
      <c r="H247" s="111"/>
      <c r="I247" s="116"/>
      <c r="J247" s="113"/>
      <c r="K247" s="111"/>
      <c r="L247" s="114"/>
      <c r="M247" s="115"/>
      <c r="N247" s="114"/>
      <c r="O247" s="115"/>
      <c r="P247" s="111"/>
      <c r="Q247" s="111"/>
      <c r="R247" s="111"/>
      <c r="S247" s="111"/>
      <c r="T247" s="111"/>
      <c r="U247" s="114"/>
      <c r="V247" s="74"/>
      <c r="W247" s="74"/>
      <c r="X247" s="74"/>
      <c r="Y247" s="74"/>
      <c r="Z247" s="74"/>
      <c r="AA247" s="74"/>
      <c r="AB247" s="74"/>
      <c r="AC247" s="74"/>
      <c r="AD247" s="74"/>
    </row>
    <row r="248">
      <c r="A248" s="116"/>
      <c r="B248" s="111"/>
      <c r="C248" s="117"/>
      <c r="D248" s="111"/>
      <c r="E248" s="111"/>
      <c r="F248" s="111"/>
      <c r="G248" s="111"/>
      <c r="H248" s="111"/>
      <c r="I248" s="116"/>
      <c r="J248" s="113"/>
      <c r="K248" s="111"/>
      <c r="L248" s="114"/>
      <c r="M248" s="115"/>
      <c r="N248" s="114"/>
      <c r="O248" s="115"/>
      <c r="P248" s="111"/>
      <c r="Q248" s="111"/>
      <c r="R248" s="111"/>
      <c r="S248" s="111"/>
      <c r="T248" s="111"/>
      <c r="U248" s="114"/>
      <c r="V248" s="74"/>
      <c r="W248" s="74"/>
      <c r="X248" s="74"/>
      <c r="Y248" s="74"/>
      <c r="Z248" s="74"/>
      <c r="AA248" s="74"/>
      <c r="AB248" s="74"/>
      <c r="AC248" s="74"/>
      <c r="AD248" s="74"/>
    </row>
    <row r="249">
      <c r="A249" s="116"/>
      <c r="B249" s="111"/>
      <c r="C249" s="117"/>
      <c r="D249" s="111"/>
      <c r="E249" s="111"/>
      <c r="F249" s="111"/>
      <c r="G249" s="111"/>
      <c r="H249" s="111"/>
      <c r="I249" s="116"/>
      <c r="J249" s="113"/>
      <c r="K249" s="111"/>
      <c r="L249" s="114"/>
      <c r="M249" s="115"/>
      <c r="N249" s="114"/>
      <c r="O249" s="115"/>
      <c r="P249" s="111"/>
      <c r="Q249" s="111"/>
      <c r="R249" s="111"/>
      <c r="S249" s="111"/>
      <c r="T249" s="111"/>
      <c r="U249" s="114"/>
      <c r="V249" s="74"/>
      <c r="W249" s="74"/>
      <c r="X249" s="74"/>
      <c r="Y249" s="74"/>
      <c r="Z249" s="74"/>
      <c r="AA249" s="74"/>
      <c r="AB249" s="74"/>
      <c r="AC249" s="74"/>
      <c r="AD249" s="74"/>
    </row>
    <row r="250">
      <c r="A250" s="116"/>
      <c r="B250" s="111"/>
      <c r="C250" s="117"/>
      <c r="D250" s="111"/>
      <c r="E250" s="111"/>
      <c r="F250" s="111"/>
      <c r="G250" s="111"/>
      <c r="H250" s="111"/>
      <c r="I250" s="116"/>
      <c r="J250" s="113"/>
      <c r="K250" s="111"/>
      <c r="L250" s="114"/>
      <c r="M250" s="115"/>
      <c r="N250" s="114"/>
      <c r="O250" s="115"/>
      <c r="P250" s="111"/>
      <c r="Q250" s="111"/>
      <c r="R250" s="111"/>
      <c r="S250" s="111"/>
      <c r="T250" s="111"/>
      <c r="U250" s="114"/>
      <c r="V250" s="74"/>
      <c r="W250" s="74"/>
      <c r="X250" s="74"/>
      <c r="Y250" s="74"/>
      <c r="Z250" s="74"/>
      <c r="AA250" s="74"/>
      <c r="AB250" s="74"/>
      <c r="AC250" s="74"/>
      <c r="AD250" s="74"/>
    </row>
    <row r="251">
      <c r="A251" s="116"/>
      <c r="B251" s="111"/>
      <c r="C251" s="117"/>
      <c r="D251" s="111"/>
      <c r="E251" s="111"/>
      <c r="F251" s="111"/>
      <c r="G251" s="111"/>
      <c r="H251" s="111"/>
      <c r="I251" s="116"/>
      <c r="J251" s="113"/>
      <c r="K251" s="111"/>
      <c r="L251" s="114"/>
      <c r="M251" s="115"/>
      <c r="N251" s="114"/>
      <c r="O251" s="115"/>
      <c r="P251" s="111"/>
      <c r="Q251" s="111"/>
      <c r="R251" s="111"/>
      <c r="S251" s="111"/>
      <c r="T251" s="111"/>
      <c r="U251" s="114"/>
      <c r="V251" s="74"/>
      <c r="W251" s="74"/>
      <c r="X251" s="74"/>
      <c r="Y251" s="74"/>
      <c r="Z251" s="74"/>
      <c r="AA251" s="74"/>
      <c r="AB251" s="74"/>
      <c r="AC251" s="74"/>
      <c r="AD251" s="74"/>
    </row>
    <row r="252">
      <c r="A252" s="116"/>
      <c r="B252" s="111"/>
      <c r="C252" s="117"/>
      <c r="D252" s="111"/>
      <c r="E252" s="111"/>
      <c r="F252" s="111"/>
      <c r="G252" s="111"/>
      <c r="H252" s="111"/>
      <c r="I252" s="116"/>
      <c r="J252" s="113"/>
      <c r="K252" s="111"/>
      <c r="L252" s="114"/>
      <c r="M252" s="115"/>
      <c r="N252" s="114"/>
      <c r="O252" s="115"/>
      <c r="P252" s="111"/>
      <c r="Q252" s="111"/>
      <c r="R252" s="111"/>
      <c r="S252" s="111"/>
      <c r="T252" s="111"/>
      <c r="U252" s="114"/>
      <c r="V252" s="74"/>
      <c r="W252" s="74"/>
      <c r="X252" s="74"/>
      <c r="Y252" s="74"/>
      <c r="Z252" s="74"/>
      <c r="AA252" s="74"/>
      <c r="AB252" s="74"/>
      <c r="AC252" s="74"/>
      <c r="AD252" s="74"/>
    </row>
    <row r="253">
      <c r="A253" s="116"/>
      <c r="B253" s="111"/>
      <c r="C253" s="117"/>
      <c r="D253" s="111"/>
      <c r="E253" s="111"/>
      <c r="F253" s="111"/>
      <c r="G253" s="111"/>
      <c r="H253" s="111"/>
      <c r="I253" s="116"/>
      <c r="J253" s="113"/>
      <c r="K253" s="111"/>
      <c r="L253" s="114"/>
      <c r="M253" s="115"/>
      <c r="N253" s="114"/>
      <c r="O253" s="115"/>
      <c r="P253" s="111"/>
      <c r="Q253" s="111"/>
      <c r="R253" s="111"/>
      <c r="S253" s="111"/>
      <c r="T253" s="111"/>
      <c r="U253" s="114"/>
      <c r="V253" s="74"/>
      <c r="W253" s="74"/>
      <c r="X253" s="74"/>
      <c r="Y253" s="74"/>
      <c r="Z253" s="74"/>
      <c r="AA253" s="74"/>
      <c r="AB253" s="74"/>
      <c r="AC253" s="74"/>
      <c r="AD253" s="74"/>
    </row>
    <row r="254">
      <c r="A254" s="116"/>
      <c r="B254" s="111"/>
      <c r="C254" s="117"/>
      <c r="D254" s="111"/>
      <c r="E254" s="111"/>
      <c r="F254" s="111"/>
      <c r="G254" s="111"/>
      <c r="H254" s="111"/>
      <c r="I254" s="116"/>
      <c r="J254" s="113"/>
      <c r="K254" s="111"/>
      <c r="L254" s="114"/>
      <c r="M254" s="115"/>
      <c r="N254" s="114"/>
      <c r="O254" s="115"/>
      <c r="P254" s="111"/>
      <c r="Q254" s="111"/>
      <c r="R254" s="111"/>
      <c r="S254" s="111"/>
      <c r="T254" s="111"/>
      <c r="U254" s="114"/>
      <c r="V254" s="74"/>
      <c r="W254" s="74"/>
      <c r="X254" s="74"/>
      <c r="Y254" s="74"/>
      <c r="Z254" s="74"/>
      <c r="AA254" s="74"/>
      <c r="AB254" s="74"/>
      <c r="AC254" s="74"/>
      <c r="AD254" s="74"/>
    </row>
    <row r="255">
      <c r="A255" s="116"/>
      <c r="B255" s="111"/>
      <c r="C255" s="117"/>
      <c r="D255" s="111"/>
      <c r="E255" s="111"/>
      <c r="F255" s="111"/>
      <c r="G255" s="111"/>
      <c r="H255" s="111"/>
      <c r="I255" s="116"/>
      <c r="J255" s="113"/>
      <c r="K255" s="111"/>
      <c r="L255" s="114"/>
      <c r="M255" s="115"/>
      <c r="N255" s="114"/>
      <c r="O255" s="115"/>
      <c r="P255" s="111"/>
      <c r="Q255" s="111"/>
      <c r="R255" s="111"/>
      <c r="S255" s="111"/>
      <c r="T255" s="111"/>
      <c r="U255" s="114"/>
      <c r="V255" s="74"/>
      <c r="W255" s="74"/>
      <c r="X255" s="74"/>
      <c r="Y255" s="74"/>
      <c r="Z255" s="74"/>
      <c r="AA255" s="74"/>
      <c r="AB255" s="74"/>
      <c r="AC255" s="74"/>
      <c r="AD255" s="74"/>
    </row>
    <row r="256">
      <c r="A256" s="116"/>
      <c r="B256" s="111"/>
      <c r="C256" s="117"/>
      <c r="D256" s="111"/>
      <c r="E256" s="111"/>
      <c r="F256" s="111"/>
      <c r="G256" s="111"/>
      <c r="H256" s="111"/>
      <c r="I256" s="116"/>
      <c r="J256" s="113"/>
      <c r="K256" s="111"/>
      <c r="L256" s="114"/>
      <c r="M256" s="115"/>
      <c r="N256" s="114"/>
      <c r="O256" s="115"/>
      <c r="P256" s="111"/>
      <c r="Q256" s="111"/>
      <c r="R256" s="111"/>
      <c r="S256" s="111"/>
      <c r="T256" s="111"/>
      <c r="U256" s="114"/>
      <c r="V256" s="74"/>
      <c r="W256" s="74"/>
      <c r="X256" s="74"/>
      <c r="Y256" s="74"/>
      <c r="Z256" s="74"/>
      <c r="AA256" s="74"/>
      <c r="AB256" s="74"/>
      <c r="AC256" s="74"/>
      <c r="AD256" s="74"/>
    </row>
    <row r="257">
      <c r="A257" s="116"/>
      <c r="B257" s="111"/>
      <c r="C257" s="117"/>
      <c r="D257" s="111"/>
      <c r="E257" s="111"/>
      <c r="F257" s="111"/>
      <c r="G257" s="111"/>
      <c r="H257" s="111"/>
      <c r="I257" s="116"/>
      <c r="J257" s="113"/>
      <c r="K257" s="111"/>
      <c r="L257" s="114"/>
      <c r="M257" s="115"/>
      <c r="N257" s="114"/>
      <c r="O257" s="115"/>
      <c r="P257" s="111"/>
      <c r="Q257" s="111"/>
      <c r="R257" s="111"/>
      <c r="S257" s="111"/>
      <c r="T257" s="111"/>
      <c r="U257" s="114"/>
      <c r="V257" s="74"/>
      <c r="W257" s="74"/>
      <c r="X257" s="74"/>
      <c r="Y257" s="74"/>
      <c r="Z257" s="74"/>
      <c r="AA257" s="74"/>
      <c r="AB257" s="74"/>
      <c r="AC257" s="74"/>
      <c r="AD257" s="74"/>
    </row>
    <row r="258">
      <c r="A258" s="116"/>
      <c r="B258" s="111"/>
      <c r="C258" s="117"/>
      <c r="D258" s="111"/>
      <c r="E258" s="111"/>
      <c r="F258" s="111"/>
      <c r="G258" s="111"/>
      <c r="H258" s="111"/>
      <c r="I258" s="116"/>
      <c r="J258" s="113"/>
      <c r="K258" s="111"/>
      <c r="L258" s="114"/>
      <c r="M258" s="115"/>
      <c r="N258" s="114"/>
      <c r="O258" s="115"/>
      <c r="P258" s="111"/>
      <c r="Q258" s="111"/>
      <c r="R258" s="111"/>
      <c r="S258" s="111"/>
      <c r="T258" s="111"/>
      <c r="U258" s="114"/>
      <c r="V258" s="74"/>
      <c r="W258" s="74"/>
      <c r="X258" s="74"/>
      <c r="Y258" s="74"/>
      <c r="Z258" s="74"/>
      <c r="AA258" s="74"/>
      <c r="AB258" s="74"/>
      <c r="AC258" s="74"/>
      <c r="AD258" s="74"/>
    </row>
    <row r="259">
      <c r="A259" s="116"/>
      <c r="B259" s="111"/>
      <c r="C259" s="117"/>
      <c r="D259" s="111"/>
      <c r="E259" s="111"/>
      <c r="F259" s="111"/>
      <c r="G259" s="111"/>
      <c r="H259" s="111"/>
      <c r="I259" s="116"/>
      <c r="J259" s="113"/>
      <c r="K259" s="111"/>
      <c r="L259" s="114"/>
      <c r="M259" s="115"/>
      <c r="N259" s="114"/>
      <c r="O259" s="115"/>
      <c r="P259" s="111"/>
      <c r="Q259" s="111"/>
      <c r="R259" s="111"/>
      <c r="S259" s="111"/>
      <c r="T259" s="111"/>
      <c r="U259" s="114"/>
      <c r="V259" s="74"/>
      <c r="W259" s="74"/>
      <c r="X259" s="74"/>
      <c r="Y259" s="74"/>
      <c r="Z259" s="74"/>
      <c r="AA259" s="74"/>
      <c r="AB259" s="74"/>
      <c r="AC259" s="74"/>
      <c r="AD259" s="74"/>
    </row>
    <row r="260">
      <c r="A260" s="116"/>
      <c r="B260" s="111"/>
      <c r="C260" s="117"/>
      <c r="D260" s="111"/>
      <c r="E260" s="111"/>
      <c r="F260" s="111"/>
      <c r="G260" s="111"/>
      <c r="H260" s="111"/>
      <c r="I260" s="116"/>
      <c r="J260" s="113"/>
      <c r="K260" s="111"/>
      <c r="L260" s="114"/>
      <c r="M260" s="115"/>
      <c r="N260" s="114"/>
      <c r="O260" s="115"/>
      <c r="P260" s="111"/>
      <c r="Q260" s="111"/>
      <c r="R260" s="111"/>
      <c r="S260" s="111"/>
      <c r="T260" s="111"/>
      <c r="U260" s="114"/>
      <c r="V260" s="74"/>
      <c r="W260" s="74"/>
      <c r="X260" s="74"/>
      <c r="Y260" s="74"/>
      <c r="Z260" s="74"/>
      <c r="AA260" s="74"/>
      <c r="AB260" s="74"/>
      <c r="AC260" s="74"/>
      <c r="AD260" s="74"/>
    </row>
    <row r="261">
      <c r="A261" s="116"/>
      <c r="B261" s="111"/>
      <c r="C261" s="117"/>
      <c r="D261" s="111"/>
      <c r="E261" s="111"/>
      <c r="F261" s="111"/>
      <c r="G261" s="111"/>
      <c r="H261" s="111"/>
      <c r="I261" s="116"/>
      <c r="J261" s="113"/>
      <c r="K261" s="111"/>
      <c r="L261" s="114"/>
      <c r="M261" s="115"/>
      <c r="N261" s="114"/>
      <c r="O261" s="115"/>
      <c r="P261" s="111"/>
      <c r="Q261" s="111"/>
      <c r="R261" s="111"/>
      <c r="S261" s="111"/>
      <c r="T261" s="111"/>
      <c r="U261" s="114"/>
      <c r="V261" s="74"/>
      <c r="W261" s="74"/>
      <c r="X261" s="74"/>
      <c r="Y261" s="74"/>
      <c r="Z261" s="74"/>
      <c r="AA261" s="74"/>
      <c r="AB261" s="74"/>
      <c r="AC261" s="74"/>
      <c r="AD261" s="74"/>
    </row>
    <row r="262">
      <c r="A262" s="116"/>
      <c r="B262" s="111"/>
      <c r="C262" s="117"/>
      <c r="D262" s="111"/>
      <c r="E262" s="111"/>
      <c r="F262" s="111"/>
      <c r="G262" s="111"/>
      <c r="H262" s="111"/>
      <c r="I262" s="116"/>
      <c r="J262" s="113"/>
      <c r="K262" s="111"/>
      <c r="L262" s="114"/>
      <c r="M262" s="115"/>
      <c r="N262" s="114"/>
      <c r="O262" s="115"/>
      <c r="P262" s="111"/>
      <c r="Q262" s="111"/>
      <c r="R262" s="111"/>
      <c r="S262" s="111"/>
      <c r="T262" s="111"/>
      <c r="U262" s="114"/>
      <c r="V262" s="74"/>
      <c r="W262" s="74"/>
      <c r="X262" s="74"/>
      <c r="Y262" s="74"/>
      <c r="Z262" s="74"/>
      <c r="AA262" s="74"/>
      <c r="AB262" s="74"/>
      <c r="AC262" s="74"/>
      <c r="AD262" s="74"/>
    </row>
    <row r="263">
      <c r="A263" s="116"/>
      <c r="B263" s="111"/>
      <c r="C263" s="117"/>
      <c r="D263" s="111"/>
      <c r="E263" s="111"/>
      <c r="F263" s="111"/>
      <c r="G263" s="111"/>
      <c r="H263" s="111"/>
      <c r="I263" s="116"/>
      <c r="J263" s="113"/>
      <c r="K263" s="111"/>
      <c r="L263" s="114"/>
      <c r="M263" s="115"/>
      <c r="N263" s="114"/>
      <c r="O263" s="115"/>
      <c r="P263" s="111"/>
      <c r="Q263" s="111"/>
      <c r="R263" s="111"/>
      <c r="S263" s="111"/>
      <c r="T263" s="111"/>
      <c r="U263" s="114"/>
      <c r="V263" s="74"/>
      <c r="W263" s="74"/>
      <c r="X263" s="74"/>
      <c r="Y263" s="74"/>
      <c r="Z263" s="74"/>
      <c r="AA263" s="74"/>
      <c r="AB263" s="74"/>
      <c r="AC263" s="74"/>
      <c r="AD263" s="74"/>
    </row>
    <row r="264">
      <c r="A264" s="116"/>
      <c r="B264" s="111"/>
      <c r="C264" s="117"/>
      <c r="D264" s="111"/>
      <c r="E264" s="111"/>
      <c r="F264" s="111"/>
      <c r="G264" s="111"/>
      <c r="H264" s="111"/>
      <c r="I264" s="116"/>
      <c r="J264" s="113"/>
      <c r="K264" s="111"/>
      <c r="L264" s="114"/>
      <c r="M264" s="115"/>
      <c r="N264" s="114"/>
      <c r="O264" s="115"/>
      <c r="P264" s="111"/>
      <c r="Q264" s="111"/>
      <c r="R264" s="111"/>
      <c r="S264" s="111"/>
      <c r="T264" s="111"/>
      <c r="U264" s="114"/>
      <c r="V264" s="74"/>
      <c r="W264" s="74"/>
      <c r="X264" s="74"/>
      <c r="Y264" s="74"/>
      <c r="Z264" s="74"/>
      <c r="AA264" s="74"/>
      <c r="AB264" s="74"/>
      <c r="AC264" s="74"/>
      <c r="AD264" s="74"/>
    </row>
    <row r="265">
      <c r="A265" s="116"/>
      <c r="B265" s="111"/>
      <c r="C265" s="117"/>
      <c r="D265" s="111"/>
      <c r="E265" s="111"/>
      <c r="F265" s="111"/>
      <c r="G265" s="111"/>
      <c r="H265" s="111"/>
      <c r="I265" s="116"/>
      <c r="J265" s="113"/>
      <c r="K265" s="111"/>
      <c r="L265" s="114"/>
      <c r="M265" s="115"/>
      <c r="N265" s="114"/>
      <c r="O265" s="115"/>
      <c r="P265" s="111"/>
      <c r="Q265" s="111"/>
      <c r="R265" s="111"/>
      <c r="S265" s="111"/>
      <c r="T265" s="111"/>
      <c r="U265" s="114"/>
      <c r="V265" s="74"/>
      <c r="W265" s="74"/>
      <c r="X265" s="74"/>
      <c r="Y265" s="74"/>
      <c r="Z265" s="74"/>
      <c r="AA265" s="74"/>
      <c r="AB265" s="74"/>
      <c r="AC265" s="74"/>
      <c r="AD265" s="74"/>
    </row>
    <row r="266">
      <c r="A266" s="116"/>
      <c r="B266" s="111"/>
      <c r="C266" s="117"/>
      <c r="D266" s="111"/>
      <c r="E266" s="111"/>
      <c r="F266" s="111"/>
      <c r="G266" s="111"/>
      <c r="H266" s="111"/>
      <c r="I266" s="116"/>
      <c r="J266" s="113"/>
      <c r="K266" s="111"/>
      <c r="L266" s="114"/>
      <c r="M266" s="115"/>
      <c r="N266" s="114"/>
      <c r="O266" s="115"/>
      <c r="P266" s="111"/>
      <c r="Q266" s="111"/>
      <c r="R266" s="111"/>
      <c r="S266" s="111"/>
      <c r="T266" s="111"/>
      <c r="U266" s="114"/>
      <c r="V266" s="74"/>
      <c r="W266" s="74"/>
      <c r="X266" s="74"/>
      <c r="Y266" s="74"/>
      <c r="Z266" s="74"/>
      <c r="AA266" s="74"/>
      <c r="AB266" s="74"/>
      <c r="AC266" s="74"/>
      <c r="AD266" s="74"/>
    </row>
    <row r="267">
      <c r="A267" s="116"/>
      <c r="B267" s="111"/>
      <c r="C267" s="117"/>
      <c r="D267" s="111"/>
      <c r="E267" s="111"/>
      <c r="F267" s="111"/>
      <c r="G267" s="111"/>
      <c r="H267" s="111"/>
      <c r="I267" s="116"/>
      <c r="J267" s="113"/>
      <c r="K267" s="111"/>
      <c r="L267" s="114"/>
      <c r="M267" s="115"/>
      <c r="N267" s="114"/>
      <c r="O267" s="115"/>
      <c r="P267" s="111"/>
      <c r="Q267" s="111"/>
      <c r="R267" s="111"/>
      <c r="S267" s="111"/>
      <c r="T267" s="111"/>
      <c r="U267" s="114"/>
      <c r="V267" s="74"/>
      <c r="W267" s="74"/>
      <c r="X267" s="74"/>
      <c r="Y267" s="74"/>
      <c r="Z267" s="74"/>
      <c r="AA267" s="74"/>
      <c r="AB267" s="74"/>
      <c r="AC267" s="74"/>
      <c r="AD267" s="74"/>
    </row>
    <row r="268">
      <c r="A268" s="116"/>
      <c r="B268" s="111"/>
      <c r="C268" s="117"/>
      <c r="D268" s="111"/>
      <c r="E268" s="111"/>
      <c r="F268" s="111"/>
      <c r="G268" s="111"/>
      <c r="H268" s="111"/>
      <c r="I268" s="116"/>
      <c r="J268" s="113"/>
      <c r="K268" s="111"/>
      <c r="L268" s="114"/>
      <c r="M268" s="115"/>
      <c r="N268" s="114"/>
      <c r="O268" s="115"/>
      <c r="P268" s="111"/>
      <c r="Q268" s="111"/>
      <c r="R268" s="111"/>
      <c r="S268" s="111"/>
      <c r="T268" s="111"/>
      <c r="U268" s="114"/>
      <c r="V268" s="74"/>
      <c r="W268" s="74"/>
      <c r="X268" s="74"/>
      <c r="Y268" s="74"/>
      <c r="Z268" s="74"/>
      <c r="AA268" s="74"/>
      <c r="AB268" s="74"/>
      <c r="AC268" s="74"/>
      <c r="AD268" s="74"/>
    </row>
    <row r="269">
      <c r="A269" s="116"/>
      <c r="B269" s="111"/>
      <c r="C269" s="117"/>
      <c r="D269" s="111"/>
      <c r="E269" s="111"/>
      <c r="F269" s="111"/>
      <c r="G269" s="111"/>
      <c r="H269" s="111"/>
      <c r="I269" s="116"/>
      <c r="J269" s="113"/>
      <c r="K269" s="111"/>
      <c r="L269" s="114"/>
      <c r="M269" s="115"/>
      <c r="N269" s="114"/>
      <c r="O269" s="115"/>
      <c r="P269" s="111"/>
      <c r="Q269" s="111"/>
      <c r="R269" s="111"/>
      <c r="S269" s="111"/>
      <c r="T269" s="111"/>
      <c r="U269" s="114"/>
      <c r="V269" s="74"/>
      <c r="W269" s="74"/>
      <c r="X269" s="74"/>
      <c r="Y269" s="74"/>
      <c r="Z269" s="74"/>
      <c r="AA269" s="74"/>
      <c r="AB269" s="74"/>
      <c r="AC269" s="74"/>
      <c r="AD269" s="74"/>
    </row>
    <row r="270">
      <c r="A270" s="116"/>
      <c r="B270" s="111"/>
      <c r="C270" s="117"/>
      <c r="D270" s="111"/>
      <c r="E270" s="111"/>
      <c r="F270" s="111"/>
      <c r="G270" s="111"/>
      <c r="H270" s="111"/>
      <c r="I270" s="116"/>
      <c r="J270" s="113"/>
      <c r="K270" s="111"/>
      <c r="L270" s="114"/>
      <c r="M270" s="115"/>
      <c r="N270" s="114"/>
      <c r="O270" s="115"/>
      <c r="P270" s="111"/>
      <c r="Q270" s="111"/>
      <c r="R270" s="111"/>
      <c r="S270" s="111"/>
      <c r="T270" s="111"/>
      <c r="U270" s="114"/>
      <c r="V270" s="74"/>
      <c r="W270" s="74"/>
      <c r="X270" s="74"/>
      <c r="Y270" s="74"/>
      <c r="Z270" s="74"/>
      <c r="AA270" s="74"/>
      <c r="AB270" s="74"/>
      <c r="AC270" s="74"/>
      <c r="AD270" s="74"/>
    </row>
    <row r="271">
      <c r="A271" s="116"/>
      <c r="B271" s="111"/>
      <c r="C271" s="117"/>
      <c r="D271" s="111"/>
      <c r="E271" s="111"/>
      <c r="F271" s="111"/>
      <c r="G271" s="111"/>
      <c r="H271" s="111"/>
      <c r="I271" s="116"/>
      <c r="J271" s="113"/>
      <c r="K271" s="111"/>
      <c r="L271" s="114"/>
      <c r="M271" s="115"/>
      <c r="N271" s="114"/>
      <c r="O271" s="115"/>
      <c r="P271" s="111"/>
      <c r="Q271" s="111"/>
      <c r="R271" s="111"/>
      <c r="S271" s="111"/>
      <c r="T271" s="111"/>
      <c r="U271" s="114"/>
      <c r="V271" s="74"/>
      <c r="W271" s="74"/>
      <c r="X271" s="74"/>
      <c r="Y271" s="74"/>
      <c r="Z271" s="74"/>
      <c r="AA271" s="74"/>
      <c r="AB271" s="74"/>
      <c r="AC271" s="74"/>
      <c r="AD271" s="74"/>
    </row>
    <row r="272">
      <c r="A272" s="116"/>
      <c r="B272" s="111"/>
      <c r="C272" s="117"/>
      <c r="D272" s="111"/>
      <c r="E272" s="111"/>
      <c r="F272" s="111"/>
      <c r="G272" s="111"/>
      <c r="H272" s="111"/>
      <c r="I272" s="116"/>
      <c r="J272" s="113"/>
      <c r="K272" s="111"/>
      <c r="L272" s="114"/>
      <c r="M272" s="115"/>
      <c r="N272" s="114"/>
      <c r="O272" s="115"/>
      <c r="P272" s="111"/>
      <c r="Q272" s="111"/>
      <c r="R272" s="111"/>
      <c r="S272" s="111"/>
      <c r="T272" s="111"/>
      <c r="U272" s="114"/>
      <c r="V272" s="74"/>
      <c r="W272" s="74"/>
      <c r="X272" s="74"/>
      <c r="Y272" s="74"/>
      <c r="Z272" s="74"/>
      <c r="AA272" s="74"/>
      <c r="AB272" s="74"/>
      <c r="AC272" s="74"/>
      <c r="AD272" s="74"/>
    </row>
    <row r="273">
      <c r="A273" s="116"/>
      <c r="B273" s="111"/>
      <c r="C273" s="117"/>
      <c r="D273" s="111"/>
      <c r="E273" s="111"/>
      <c r="F273" s="111"/>
      <c r="G273" s="111"/>
      <c r="H273" s="111"/>
      <c r="I273" s="116"/>
      <c r="J273" s="113"/>
      <c r="K273" s="111"/>
      <c r="L273" s="114"/>
      <c r="M273" s="115"/>
      <c r="N273" s="114"/>
      <c r="O273" s="115"/>
      <c r="P273" s="111"/>
      <c r="Q273" s="111"/>
      <c r="R273" s="111"/>
      <c r="S273" s="111"/>
      <c r="T273" s="111"/>
      <c r="U273" s="114"/>
      <c r="V273" s="74"/>
      <c r="W273" s="74"/>
      <c r="X273" s="74"/>
      <c r="Y273" s="74"/>
      <c r="Z273" s="74"/>
      <c r="AA273" s="74"/>
      <c r="AB273" s="74"/>
      <c r="AC273" s="74"/>
      <c r="AD273" s="74"/>
    </row>
    <row r="274">
      <c r="A274" s="116"/>
      <c r="B274" s="111"/>
      <c r="C274" s="117"/>
      <c r="D274" s="111"/>
      <c r="E274" s="111"/>
      <c r="F274" s="111"/>
      <c r="G274" s="111"/>
      <c r="H274" s="111"/>
      <c r="I274" s="116"/>
      <c r="J274" s="113"/>
      <c r="K274" s="111"/>
      <c r="L274" s="114"/>
      <c r="M274" s="115"/>
      <c r="N274" s="114"/>
      <c r="O274" s="115"/>
      <c r="P274" s="111"/>
      <c r="Q274" s="111"/>
      <c r="R274" s="111"/>
      <c r="S274" s="111"/>
      <c r="T274" s="111"/>
      <c r="U274" s="114"/>
      <c r="V274" s="74"/>
      <c r="W274" s="74"/>
      <c r="X274" s="74"/>
      <c r="Y274" s="74"/>
      <c r="Z274" s="74"/>
      <c r="AA274" s="74"/>
      <c r="AB274" s="74"/>
      <c r="AC274" s="74"/>
      <c r="AD274" s="74"/>
    </row>
    <row r="275">
      <c r="A275" s="116"/>
      <c r="B275" s="111"/>
      <c r="C275" s="117"/>
      <c r="D275" s="111"/>
      <c r="E275" s="111"/>
      <c r="F275" s="111"/>
      <c r="G275" s="111"/>
      <c r="H275" s="111"/>
      <c r="I275" s="116"/>
      <c r="J275" s="113"/>
      <c r="K275" s="111"/>
      <c r="L275" s="114"/>
      <c r="M275" s="115"/>
      <c r="N275" s="114"/>
      <c r="O275" s="115"/>
      <c r="P275" s="111"/>
      <c r="Q275" s="111"/>
      <c r="R275" s="111"/>
      <c r="S275" s="111"/>
      <c r="T275" s="111"/>
      <c r="U275" s="114"/>
      <c r="V275" s="74"/>
      <c r="W275" s="74"/>
      <c r="X275" s="74"/>
      <c r="Y275" s="74"/>
      <c r="Z275" s="74"/>
      <c r="AA275" s="74"/>
      <c r="AB275" s="74"/>
      <c r="AC275" s="74"/>
      <c r="AD275" s="74"/>
    </row>
    <row r="276">
      <c r="A276" s="116"/>
      <c r="B276" s="111"/>
      <c r="C276" s="117"/>
      <c r="D276" s="111"/>
      <c r="E276" s="111"/>
      <c r="F276" s="111"/>
      <c r="G276" s="111"/>
      <c r="H276" s="111"/>
      <c r="I276" s="116"/>
      <c r="J276" s="113"/>
      <c r="K276" s="111"/>
      <c r="L276" s="114"/>
      <c r="M276" s="115"/>
      <c r="N276" s="114"/>
      <c r="O276" s="115"/>
      <c r="P276" s="111"/>
      <c r="Q276" s="111"/>
      <c r="R276" s="111"/>
      <c r="S276" s="111"/>
      <c r="T276" s="111"/>
      <c r="U276" s="114"/>
      <c r="V276" s="74"/>
      <c r="W276" s="74"/>
      <c r="X276" s="74"/>
      <c r="Y276" s="74"/>
      <c r="Z276" s="74"/>
      <c r="AA276" s="74"/>
      <c r="AB276" s="74"/>
      <c r="AC276" s="74"/>
      <c r="AD276" s="74"/>
    </row>
    <row r="277">
      <c r="A277" s="116"/>
      <c r="B277" s="111"/>
      <c r="C277" s="117"/>
      <c r="D277" s="111"/>
      <c r="E277" s="111"/>
      <c r="F277" s="111"/>
      <c r="G277" s="111"/>
      <c r="H277" s="111"/>
      <c r="I277" s="116"/>
      <c r="J277" s="113"/>
      <c r="K277" s="111"/>
      <c r="L277" s="114"/>
      <c r="M277" s="115"/>
      <c r="N277" s="114"/>
      <c r="O277" s="115"/>
      <c r="P277" s="111"/>
      <c r="Q277" s="111"/>
      <c r="R277" s="111"/>
      <c r="S277" s="111"/>
      <c r="T277" s="111"/>
      <c r="U277" s="114"/>
      <c r="V277" s="74"/>
      <c r="W277" s="74"/>
      <c r="X277" s="74"/>
      <c r="Y277" s="74"/>
      <c r="Z277" s="74"/>
      <c r="AA277" s="74"/>
      <c r="AB277" s="74"/>
      <c r="AC277" s="74"/>
      <c r="AD277" s="74"/>
    </row>
    <row r="278">
      <c r="A278" s="116"/>
      <c r="B278" s="111"/>
      <c r="C278" s="117"/>
      <c r="D278" s="111"/>
      <c r="E278" s="111"/>
      <c r="F278" s="111"/>
      <c r="G278" s="111"/>
      <c r="H278" s="111"/>
      <c r="I278" s="116"/>
      <c r="J278" s="113"/>
      <c r="K278" s="111"/>
      <c r="L278" s="114"/>
      <c r="M278" s="115"/>
      <c r="N278" s="114"/>
      <c r="O278" s="115"/>
      <c r="P278" s="111"/>
      <c r="Q278" s="111"/>
      <c r="R278" s="111"/>
      <c r="S278" s="111"/>
      <c r="T278" s="111"/>
      <c r="U278" s="114"/>
      <c r="V278" s="74"/>
      <c r="W278" s="74"/>
      <c r="X278" s="74"/>
      <c r="Y278" s="74"/>
      <c r="Z278" s="74"/>
      <c r="AA278" s="74"/>
      <c r="AB278" s="74"/>
      <c r="AC278" s="74"/>
      <c r="AD278" s="74"/>
    </row>
    <row r="279">
      <c r="A279" s="116"/>
      <c r="B279" s="111"/>
      <c r="C279" s="117"/>
      <c r="D279" s="111"/>
      <c r="E279" s="111"/>
      <c r="F279" s="111"/>
      <c r="G279" s="111"/>
      <c r="H279" s="111"/>
      <c r="I279" s="116"/>
      <c r="J279" s="113"/>
      <c r="K279" s="111"/>
      <c r="L279" s="114"/>
      <c r="M279" s="115"/>
      <c r="N279" s="114"/>
      <c r="O279" s="115"/>
      <c r="P279" s="111"/>
      <c r="Q279" s="111"/>
      <c r="R279" s="111"/>
      <c r="S279" s="111"/>
      <c r="T279" s="111"/>
      <c r="U279" s="114"/>
      <c r="V279" s="74"/>
      <c r="W279" s="74"/>
      <c r="X279" s="74"/>
      <c r="Y279" s="74"/>
      <c r="Z279" s="74"/>
      <c r="AA279" s="74"/>
      <c r="AB279" s="74"/>
      <c r="AC279" s="74"/>
      <c r="AD279" s="74"/>
    </row>
    <row r="280">
      <c r="A280" s="116"/>
      <c r="B280" s="111"/>
      <c r="C280" s="117"/>
      <c r="D280" s="111"/>
      <c r="E280" s="111"/>
      <c r="F280" s="111"/>
      <c r="G280" s="111"/>
      <c r="H280" s="111"/>
      <c r="I280" s="116"/>
      <c r="J280" s="113"/>
      <c r="K280" s="111"/>
      <c r="L280" s="114"/>
      <c r="M280" s="115"/>
      <c r="N280" s="114"/>
      <c r="O280" s="115"/>
      <c r="P280" s="111"/>
      <c r="Q280" s="111"/>
      <c r="R280" s="111"/>
      <c r="S280" s="111"/>
      <c r="T280" s="111"/>
      <c r="U280" s="114"/>
      <c r="V280" s="74"/>
      <c r="W280" s="74"/>
      <c r="X280" s="74"/>
      <c r="Y280" s="74"/>
      <c r="Z280" s="74"/>
      <c r="AA280" s="74"/>
      <c r="AB280" s="74"/>
      <c r="AC280" s="74"/>
      <c r="AD280" s="74"/>
    </row>
    <row r="281">
      <c r="A281" s="116"/>
      <c r="B281" s="111"/>
      <c r="C281" s="117"/>
      <c r="D281" s="111"/>
      <c r="E281" s="111"/>
      <c r="F281" s="111"/>
      <c r="G281" s="111"/>
      <c r="H281" s="111"/>
      <c r="I281" s="116"/>
      <c r="J281" s="113"/>
      <c r="K281" s="111"/>
      <c r="L281" s="114"/>
      <c r="M281" s="115"/>
      <c r="N281" s="114"/>
      <c r="O281" s="115"/>
      <c r="P281" s="111"/>
      <c r="Q281" s="111"/>
      <c r="R281" s="111"/>
      <c r="S281" s="111"/>
      <c r="T281" s="111"/>
      <c r="U281" s="114"/>
      <c r="V281" s="74"/>
      <c r="W281" s="74"/>
      <c r="X281" s="74"/>
      <c r="Y281" s="74"/>
      <c r="Z281" s="74"/>
      <c r="AA281" s="74"/>
      <c r="AB281" s="74"/>
      <c r="AC281" s="74"/>
      <c r="AD281" s="74"/>
    </row>
    <row r="282">
      <c r="A282" s="116"/>
      <c r="B282" s="111"/>
      <c r="C282" s="117"/>
      <c r="D282" s="111"/>
      <c r="E282" s="111"/>
      <c r="F282" s="111"/>
      <c r="G282" s="111"/>
      <c r="H282" s="111"/>
      <c r="I282" s="116"/>
      <c r="J282" s="113"/>
      <c r="K282" s="111"/>
      <c r="L282" s="114"/>
      <c r="M282" s="115"/>
      <c r="N282" s="114"/>
      <c r="O282" s="115"/>
      <c r="P282" s="111"/>
      <c r="Q282" s="111"/>
      <c r="R282" s="111"/>
      <c r="S282" s="111"/>
      <c r="T282" s="111"/>
      <c r="U282" s="114"/>
      <c r="V282" s="74"/>
      <c r="W282" s="74"/>
      <c r="X282" s="74"/>
      <c r="Y282" s="74"/>
      <c r="Z282" s="74"/>
      <c r="AA282" s="74"/>
      <c r="AB282" s="74"/>
      <c r="AC282" s="74"/>
      <c r="AD282" s="74"/>
    </row>
    <row r="283">
      <c r="A283" s="116"/>
      <c r="B283" s="111"/>
      <c r="C283" s="117"/>
      <c r="D283" s="111"/>
      <c r="E283" s="111"/>
      <c r="F283" s="111"/>
      <c r="G283" s="111"/>
      <c r="H283" s="111"/>
      <c r="I283" s="116"/>
      <c r="J283" s="113"/>
      <c r="K283" s="111"/>
      <c r="L283" s="114"/>
      <c r="M283" s="115"/>
      <c r="N283" s="114"/>
      <c r="O283" s="115"/>
      <c r="P283" s="111"/>
      <c r="Q283" s="111"/>
      <c r="R283" s="111"/>
      <c r="S283" s="111"/>
      <c r="T283" s="111"/>
      <c r="U283" s="114"/>
      <c r="V283" s="74"/>
      <c r="W283" s="74"/>
      <c r="X283" s="74"/>
      <c r="Y283" s="74"/>
      <c r="Z283" s="74"/>
      <c r="AA283" s="74"/>
      <c r="AB283" s="74"/>
      <c r="AC283" s="74"/>
      <c r="AD283" s="74"/>
    </row>
    <row r="284">
      <c r="A284" s="116"/>
      <c r="B284" s="111"/>
      <c r="C284" s="117"/>
      <c r="D284" s="111"/>
      <c r="E284" s="111"/>
      <c r="F284" s="111"/>
      <c r="G284" s="111"/>
      <c r="H284" s="111"/>
      <c r="I284" s="116"/>
      <c r="J284" s="113"/>
      <c r="K284" s="111"/>
      <c r="L284" s="114"/>
      <c r="M284" s="115"/>
      <c r="N284" s="114"/>
      <c r="O284" s="115"/>
      <c r="P284" s="111"/>
      <c r="Q284" s="111"/>
      <c r="R284" s="111"/>
      <c r="S284" s="111"/>
      <c r="T284" s="111"/>
      <c r="U284" s="114"/>
      <c r="V284" s="74"/>
      <c r="W284" s="74"/>
      <c r="X284" s="74"/>
      <c r="Y284" s="74"/>
      <c r="Z284" s="74"/>
      <c r="AA284" s="74"/>
      <c r="AB284" s="74"/>
      <c r="AC284" s="74"/>
      <c r="AD284" s="74"/>
    </row>
    <row r="285">
      <c r="A285" s="116"/>
      <c r="B285" s="111"/>
      <c r="C285" s="117"/>
      <c r="D285" s="111"/>
      <c r="E285" s="111"/>
      <c r="F285" s="111"/>
      <c r="G285" s="111"/>
      <c r="H285" s="111"/>
      <c r="I285" s="116"/>
      <c r="J285" s="113"/>
      <c r="K285" s="111"/>
      <c r="L285" s="114"/>
      <c r="M285" s="115"/>
      <c r="N285" s="114"/>
      <c r="O285" s="115"/>
      <c r="P285" s="111"/>
      <c r="Q285" s="111"/>
      <c r="R285" s="111"/>
      <c r="S285" s="111"/>
      <c r="T285" s="111"/>
      <c r="U285" s="114"/>
      <c r="V285" s="74"/>
      <c r="W285" s="74"/>
      <c r="X285" s="74"/>
      <c r="Y285" s="74"/>
      <c r="Z285" s="74"/>
      <c r="AA285" s="74"/>
      <c r="AB285" s="74"/>
      <c r="AC285" s="74"/>
      <c r="AD285" s="74"/>
    </row>
    <row r="286">
      <c r="A286" s="116"/>
      <c r="B286" s="111"/>
      <c r="C286" s="117"/>
      <c r="D286" s="111"/>
      <c r="E286" s="111"/>
      <c r="F286" s="111"/>
      <c r="G286" s="111"/>
      <c r="H286" s="111"/>
      <c r="I286" s="116"/>
      <c r="J286" s="113"/>
      <c r="K286" s="111"/>
      <c r="L286" s="114"/>
      <c r="M286" s="115"/>
      <c r="N286" s="114"/>
      <c r="O286" s="115"/>
      <c r="P286" s="111"/>
      <c r="Q286" s="111"/>
      <c r="R286" s="111"/>
      <c r="S286" s="111"/>
      <c r="T286" s="111"/>
      <c r="U286" s="114"/>
      <c r="V286" s="74"/>
      <c r="W286" s="74"/>
      <c r="X286" s="74"/>
      <c r="Y286" s="74"/>
      <c r="Z286" s="74"/>
      <c r="AA286" s="74"/>
      <c r="AB286" s="74"/>
      <c r="AC286" s="74"/>
      <c r="AD286" s="74"/>
    </row>
    <row r="287">
      <c r="A287" s="116"/>
      <c r="B287" s="111"/>
      <c r="C287" s="117"/>
      <c r="D287" s="111"/>
      <c r="E287" s="111"/>
      <c r="F287" s="111"/>
      <c r="G287" s="111"/>
      <c r="H287" s="111"/>
      <c r="I287" s="116"/>
      <c r="J287" s="113"/>
      <c r="K287" s="111"/>
      <c r="L287" s="114"/>
      <c r="M287" s="115"/>
      <c r="N287" s="114"/>
      <c r="O287" s="115"/>
      <c r="P287" s="111"/>
      <c r="Q287" s="111"/>
      <c r="R287" s="111"/>
      <c r="S287" s="111"/>
      <c r="T287" s="111"/>
      <c r="U287" s="114"/>
      <c r="V287" s="74"/>
      <c r="W287" s="74"/>
      <c r="X287" s="74"/>
      <c r="Y287" s="74"/>
      <c r="Z287" s="74"/>
      <c r="AA287" s="74"/>
      <c r="AB287" s="74"/>
      <c r="AC287" s="74"/>
      <c r="AD287" s="74"/>
    </row>
    <row r="288">
      <c r="A288" s="116"/>
      <c r="B288" s="111"/>
      <c r="C288" s="117"/>
      <c r="D288" s="111"/>
      <c r="E288" s="111"/>
      <c r="F288" s="111"/>
      <c r="G288" s="111"/>
      <c r="H288" s="111"/>
      <c r="I288" s="116"/>
      <c r="J288" s="113"/>
      <c r="K288" s="111"/>
      <c r="L288" s="114"/>
      <c r="M288" s="115"/>
      <c r="N288" s="114"/>
      <c r="O288" s="115"/>
      <c r="P288" s="111"/>
      <c r="Q288" s="111"/>
      <c r="R288" s="111"/>
      <c r="S288" s="111"/>
      <c r="T288" s="111"/>
      <c r="U288" s="114"/>
      <c r="V288" s="74"/>
      <c r="W288" s="74"/>
      <c r="X288" s="74"/>
      <c r="Y288" s="74"/>
      <c r="Z288" s="74"/>
      <c r="AA288" s="74"/>
      <c r="AB288" s="74"/>
      <c r="AC288" s="74"/>
      <c r="AD288" s="74"/>
    </row>
    <row r="289">
      <c r="A289" s="116"/>
      <c r="B289" s="111"/>
      <c r="C289" s="117"/>
      <c r="D289" s="111"/>
      <c r="E289" s="111"/>
      <c r="F289" s="111"/>
      <c r="G289" s="111"/>
      <c r="H289" s="111"/>
      <c r="I289" s="116"/>
      <c r="J289" s="113"/>
      <c r="K289" s="111"/>
      <c r="L289" s="114"/>
      <c r="M289" s="115"/>
      <c r="N289" s="114"/>
      <c r="O289" s="115"/>
      <c r="P289" s="111"/>
      <c r="Q289" s="111"/>
      <c r="R289" s="111"/>
      <c r="S289" s="111"/>
      <c r="T289" s="111"/>
      <c r="U289" s="114"/>
      <c r="V289" s="74"/>
      <c r="W289" s="74"/>
      <c r="X289" s="74"/>
      <c r="Y289" s="74"/>
      <c r="Z289" s="74"/>
      <c r="AA289" s="74"/>
      <c r="AB289" s="74"/>
      <c r="AC289" s="74"/>
      <c r="AD289" s="74"/>
    </row>
    <row r="290">
      <c r="A290" s="116"/>
      <c r="B290" s="111"/>
      <c r="C290" s="117"/>
      <c r="D290" s="111"/>
      <c r="E290" s="111"/>
      <c r="F290" s="111"/>
      <c r="G290" s="111"/>
      <c r="H290" s="111"/>
      <c r="I290" s="116"/>
      <c r="J290" s="113"/>
      <c r="K290" s="111"/>
      <c r="L290" s="114"/>
      <c r="M290" s="115"/>
      <c r="N290" s="114"/>
      <c r="O290" s="115"/>
      <c r="P290" s="111"/>
      <c r="Q290" s="111"/>
      <c r="R290" s="111"/>
      <c r="S290" s="111"/>
      <c r="T290" s="111"/>
      <c r="U290" s="114"/>
      <c r="V290" s="74"/>
      <c r="W290" s="74"/>
      <c r="X290" s="74"/>
      <c r="Y290" s="74"/>
      <c r="Z290" s="74"/>
      <c r="AA290" s="74"/>
      <c r="AB290" s="74"/>
      <c r="AC290" s="74"/>
      <c r="AD290" s="74"/>
    </row>
    <row r="291">
      <c r="A291" s="116"/>
      <c r="B291" s="111"/>
      <c r="C291" s="117"/>
      <c r="D291" s="111"/>
      <c r="E291" s="111"/>
      <c r="F291" s="111"/>
      <c r="G291" s="111"/>
      <c r="H291" s="111"/>
      <c r="I291" s="116"/>
      <c r="J291" s="113"/>
      <c r="K291" s="111"/>
      <c r="L291" s="114"/>
      <c r="M291" s="115"/>
      <c r="N291" s="114"/>
      <c r="O291" s="115"/>
      <c r="P291" s="111"/>
      <c r="Q291" s="111"/>
      <c r="R291" s="111"/>
      <c r="S291" s="111"/>
      <c r="T291" s="111"/>
      <c r="U291" s="114"/>
      <c r="V291" s="74"/>
      <c r="W291" s="74"/>
      <c r="X291" s="74"/>
      <c r="Y291" s="74"/>
      <c r="Z291" s="74"/>
      <c r="AA291" s="74"/>
      <c r="AB291" s="74"/>
      <c r="AC291" s="74"/>
      <c r="AD291" s="74"/>
    </row>
    <row r="292">
      <c r="A292" s="116"/>
      <c r="B292" s="111"/>
      <c r="C292" s="117"/>
      <c r="D292" s="111"/>
      <c r="E292" s="111"/>
      <c r="F292" s="111"/>
      <c r="G292" s="111"/>
      <c r="H292" s="111"/>
      <c r="I292" s="116"/>
      <c r="J292" s="113"/>
      <c r="K292" s="111"/>
      <c r="L292" s="114"/>
      <c r="M292" s="115"/>
      <c r="N292" s="114"/>
      <c r="O292" s="115"/>
      <c r="P292" s="111"/>
      <c r="Q292" s="111"/>
      <c r="R292" s="111"/>
      <c r="S292" s="111"/>
      <c r="T292" s="111"/>
      <c r="U292" s="114"/>
      <c r="V292" s="74"/>
      <c r="W292" s="74"/>
      <c r="X292" s="74"/>
      <c r="Y292" s="74"/>
      <c r="Z292" s="74"/>
      <c r="AA292" s="74"/>
      <c r="AB292" s="74"/>
      <c r="AC292" s="74"/>
      <c r="AD292" s="74"/>
    </row>
    <row r="293">
      <c r="A293" s="116"/>
      <c r="B293" s="111"/>
      <c r="C293" s="117"/>
      <c r="D293" s="111"/>
      <c r="E293" s="111"/>
      <c r="F293" s="111"/>
      <c r="G293" s="111"/>
      <c r="H293" s="111"/>
      <c r="I293" s="116"/>
      <c r="J293" s="113"/>
      <c r="K293" s="111"/>
      <c r="L293" s="114"/>
      <c r="M293" s="115"/>
      <c r="N293" s="114"/>
      <c r="O293" s="115"/>
      <c r="P293" s="111"/>
      <c r="Q293" s="111"/>
      <c r="R293" s="111"/>
      <c r="S293" s="111"/>
      <c r="T293" s="111"/>
      <c r="U293" s="114"/>
      <c r="V293" s="74"/>
      <c r="W293" s="74"/>
      <c r="X293" s="74"/>
      <c r="Y293" s="74"/>
      <c r="Z293" s="74"/>
      <c r="AA293" s="74"/>
      <c r="AB293" s="74"/>
      <c r="AC293" s="74"/>
      <c r="AD293" s="74"/>
    </row>
    <row r="294">
      <c r="A294" s="116"/>
      <c r="B294" s="111"/>
      <c r="C294" s="117"/>
      <c r="D294" s="111"/>
      <c r="E294" s="111"/>
      <c r="F294" s="111"/>
      <c r="G294" s="111"/>
      <c r="H294" s="111"/>
      <c r="I294" s="116"/>
      <c r="J294" s="113"/>
      <c r="K294" s="111"/>
      <c r="L294" s="114"/>
      <c r="M294" s="115"/>
      <c r="N294" s="114"/>
      <c r="O294" s="115"/>
      <c r="P294" s="111"/>
      <c r="Q294" s="111"/>
      <c r="R294" s="111"/>
      <c r="S294" s="111"/>
      <c r="T294" s="111"/>
      <c r="U294" s="114"/>
      <c r="V294" s="74"/>
      <c r="W294" s="74"/>
      <c r="X294" s="74"/>
      <c r="Y294" s="74"/>
      <c r="Z294" s="74"/>
      <c r="AA294" s="74"/>
      <c r="AB294" s="74"/>
      <c r="AC294" s="74"/>
      <c r="AD294" s="74"/>
    </row>
    <row r="295">
      <c r="A295" s="116"/>
      <c r="B295" s="111"/>
      <c r="C295" s="117"/>
      <c r="D295" s="111"/>
      <c r="E295" s="111"/>
      <c r="F295" s="111"/>
      <c r="G295" s="111"/>
      <c r="H295" s="111"/>
      <c r="I295" s="116"/>
      <c r="J295" s="113"/>
      <c r="K295" s="111"/>
      <c r="L295" s="114"/>
      <c r="M295" s="115"/>
      <c r="N295" s="114"/>
      <c r="O295" s="115"/>
      <c r="P295" s="111"/>
      <c r="Q295" s="111"/>
      <c r="R295" s="111"/>
      <c r="S295" s="111"/>
      <c r="T295" s="111"/>
      <c r="U295" s="114"/>
      <c r="V295" s="74"/>
      <c r="W295" s="74"/>
      <c r="X295" s="74"/>
      <c r="Y295" s="74"/>
      <c r="Z295" s="74"/>
      <c r="AA295" s="74"/>
      <c r="AB295" s="74"/>
      <c r="AC295" s="74"/>
      <c r="AD295" s="74"/>
    </row>
    <row r="296">
      <c r="A296" s="116"/>
      <c r="B296" s="111"/>
      <c r="C296" s="117"/>
      <c r="D296" s="111"/>
      <c r="E296" s="111"/>
      <c r="F296" s="111"/>
      <c r="G296" s="111"/>
      <c r="H296" s="111"/>
      <c r="I296" s="116"/>
      <c r="J296" s="113"/>
      <c r="K296" s="111"/>
      <c r="L296" s="114"/>
      <c r="M296" s="115"/>
      <c r="N296" s="114"/>
      <c r="O296" s="115"/>
      <c r="P296" s="111"/>
      <c r="Q296" s="111"/>
      <c r="R296" s="111"/>
      <c r="S296" s="111"/>
      <c r="T296" s="111"/>
      <c r="U296" s="114"/>
      <c r="V296" s="74"/>
      <c r="W296" s="74"/>
      <c r="X296" s="74"/>
      <c r="Y296" s="74"/>
      <c r="Z296" s="74"/>
      <c r="AA296" s="74"/>
      <c r="AB296" s="74"/>
      <c r="AC296" s="74"/>
      <c r="AD296" s="74"/>
    </row>
    <row r="297">
      <c r="A297" s="116"/>
      <c r="B297" s="111"/>
      <c r="C297" s="117"/>
      <c r="D297" s="111"/>
      <c r="E297" s="111"/>
      <c r="F297" s="111"/>
      <c r="G297" s="111"/>
      <c r="H297" s="111"/>
      <c r="I297" s="116"/>
      <c r="J297" s="113"/>
      <c r="K297" s="111"/>
      <c r="L297" s="114"/>
      <c r="M297" s="115"/>
      <c r="N297" s="114"/>
      <c r="O297" s="115"/>
      <c r="P297" s="111"/>
      <c r="Q297" s="111"/>
      <c r="R297" s="111"/>
      <c r="S297" s="111"/>
      <c r="T297" s="111"/>
      <c r="U297" s="114"/>
      <c r="V297" s="74"/>
      <c r="W297" s="74"/>
      <c r="X297" s="74"/>
      <c r="Y297" s="74"/>
      <c r="Z297" s="74"/>
      <c r="AA297" s="74"/>
      <c r="AB297" s="74"/>
      <c r="AC297" s="74"/>
      <c r="AD297" s="74"/>
    </row>
    <row r="298">
      <c r="A298" s="116"/>
      <c r="B298" s="111"/>
      <c r="C298" s="117"/>
      <c r="D298" s="111"/>
      <c r="E298" s="111"/>
      <c r="F298" s="111"/>
      <c r="G298" s="111"/>
      <c r="H298" s="111"/>
      <c r="I298" s="116"/>
      <c r="J298" s="113"/>
      <c r="K298" s="111"/>
      <c r="L298" s="114"/>
      <c r="M298" s="115"/>
      <c r="N298" s="114"/>
      <c r="O298" s="115"/>
      <c r="P298" s="111"/>
      <c r="Q298" s="111"/>
      <c r="R298" s="111"/>
      <c r="S298" s="111"/>
      <c r="T298" s="111"/>
      <c r="U298" s="114"/>
      <c r="V298" s="74"/>
      <c r="W298" s="74"/>
      <c r="X298" s="74"/>
      <c r="Y298" s="74"/>
      <c r="Z298" s="74"/>
      <c r="AA298" s="74"/>
      <c r="AB298" s="74"/>
      <c r="AC298" s="74"/>
      <c r="AD298" s="74"/>
    </row>
    <row r="299">
      <c r="A299" s="116"/>
      <c r="B299" s="111"/>
      <c r="C299" s="117"/>
      <c r="D299" s="111"/>
      <c r="E299" s="111"/>
      <c r="F299" s="111"/>
      <c r="G299" s="111"/>
      <c r="H299" s="111"/>
      <c r="I299" s="116"/>
      <c r="J299" s="113"/>
      <c r="K299" s="111"/>
      <c r="L299" s="114"/>
      <c r="M299" s="115"/>
      <c r="N299" s="114"/>
      <c r="O299" s="115"/>
      <c r="P299" s="111"/>
      <c r="Q299" s="111"/>
      <c r="R299" s="111"/>
      <c r="S299" s="111"/>
      <c r="T299" s="111"/>
      <c r="U299" s="114"/>
      <c r="V299" s="74"/>
      <c r="W299" s="74"/>
      <c r="X299" s="74"/>
      <c r="Y299" s="74"/>
      <c r="Z299" s="74"/>
      <c r="AA299" s="74"/>
      <c r="AB299" s="74"/>
      <c r="AC299" s="74"/>
      <c r="AD299" s="74"/>
    </row>
    <row r="300">
      <c r="A300" s="116"/>
      <c r="B300" s="111"/>
      <c r="C300" s="117"/>
      <c r="D300" s="111"/>
      <c r="E300" s="111"/>
      <c r="F300" s="111"/>
      <c r="G300" s="111"/>
      <c r="H300" s="111"/>
      <c r="I300" s="116"/>
      <c r="J300" s="113"/>
      <c r="K300" s="111"/>
      <c r="L300" s="114"/>
      <c r="M300" s="115"/>
      <c r="N300" s="114"/>
      <c r="O300" s="115"/>
      <c r="P300" s="111"/>
      <c r="Q300" s="111"/>
      <c r="R300" s="111"/>
      <c r="S300" s="111"/>
      <c r="T300" s="111"/>
      <c r="U300" s="114"/>
      <c r="V300" s="74"/>
      <c r="W300" s="74"/>
      <c r="X300" s="74"/>
      <c r="Y300" s="74"/>
      <c r="Z300" s="74"/>
      <c r="AA300" s="74"/>
      <c r="AB300" s="74"/>
      <c r="AC300" s="74"/>
      <c r="AD300" s="74"/>
    </row>
    <row r="301">
      <c r="A301" s="116"/>
      <c r="B301" s="111"/>
      <c r="C301" s="117"/>
      <c r="D301" s="111"/>
      <c r="E301" s="111"/>
      <c r="F301" s="111"/>
      <c r="G301" s="111"/>
      <c r="H301" s="111"/>
      <c r="I301" s="116"/>
      <c r="J301" s="113"/>
      <c r="K301" s="111"/>
      <c r="L301" s="114"/>
      <c r="M301" s="115"/>
      <c r="N301" s="114"/>
      <c r="O301" s="115"/>
      <c r="P301" s="111"/>
      <c r="Q301" s="111"/>
      <c r="R301" s="111"/>
      <c r="S301" s="111"/>
      <c r="T301" s="111"/>
      <c r="U301" s="114"/>
      <c r="V301" s="74"/>
      <c r="W301" s="74"/>
      <c r="X301" s="74"/>
      <c r="Y301" s="74"/>
      <c r="Z301" s="74"/>
      <c r="AA301" s="74"/>
      <c r="AB301" s="74"/>
      <c r="AC301" s="74"/>
      <c r="AD301" s="74"/>
    </row>
    <row r="302">
      <c r="A302" s="116"/>
      <c r="B302" s="111"/>
      <c r="C302" s="117"/>
      <c r="D302" s="111"/>
      <c r="E302" s="111"/>
      <c r="F302" s="111"/>
      <c r="G302" s="111"/>
      <c r="H302" s="111"/>
      <c r="I302" s="116"/>
      <c r="J302" s="113"/>
      <c r="K302" s="111"/>
      <c r="L302" s="114"/>
      <c r="M302" s="115"/>
      <c r="N302" s="114"/>
      <c r="O302" s="115"/>
      <c r="P302" s="111"/>
      <c r="Q302" s="111"/>
      <c r="R302" s="111"/>
      <c r="S302" s="111"/>
      <c r="T302" s="111"/>
      <c r="U302" s="114"/>
      <c r="V302" s="74"/>
      <c r="W302" s="74"/>
      <c r="X302" s="74"/>
      <c r="Y302" s="74"/>
      <c r="Z302" s="74"/>
      <c r="AA302" s="74"/>
      <c r="AB302" s="74"/>
      <c r="AC302" s="74"/>
      <c r="AD302" s="74"/>
    </row>
    <row r="303">
      <c r="A303" s="116"/>
      <c r="B303" s="111"/>
      <c r="C303" s="117"/>
      <c r="D303" s="111"/>
      <c r="E303" s="111"/>
      <c r="F303" s="111"/>
      <c r="G303" s="111"/>
      <c r="H303" s="111"/>
      <c r="I303" s="116"/>
      <c r="J303" s="113"/>
      <c r="K303" s="111"/>
      <c r="L303" s="114"/>
      <c r="M303" s="115"/>
      <c r="N303" s="114"/>
      <c r="O303" s="115"/>
      <c r="P303" s="111"/>
      <c r="Q303" s="111"/>
      <c r="R303" s="111"/>
      <c r="S303" s="111"/>
      <c r="T303" s="111"/>
      <c r="U303" s="114"/>
      <c r="V303" s="74"/>
      <c r="W303" s="74"/>
      <c r="X303" s="74"/>
      <c r="Y303" s="74"/>
      <c r="Z303" s="74"/>
      <c r="AA303" s="74"/>
      <c r="AB303" s="74"/>
      <c r="AC303" s="74"/>
      <c r="AD303" s="74"/>
    </row>
    <row r="304">
      <c r="A304" s="116"/>
      <c r="B304" s="111"/>
      <c r="C304" s="117"/>
      <c r="D304" s="111"/>
      <c r="E304" s="111"/>
      <c r="F304" s="111"/>
      <c r="G304" s="111"/>
      <c r="H304" s="111"/>
      <c r="I304" s="116"/>
      <c r="J304" s="113"/>
      <c r="K304" s="111"/>
      <c r="L304" s="114"/>
      <c r="M304" s="115"/>
      <c r="N304" s="114"/>
      <c r="O304" s="115"/>
      <c r="P304" s="111"/>
      <c r="Q304" s="111"/>
      <c r="R304" s="111"/>
      <c r="S304" s="111"/>
      <c r="T304" s="111"/>
      <c r="U304" s="114"/>
      <c r="V304" s="74"/>
      <c r="W304" s="74"/>
      <c r="X304" s="74"/>
      <c r="Y304" s="74"/>
      <c r="Z304" s="74"/>
      <c r="AA304" s="74"/>
      <c r="AB304" s="74"/>
      <c r="AC304" s="74"/>
      <c r="AD304" s="74"/>
    </row>
    <row r="305">
      <c r="A305" s="116"/>
      <c r="B305" s="111"/>
      <c r="C305" s="117"/>
      <c r="D305" s="111"/>
      <c r="E305" s="111"/>
      <c r="F305" s="111"/>
      <c r="G305" s="111"/>
      <c r="H305" s="111"/>
      <c r="I305" s="116"/>
      <c r="J305" s="113"/>
      <c r="K305" s="111"/>
      <c r="L305" s="114"/>
      <c r="M305" s="115"/>
      <c r="N305" s="114"/>
      <c r="O305" s="115"/>
      <c r="P305" s="111"/>
      <c r="Q305" s="111"/>
      <c r="R305" s="111"/>
      <c r="S305" s="111"/>
      <c r="T305" s="111"/>
      <c r="U305" s="114"/>
      <c r="V305" s="74"/>
      <c r="W305" s="74"/>
      <c r="X305" s="74"/>
      <c r="Y305" s="74"/>
      <c r="Z305" s="74"/>
      <c r="AA305" s="74"/>
      <c r="AB305" s="74"/>
      <c r="AC305" s="74"/>
      <c r="AD305" s="74"/>
    </row>
    <row r="306">
      <c r="A306" s="116"/>
      <c r="B306" s="111"/>
      <c r="C306" s="117"/>
      <c r="D306" s="111"/>
      <c r="E306" s="111"/>
      <c r="F306" s="111"/>
      <c r="G306" s="111"/>
      <c r="H306" s="111"/>
      <c r="I306" s="116"/>
      <c r="J306" s="113"/>
      <c r="K306" s="111"/>
      <c r="L306" s="114"/>
      <c r="M306" s="115"/>
      <c r="N306" s="114"/>
      <c r="O306" s="115"/>
      <c r="P306" s="111"/>
      <c r="Q306" s="111"/>
      <c r="R306" s="111"/>
      <c r="S306" s="111"/>
      <c r="T306" s="111"/>
      <c r="U306" s="114"/>
      <c r="V306" s="74"/>
      <c r="W306" s="74"/>
      <c r="X306" s="74"/>
      <c r="Y306" s="74"/>
      <c r="Z306" s="74"/>
      <c r="AA306" s="74"/>
      <c r="AB306" s="74"/>
      <c r="AC306" s="74"/>
      <c r="AD306" s="74"/>
    </row>
    <row r="307">
      <c r="A307" s="116"/>
      <c r="B307" s="111"/>
      <c r="C307" s="117"/>
      <c r="D307" s="111"/>
      <c r="E307" s="111"/>
      <c r="F307" s="111"/>
      <c r="G307" s="111"/>
      <c r="H307" s="111"/>
      <c r="I307" s="116"/>
      <c r="J307" s="113"/>
      <c r="K307" s="111"/>
      <c r="L307" s="114"/>
      <c r="M307" s="115"/>
      <c r="N307" s="114"/>
      <c r="O307" s="115"/>
      <c r="P307" s="111"/>
      <c r="Q307" s="111"/>
      <c r="R307" s="111"/>
      <c r="S307" s="111"/>
      <c r="T307" s="111"/>
      <c r="U307" s="114"/>
      <c r="V307" s="74"/>
      <c r="W307" s="74"/>
      <c r="X307" s="74"/>
      <c r="Y307" s="74"/>
      <c r="Z307" s="74"/>
      <c r="AA307" s="74"/>
      <c r="AB307" s="74"/>
      <c r="AC307" s="74"/>
      <c r="AD307" s="74"/>
    </row>
    <row r="308">
      <c r="A308" s="116"/>
      <c r="B308" s="111"/>
      <c r="C308" s="117"/>
      <c r="D308" s="111"/>
      <c r="E308" s="111"/>
      <c r="F308" s="111"/>
      <c r="G308" s="111"/>
      <c r="H308" s="111"/>
      <c r="I308" s="116"/>
      <c r="J308" s="113"/>
      <c r="K308" s="111"/>
      <c r="L308" s="114"/>
      <c r="M308" s="115"/>
      <c r="N308" s="114"/>
      <c r="O308" s="115"/>
      <c r="P308" s="111"/>
      <c r="Q308" s="111"/>
      <c r="R308" s="111"/>
      <c r="S308" s="111"/>
      <c r="T308" s="111"/>
      <c r="U308" s="114"/>
      <c r="V308" s="74"/>
      <c r="W308" s="74"/>
      <c r="X308" s="74"/>
      <c r="Y308" s="74"/>
      <c r="Z308" s="74"/>
      <c r="AA308" s="74"/>
      <c r="AB308" s="74"/>
      <c r="AC308" s="74"/>
      <c r="AD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  <row r="1001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125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8">
    <cfRule type="expression" dxfId="1" priority="2">
      <formula>$O11=True</formula>
    </cfRule>
  </conditionalFormatting>
  <conditionalFormatting sqref="A11:V308">
    <cfRule type="expression" dxfId="2" priority="3">
      <formula>$N11=True</formula>
    </cfRule>
  </conditionalFormatting>
  <conditionalFormatting sqref="A11:V308">
    <cfRule type="expression" dxfId="3" priority="4">
      <formula>$U11="เปลี่ยนไป Offset"</formula>
    </cfRule>
  </conditionalFormatting>
  <conditionalFormatting sqref="A11:V308">
    <cfRule type="expression" dxfId="3" priority="5">
      <formula>$U11="Cancelled"</formula>
    </cfRule>
  </conditionalFormatting>
  <conditionalFormatting sqref="A11:V308">
    <cfRule type="expression" dxfId="0" priority="6">
      <formula>$U11="รอกระดาษ"</formula>
    </cfRule>
  </conditionalFormatting>
  <conditionalFormatting sqref="A11:V308">
    <cfRule type="expression" dxfId="0" priority="7">
      <formula>$U11="รอแก้ไฟล์"</formula>
    </cfRule>
  </conditionalFormatting>
  <conditionalFormatting sqref="A11:V308">
    <cfRule type="expression" dxfId="0" priority="8">
      <formula>$U11="รอ maintenance"</formula>
    </cfRule>
  </conditionalFormatting>
  <conditionalFormatting sqref="A11:V308">
    <cfRule type="expression" dxfId="0" priority="9">
      <formula>$U11="รอคอนเฟิร์ม"</formula>
    </cfRule>
  </conditionalFormatting>
  <conditionalFormatting sqref="A11:V308">
    <cfRule type="expression" dxfId="0" priority="10">
      <formula>$U11="รอปรุกระดาษก่อนพิมพ์"</formula>
    </cfRule>
  </conditionalFormatting>
  <conditionalFormatting sqref="A11:V308">
    <cfRule type="expression" dxfId="0" priority="11">
      <formula>$U11="รอดูสี"</formula>
    </cfRule>
  </conditionalFormatting>
  <conditionalFormatting sqref="A11:V308">
    <cfRule type="expression" dxfId="0" priority="12">
      <formula>$U11="กระดาษชื้น"</formula>
    </cfRule>
  </conditionalFormatting>
  <conditionalFormatting sqref="A11:V308">
    <cfRule type="expression" dxfId="4" priority="13">
      <formula>$L11=True</formula>
    </cfRule>
  </conditionalFormatting>
  <conditionalFormatting sqref="A11:V308">
    <cfRule type="expression" dxfId="6" priority="14">
      <formula>$F11="ตามคิว"</formula>
    </cfRule>
  </conditionalFormatting>
  <conditionalFormatting sqref="A11:V308">
    <cfRule type="expression" dxfId="7" priority="15">
      <formula>$F11="Same Day"</formula>
    </cfRule>
  </conditionalFormatting>
  <conditionalFormatting sqref="A11:V308">
    <cfRule type="expression" dxfId="6" priority="16">
      <formula>$F11="ตัวอย่าง Mockup"</formula>
    </cfRule>
  </conditionalFormatting>
  <conditionalFormatting sqref="D17:F17">
    <cfRule type="notContainsBlanks" dxfId="8" priority="17">
      <formula>LEN(TRIM(D17))&gt;0</formula>
    </cfRule>
  </conditionalFormatting>
  <conditionalFormatting sqref="A11:V308">
    <cfRule type="expression" dxfId="5" priority="18">
      <formula>$F11="VIP"</formula>
    </cfRule>
  </conditionalFormatting>
  <conditionalFormatting sqref="D17:F17">
    <cfRule type="notContainsBlanks" dxfId="8" priority="19">
      <formula>LEN(TRIM(D17))&gt;0</formula>
    </cfRule>
  </conditionalFormatting>
  <conditionalFormatting sqref="U401:W401">
    <cfRule type="expression" dxfId="9" priority="20">
      <formula>"D11"</formula>
    </cfRule>
  </conditionalFormatting>
  <conditionalFormatting sqref="A1:B1">
    <cfRule type="notContainsBlanks" dxfId="8" priority="21">
      <formula>LEN(TRIM(A1))&gt;0</formula>
    </cfRule>
  </conditionalFormatting>
  <conditionalFormatting sqref="A11:V308">
    <cfRule type="expression" dxfId="10" priority="22">
      <formula>$F11="งานซ่อม"</formula>
    </cfRule>
  </conditionalFormatting>
  <conditionalFormatting sqref="A11:V308">
    <cfRule type="expression" dxfId="10" priority="23">
      <formula>$F11="ซ่อมไม่มีใบสั่ง"</formula>
    </cfRule>
  </conditionalFormatting>
  <dataValidations>
    <dataValidation type="list" allowBlank="1" showErrorMessage="1" sqref="D11:E188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Q11:Q188">
      <formula1>"C4070,C12000"</formula1>
    </dataValidation>
    <dataValidation type="list" allowBlank="1" showErrorMessage="1" sqref="K11:K188 P11:P188">
      <formula1>"Fluke,Sunney"</formula1>
    </dataValidation>
    <dataValidation type="list" allowBlank="1" showErrorMessage="1" sqref="V11:V188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$A$11:$A1001</formula1>
    </dataValidation>
    <dataValidation type="list" allowBlank="1" showErrorMessage="1" sqref="C1">
      <formula1>$P$11:$P1001</formula1>
    </dataValidation>
    <dataValidation type="list" allowBlank="1" showErrorMessage="1" sqref="F11:F188">
      <formula1>"Same Day,VIP,ตามคิว,ตัวอย่าง Mock up,งานซ่อม,ซ่อมไม่มีใบสั่ง"</formula1>
    </dataValidation>
    <dataValidation type="custom" allowBlank="1" showDropDown="1" sqref="A11:A308 I11:I308">
      <formula1>OR(NOT(ISERROR(DATEVALUE(A11))), AND(ISNUMBER(A11), LEFT(CELL("format", A11))="D"))</formula1>
    </dataValidation>
    <dataValidation type="list" allowBlank="1" showErrorMessage="1" sqref="U11:U188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57</v>
      </c>
      <c r="D2" s="13" t="s">
        <v>8</v>
      </c>
      <c r="E2" s="14">
        <f>COUNTIFS(F11:F1000,"ตามคิว")</f>
        <v>94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6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1</v>
      </c>
      <c r="AE2" s="25" t="s">
        <v>9</v>
      </c>
      <c r="AF2" s="26" t="s">
        <v>16</v>
      </c>
      <c r="AG2" s="26">
        <f>COUNTIFS(D11:E1000,"อาร์ตการ์ด 2/S 300g (ODM)")</f>
        <v>13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58</v>
      </c>
      <c r="D3" s="13" t="s">
        <v>18</v>
      </c>
      <c r="E3" s="14">
        <f>COUNTIFS(F11:F1000,"Same Day")</f>
        <v>19</v>
      </c>
      <c r="F3" s="15" t="s">
        <v>9</v>
      </c>
      <c r="G3" s="27" t="s">
        <v>19</v>
      </c>
      <c r="H3" s="28">
        <f>COUNTIFS(U11:U1000,"Dicut Jwei")</f>
        <v>5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50</v>
      </c>
      <c r="Y3" s="25" t="s">
        <v>9</v>
      </c>
      <c r="Z3" s="25" t="s">
        <v>24</v>
      </c>
      <c r="AA3" s="25">
        <f>COUNTIFS(D11:E1000,"ปอนด์ 80g (โกดัง)")</f>
        <v>1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1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6</v>
      </c>
      <c r="F4" s="15" t="s">
        <v>9</v>
      </c>
      <c r="G4" s="27" t="s">
        <v>28</v>
      </c>
      <c r="H4" s="28">
        <f>COUNTIFS(U11:U1000,"Dicut Graptech")</f>
        <v>22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11</v>
      </c>
      <c r="Y4" s="25" t="s">
        <v>9</v>
      </c>
      <c r="Z4" s="25" t="s">
        <v>32</v>
      </c>
      <c r="AA4" s="25">
        <f>COUNTIFS(D11:E1000,"ปอนด์ 100g (โกดัง)")</f>
        <v>1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16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1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3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1</v>
      </c>
      <c r="AE5" s="25" t="s">
        <v>9</v>
      </c>
      <c r="AF5" s="26" t="s">
        <v>43</v>
      </c>
      <c r="AG5" s="26">
        <f>COUNTIFS(D11:E1000,"Stk PP ขาวด้าน (ODM)")</f>
        <v>2</v>
      </c>
      <c r="AH5" s="26" t="s">
        <v>9</v>
      </c>
    </row>
    <row r="6" ht="21.75" customHeight="1">
      <c r="A6" s="11">
        <f>COUNTIFS(N11:N1000,True,B11:B1000,"*",K11:K1000,"*")</f>
        <v>118</v>
      </c>
      <c r="B6" s="2"/>
      <c r="C6" s="12" t="s">
        <v>9</v>
      </c>
      <c r="D6" s="13" t="s">
        <v>44</v>
      </c>
      <c r="E6" s="14">
        <f>COUNTIFS(F11:F1000,"ซ่อมไม่มีใบสั่ง")</f>
        <v>2</v>
      </c>
      <c r="F6" s="15" t="s">
        <v>9</v>
      </c>
      <c r="G6" s="42" t="s">
        <v>11</v>
      </c>
      <c r="H6" s="19">
        <f>COUNTIFS(Q11:Q1000,"C12000")</f>
        <v>92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2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1</v>
      </c>
      <c r="AE6" s="25" t="s">
        <v>9</v>
      </c>
      <c r="AF6" s="26" t="s">
        <v>50</v>
      </c>
      <c r="AG6" s="26">
        <f>COUNTIFS(D11:E1000,"Stk PP ใส (ODM)")</f>
        <v>4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33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3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122</v>
      </c>
      <c r="I8" s="51" t="s">
        <v>59</v>
      </c>
      <c r="J8" s="2"/>
      <c r="K8" s="53">
        <f>SUM(H3+H4)</f>
        <v>27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9</v>
      </c>
      <c r="Y8" s="25" t="s">
        <v>9</v>
      </c>
      <c r="Z8" s="25" t="s">
        <v>61</v>
      </c>
      <c r="AA8" s="25">
        <f>COUNTIFS(D11:E1000,"การ์ดขาว 240g (โกดัง)")</f>
        <v>2</v>
      </c>
      <c r="AB8" s="25" t="s">
        <v>9</v>
      </c>
      <c r="AC8" s="25" t="s">
        <v>62</v>
      </c>
      <c r="AD8" s="25">
        <f>COUNTIFS(D11:E1000,"อาร์ตด้าน 130g (โกดัง)")</f>
        <v>2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>
        <v>46113.0</v>
      </c>
      <c r="B11" s="76" t="s">
        <v>1054</v>
      </c>
      <c r="C11" s="77" t="s">
        <v>1055</v>
      </c>
      <c r="D11" s="76" t="s">
        <v>31</v>
      </c>
      <c r="E11" s="76"/>
      <c r="F11" s="76" t="s">
        <v>18</v>
      </c>
      <c r="G11" s="76">
        <v>3000.0</v>
      </c>
      <c r="H11" s="76">
        <v>750.0</v>
      </c>
      <c r="I11" s="75">
        <v>46114.0</v>
      </c>
      <c r="J11" s="78">
        <v>15.48</v>
      </c>
      <c r="K11" s="76" t="s">
        <v>101</v>
      </c>
      <c r="L11" s="79" t="b">
        <v>1</v>
      </c>
      <c r="M11" s="80">
        <f t="shared" ref="M11:M125" si="1">IFS(L11=FALSE,"",M11="",NOW(),TRUE,M11)</f>
        <v>46113.67933</v>
      </c>
      <c r="N11" s="81" t="b">
        <v>1</v>
      </c>
      <c r="O11" s="80">
        <f t="shared" ref="O11:O125" si="2">IFS(N11=FALSE,"",O11="",NOW(),TRUE,O11)</f>
        <v>46114.45308</v>
      </c>
      <c r="P11" s="76" t="s">
        <v>101</v>
      </c>
      <c r="Q11" s="76" t="s">
        <v>11</v>
      </c>
      <c r="R11" s="76" t="b">
        <v>0</v>
      </c>
      <c r="S11" s="82" t="b">
        <v>0</v>
      </c>
      <c r="T11" s="76">
        <v>756.0</v>
      </c>
      <c r="U11" s="79" t="s">
        <v>96</v>
      </c>
      <c r="V11" s="83" t="s">
        <v>458</v>
      </c>
      <c r="W11" s="118">
        <v>-138.0</v>
      </c>
    </row>
    <row r="12">
      <c r="A12" s="75">
        <v>46113.0</v>
      </c>
      <c r="B12" s="76" t="s">
        <v>1056</v>
      </c>
      <c r="C12" s="77" t="s">
        <v>1057</v>
      </c>
      <c r="D12" s="76" t="s">
        <v>61</v>
      </c>
      <c r="E12" s="76"/>
      <c r="F12" s="76" t="s">
        <v>27</v>
      </c>
      <c r="G12" s="76">
        <v>100.0</v>
      </c>
      <c r="H12" s="76">
        <v>50.0</v>
      </c>
      <c r="I12" s="75">
        <v>46116.0</v>
      </c>
      <c r="J12" s="78">
        <v>15.48</v>
      </c>
      <c r="K12" s="76" t="s">
        <v>101</v>
      </c>
      <c r="L12" s="79" t="b">
        <v>1</v>
      </c>
      <c r="M12" s="80">
        <f t="shared" si="1"/>
        <v>46114.60302</v>
      </c>
      <c r="N12" s="81" t="b">
        <v>1</v>
      </c>
      <c r="O12" s="80">
        <f t="shared" si="2"/>
        <v>46114.60461</v>
      </c>
      <c r="P12" s="76" t="s">
        <v>101</v>
      </c>
      <c r="Q12" s="76" t="s">
        <v>11</v>
      </c>
      <c r="R12" s="76" t="b">
        <v>0</v>
      </c>
      <c r="S12" s="82" t="b">
        <v>0</v>
      </c>
      <c r="T12" s="76">
        <v>60.0</v>
      </c>
      <c r="U12" s="79" t="s">
        <v>96</v>
      </c>
      <c r="V12" s="83"/>
      <c r="W12" s="74"/>
    </row>
    <row r="13">
      <c r="A13" s="75">
        <v>46113.0</v>
      </c>
      <c r="B13" s="76" t="s">
        <v>1058</v>
      </c>
      <c r="C13" s="77" t="s">
        <v>1059</v>
      </c>
      <c r="D13" s="76" t="s">
        <v>34</v>
      </c>
      <c r="E13" s="76"/>
      <c r="F13" s="76" t="s">
        <v>8</v>
      </c>
      <c r="G13" s="76">
        <v>54.0</v>
      </c>
      <c r="H13" s="76">
        <v>19.0</v>
      </c>
      <c r="I13" s="75">
        <v>46116.0</v>
      </c>
      <c r="J13" s="78">
        <v>15.48</v>
      </c>
      <c r="K13" s="76" t="s">
        <v>101</v>
      </c>
      <c r="L13" s="79" t="b">
        <v>1</v>
      </c>
      <c r="M13" s="80">
        <f t="shared" si="1"/>
        <v>46114.38712</v>
      </c>
      <c r="N13" s="81" t="b">
        <v>1</v>
      </c>
      <c r="O13" s="80">
        <f t="shared" si="2"/>
        <v>46114.3975</v>
      </c>
      <c r="P13" s="76" t="s">
        <v>101</v>
      </c>
      <c r="Q13" s="76" t="s">
        <v>38</v>
      </c>
      <c r="R13" s="76" t="b">
        <v>0</v>
      </c>
      <c r="S13" s="82" t="b">
        <v>0</v>
      </c>
      <c r="T13" s="76">
        <v>20.0</v>
      </c>
      <c r="U13" s="79" t="s">
        <v>28</v>
      </c>
      <c r="V13" s="83" t="s">
        <v>588</v>
      </c>
      <c r="W13" s="74"/>
    </row>
    <row r="14">
      <c r="A14" s="75">
        <v>46113.0</v>
      </c>
      <c r="B14" s="76" t="s">
        <v>1060</v>
      </c>
      <c r="C14" s="77" t="s">
        <v>1061</v>
      </c>
      <c r="D14" s="76" t="s">
        <v>34</v>
      </c>
      <c r="E14" s="76"/>
      <c r="F14" s="76" t="s">
        <v>8</v>
      </c>
      <c r="G14" s="76">
        <v>54.0</v>
      </c>
      <c r="H14" s="76">
        <v>19.0</v>
      </c>
      <c r="I14" s="75">
        <v>46116.0</v>
      </c>
      <c r="J14" s="78">
        <v>15.48</v>
      </c>
      <c r="K14" s="76" t="s">
        <v>101</v>
      </c>
      <c r="L14" s="79" t="b">
        <v>1</v>
      </c>
      <c r="M14" s="80">
        <f t="shared" si="1"/>
        <v>46114.39767</v>
      </c>
      <c r="N14" s="81" t="b">
        <v>1</v>
      </c>
      <c r="O14" s="80">
        <f t="shared" si="2"/>
        <v>46114.40015</v>
      </c>
      <c r="P14" s="76" t="s">
        <v>101</v>
      </c>
      <c r="Q14" s="76" t="s">
        <v>38</v>
      </c>
      <c r="R14" s="76" t="b">
        <v>0</v>
      </c>
      <c r="S14" s="82" t="b">
        <v>0</v>
      </c>
      <c r="T14" s="76">
        <v>20.0</v>
      </c>
      <c r="U14" s="79" t="s">
        <v>28</v>
      </c>
      <c r="V14" s="83"/>
      <c r="W14" s="74"/>
    </row>
    <row r="15">
      <c r="A15" s="75">
        <v>46113.0</v>
      </c>
      <c r="B15" s="76" t="s">
        <v>1060</v>
      </c>
      <c r="C15" s="77" t="s">
        <v>1062</v>
      </c>
      <c r="D15" s="76" t="s">
        <v>34</v>
      </c>
      <c r="E15" s="76"/>
      <c r="F15" s="76" t="s">
        <v>8</v>
      </c>
      <c r="G15" s="76">
        <v>54.0</v>
      </c>
      <c r="H15" s="76">
        <v>19.0</v>
      </c>
      <c r="I15" s="75">
        <v>46116.0</v>
      </c>
      <c r="J15" s="78">
        <v>15.48</v>
      </c>
      <c r="K15" s="76" t="s">
        <v>101</v>
      </c>
      <c r="L15" s="79" t="b">
        <v>1</v>
      </c>
      <c r="M15" s="80">
        <f t="shared" si="1"/>
        <v>46114.40017</v>
      </c>
      <c r="N15" s="81" t="b">
        <v>1</v>
      </c>
      <c r="O15" s="80">
        <f t="shared" si="2"/>
        <v>46114.40215</v>
      </c>
      <c r="P15" s="76" t="s">
        <v>101</v>
      </c>
      <c r="Q15" s="76" t="s">
        <v>38</v>
      </c>
      <c r="R15" s="76" t="b">
        <v>0</v>
      </c>
      <c r="S15" s="82" t="b">
        <v>0</v>
      </c>
      <c r="T15" s="76">
        <v>20.0</v>
      </c>
      <c r="U15" s="79" t="s">
        <v>28</v>
      </c>
      <c r="V15" s="83"/>
      <c r="W15" s="118"/>
    </row>
    <row r="16">
      <c r="A16" s="75">
        <v>46114.0</v>
      </c>
      <c r="B16" s="76" t="s">
        <v>1063</v>
      </c>
      <c r="C16" s="77" t="s">
        <v>1064</v>
      </c>
      <c r="D16" s="76" t="s">
        <v>62</v>
      </c>
      <c r="E16" s="76"/>
      <c r="F16" s="76" t="s">
        <v>8</v>
      </c>
      <c r="G16" s="76">
        <v>1000.0</v>
      </c>
      <c r="H16" s="76">
        <v>500.0</v>
      </c>
      <c r="I16" s="75">
        <v>46118.0</v>
      </c>
      <c r="J16" s="78">
        <v>9.0</v>
      </c>
      <c r="K16" s="76" t="s">
        <v>101</v>
      </c>
      <c r="L16" s="79" t="b">
        <v>1</v>
      </c>
      <c r="M16" s="80">
        <f t="shared" si="1"/>
        <v>46114.463</v>
      </c>
      <c r="N16" s="81" t="b">
        <v>1</v>
      </c>
      <c r="O16" s="80">
        <f t="shared" si="2"/>
        <v>46114.4777</v>
      </c>
      <c r="P16" s="76" t="s">
        <v>101</v>
      </c>
      <c r="Q16" s="76" t="s">
        <v>11</v>
      </c>
      <c r="R16" s="76" t="b">
        <v>0</v>
      </c>
      <c r="S16" s="82" t="b">
        <v>0</v>
      </c>
      <c r="T16" s="76">
        <v>506.0</v>
      </c>
      <c r="U16" s="79" t="s">
        <v>96</v>
      </c>
      <c r="V16" s="83" t="s">
        <v>160</v>
      </c>
      <c r="W16" s="118"/>
    </row>
    <row r="17">
      <c r="A17" s="75">
        <v>46114.0</v>
      </c>
      <c r="B17" s="76" t="s">
        <v>1065</v>
      </c>
      <c r="C17" s="77" t="s">
        <v>1066</v>
      </c>
      <c r="D17" s="76" t="s">
        <v>16</v>
      </c>
      <c r="E17" s="76"/>
      <c r="F17" s="76" t="s">
        <v>27</v>
      </c>
      <c r="G17" s="76">
        <v>4.0</v>
      </c>
      <c r="H17" s="76">
        <v>1.0</v>
      </c>
      <c r="I17" s="75">
        <v>46118.0</v>
      </c>
      <c r="J17" s="78">
        <v>10.11</v>
      </c>
      <c r="K17" s="76" t="s">
        <v>101</v>
      </c>
      <c r="L17" s="79" t="b">
        <v>1</v>
      </c>
      <c r="M17" s="80">
        <f t="shared" si="1"/>
        <v>46114.45724</v>
      </c>
      <c r="N17" s="81" t="b">
        <v>1</v>
      </c>
      <c r="O17" s="80">
        <f t="shared" si="2"/>
        <v>46114.46299</v>
      </c>
      <c r="P17" s="76" t="s">
        <v>101</v>
      </c>
      <c r="Q17" s="76" t="s">
        <v>11</v>
      </c>
      <c r="R17" s="76" t="b">
        <v>0</v>
      </c>
      <c r="S17" s="82" t="b">
        <v>0</v>
      </c>
      <c r="T17" s="76">
        <v>1.0</v>
      </c>
      <c r="U17" s="79" t="s">
        <v>96</v>
      </c>
      <c r="V17" s="83"/>
      <c r="W17" s="74"/>
    </row>
    <row r="18">
      <c r="A18" s="75">
        <v>46114.0</v>
      </c>
      <c r="B18" s="76" t="s">
        <v>1067</v>
      </c>
      <c r="C18" s="77" t="s">
        <v>1068</v>
      </c>
      <c r="D18" s="76" t="s">
        <v>34</v>
      </c>
      <c r="E18" s="76"/>
      <c r="F18" s="76" t="s">
        <v>27</v>
      </c>
      <c r="G18" s="76">
        <v>3000.0</v>
      </c>
      <c r="H18" s="76">
        <v>13.0</v>
      </c>
      <c r="I18" s="75">
        <v>46114.0</v>
      </c>
      <c r="J18" s="78">
        <v>11.41</v>
      </c>
      <c r="K18" s="76" t="s">
        <v>101</v>
      </c>
      <c r="L18" s="79" t="b">
        <v>1</v>
      </c>
      <c r="M18" s="80">
        <f t="shared" si="1"/>
        <v>46114.48414</v>
      </c>
      <c r="N18" s="81" t="b">
        <v>1</v>
      </c>
      <c r="O18" s="80">
        <f t="shared" si="2"/>
        <v>46114.48528</v>
      </c>
      <c r="P18" s="76" t="s">
        <v>101</v>
      </c>
      <c r="Q18" s="76" t="s">
        <v>38</v>
      </c>
      <c r="R18" s="76" t="b">
        <v>0</v>
      </c>
      <c r="S18" s="82" t="b">
        <v>0</v>
      </c>
      <c r="T18" s="76">
        <v>16.0</v>
      </c>
      <c r="U18" s="79" t="s">
        <v>28</v>
      </c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>
        <v>46114.0</v>
      </c>
      <c r="B19" s="76" t="s">
        <v>1069</v>
      </c>
      <c r="C19" s="77" t="s">
        <v>1070</v>
      </c>
      <c r="D19" s="76" t="s">
        <v>40</v>
      </c>
      <c r="E19" s="76" t="s">
        <v>23</v>
      </c>
      <c r="F19" s="76" t="s">
        <v>18</v>
      </c>
      <c r="G19" s="76">
        <v>1.0</v>
      </c>
      <c r="H19" s="76">
        <v>1.0</v>
      </c>
      <c r="I19" s="75">
        <v>46115.0</v>
      </c>
      <c r="J19" s="78">
        <v>13.49</v>
      </c>
      <c r="K19" s="76" t="s">
        <v>101</v>
      </c>
      <c r="L19" s="79" t="b">
        <v>1</v>
      </c>
      <c r="M19" s="80">
        <f t="shared" si="1"/>
        <v>46114.60702</v>
      </c>
      <c r="N19" s="81" t="b">
        <v>1</v>
      </c>
      <c r="O19" s="80">
        <f t="shared" si="2"/>
        <v>46114.61198</v>
      </c>
      <c r="P19" s="76" t="s">
        <v>101</v>
      </c>
      <c r="Q19" s="76" t="s">
        <v>11</v>
      </c>
      <c r="R19" s="76" t="b">
        <v>0</v>
      </c>
      <c r="S19" s="82" t="b">
        <v>0</v>
      </c>
      <c r="T19" s="130">
        <v>46057.0</v>
      </c>
      <c r="U19" s="79" t="s">
        <v>96</v>
      </c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>
        <v>46114.0</v>
      </c>
      <c r="B20" s="76" t="s">
        <v>1071</v>
      </c>
      <c r="C20" s="77" t="s">
        <v>1072</v>
      </c>
      <c r="D20" s="76" t="s">
        <v>31</v>
      </c>
      <c r="E20" s="76"/>
      <c r="F20" s="76" t="s">
        <v>8</v>
      </c>
      <c r="G20" s="76">
        <v>500.0</v>
      </c>
      <c r="H20" s="76">
        <v>500.0</v>
      </c>
      <c r="I20" s="75">
        <v>46122.0</v>
      </c>
      <c r="J20" s="78">
        <v>13.49</v>
      </c>
      <c r="K20" s="76" t="s">
        <v>101</v>
      </c>
      <c r="L20" s="79" t="b">
        <v>0</v>
      </c>
      <c r="M20" s="80" t="str">
        <f t="shared" si="1"/>
        <v/>
      </c>
      <c r="N20" s="81" t="b">
        <v>1</v>
      </c>
      <c r="O20" s="80">
        <f t="shared" si="2"/>
        <v>46119.46736</v>
      </c>
      <c r="P20" s="76"/>
      <c r="Q20" s="76" t="s">
        <v>11</v>
      </c>
      <c r="R20" s="76" t="b">
        <v>0</v>
      </c>
      <c r="S20" s="82" t="b">
        <v>0</v>
      </c>
      <c r="T20" s="76">
        <v>506.0</v>
      </c>
      <c r="U20" s="79" t="s">
        <v>96</v>
      </c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>
        <v>46114.0</v>
      </c>
      <c r="B21" s="76" t="s">
        <v>1073</v>
      </c>
      <c r="C21" s="77" t="s">
        <v>1074</v>
      </c>
      <c r="D21" s="76" t="s">
        <v>34</v>
      </c>
      <c r="E21" s="76"/>
      <c r="F21" s="76" t="s">
        <v>8</v>
      </c>
      <c r="G21" s="76">
        <v>10000.0</v>
      </c>
      <c r="H21" s="76">
        <v>63.0</v>
      </c>
      <c r="I21" s="75">
        <v>46118.0</v>
      </c>
      <c r="J21" s="78">
        <v>14.33</v>
      </c>
      <c r="K21" s="76" t="s">
        <v>101</v>
      </c>
      <c r="L21" s="79" t="b">
        <v>1</v>
      </c>
      <c r="M21" s="80">
        <f t="shared" si="1"/>
        <v>46114.6482</v>
      </c>
      <c r="N21" s="81" t="b">
        <v>1</v>
      </c>
      <c r="O21" s="80">
        <f t="shared" si="2"/>
        <v>46114.65281</v>
      </c>
      <c r="P21" s="76" t="s">
        <v>101</v>
      </c>
      <c r="Q21" s="76" t="s">
        <v>38</v>
      </c>
      <c r="R21" s="76" t="b">
        <v>0</v>
      </c>
      <c r="S21" s="82" t="b">
        <v>0</v>
      </c>
      <c r="T21" s="76">
        <v>64.0</v>
      </c>
      <c r="U21" s="79" t="s">
        <v>28</v>
      </c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>
        <v>46114.0</v>
      </c>
      <c r="B22" s="76" t="s">
        <v>1075</v>
      </c>
      <c r="C22" s="77" t="s">
        <v>1076</v>
      </c>
      <c r="D22" s="76" t="s">
        <v>31</v>
      </c>
      <c r="E22" s="76"/>
      <c r="F22" s="76" t="s">
        <v>8</v>
      </c>
      <c r="G22" s="76">
        <v>1000.0</v>
      </c>
      <c r="H22" s="76">
        <v>500.0</v>
      </c>
      <c r="I22" s="75">
        <v>46119.0</v>
      </c>
      <c r="J22" s="78">
        <v>14.33</v>
      </c>
      <c r="K22" s="76" t="s">
        <v>101</v>
      </c>
      <c r="L22" s="79" t="b">
        <v>0</v>
      </c>
      <c r="M22" s="80" t="str">
        <f t="shared" si="1"/>
        <v/>
      </c>
      <c r="N22" s="81" t="b">
        <v>1</v>
      </c>
      <c r="O22" s="80">
        <f t="shared" si="2"/>
        <v>46119.46738</v>
      </c>
      <c r="P22" s="76"/>
      <c r="Q22" s="76" t="s">
        <v>11</v>
      </c>
      <c r="R22" s="76" t="b">
        <v>0</v>
      </c>
      <c r="S22" s="82" t="b">
        <v>0</v>
      </c>
      <c r="T22" s="76">
        <v>504.0</v>
      </c>
      <c r="U22" s="79" t="s">
        <v>96</v>
      </c>
      <c r="V22" s="83"/>
      <c r="W22" s="74"/>
      <c r="X22" s="74"/>
      <c r="AB22" s="74"/>
      <c r="AC22" s="74"/>
      <c r="AD22" s="74"/>
    </row>
    <row r="23">
      <c r="A23" s="75">
        <v>46114.0</v>
      </c>
      <c r="B23" s="76" t="s">
        <v>1077</v>
      </c>
      <c r="C23" s="77" t="s">
        <v>1078</v>
      </c>
      <c r="D23" s="76" t="s">
        <v>42</v>
      </c>
      <c r="E23" s="76"/>
      <c r="F23" s="76" t="s">
        <v>27</v>
      </c>
      <c r="G23" s="76">
        <v>25.0</v>
      </c>
      <c r="H23" s="76">
        <v>3.0</v>
      </c>
      <c r="I23" s="75">
        <v>46114.0</v>
      </c>
      <c r="J23" s="78">
        <v>15.14</v>
      </c>
      <c r="K23" s="76" t="s">
        <v>101</v>
      </c>
      <c r="L23" s="79" t="b">
        <v>1</v>
      </c>
      <c r="M23" s="80">
        <f t="shared" si="1"/>
        <v>46114.63819</v>
      </c>
      <c r="N23" s="81" t="b">
        <v>1</v>
      </c>
      <c r="O23" s="80">
        <f t="shared" si="2"/>
        <v>46114.64199</v>
      </c>
      <c r="P23" s="76" t="s">
        <v>101</v>
      </c>
      <c r="Q23" s="76" t="s">
        <v>11</v>
      </c>
      <c r="R23" s="76" t="b">
        <v>0</v>
      </c>
      <c r="S23" s="82" t="b">
        <v>0</v>
      </c>
      <c r="T23" s="76">
        <v>10.0</v>
      </c>
      <c r="U23" s="79" t="s">
        <v>96</v>
      </c>
      <c r="V23" s="83"/>
      <c r="W23" s="74"/>
      <c r="X23" s="74"/>
      <c r="AB23" s="74"/>
      <c r="AC23" s="74"/>
      <c r="AD23" s="74"/>
    </row>
    <row r="24">
      <c r="A24" s="75">
        <v>46115.0</v>
      </c>
      <c r="B24" s="76" t="s">
        <v>1079</v>
      </c>
      <c r="C24" s="77" t="s">
        <v>1080</v>
      </c>
      <c r="D24" s="76" t="s">
        <v>23</v>
      </c>
      <c r="E24" s="76"/>
      <c r="F24" s="76" t="s">
        <v>8</v>
      </c>
      <c r="G24" s="76">
        <v>10.0</v>
      </c>
      <c r="H24" s="76">
        <v>10.0</v>
      </c>
      <c r="I24" s="75">
        <v>46119.0</v>
      </c>
      <c r="J24" s="78">
        <v>11.25</v>
      </c>
      <c r="K24" s="76" t="s">
        <v>101</v>
      </c>
      <c r="L24" s="79" t="b">
        <v>0</v>
      </c>
      <c r="M24" s="80" t="str">
        <f t="shared" si="1"/>
        <v/>
      </c>
      <c r="N24" s="81" t="b">
        <v>1</v>
      </c>
      <c r="O24" s="80">
        <f t="shared" si="2"/>
        <v>46119.46742</v>
      </c>
      <c r="P24" s="76"/>
      <c r="Q24" s="76" t="s">
        <v>11</v>
      </c>
      <c r="R24" s="76" t="b">
        <v>0</v>
      </c>
      <c r="S24" s="82" t="b">
        <v>0</v>
      </c>
      <c r="T24" s="76">
        <v>13.0</v>
      </c>
      <c r="U24" s="79" t="s">
        <v>96</v>
      </c>
      <c r="V24" s="83"/>
      <c r="W24" s="74"/>
      <c r="X24" s="74"/>
    </row>
    <row r="25">
      <c r="A25" s="75">
        <v>46115.0</v>
      </c>
      <c r="B25" s="76" t="s">
        <v>1081</v>
      </c>
      <c r="C25" s="77" t="s">
        <v>1082</v>
      </c>
      <c r="D25" s="76" t="s">
        <v>60</v>
      </c>
      <c r="E25" s="76" t="s">
        <v>24</v>
      </c>
      <c r="F25" s="76" t="s">
        <v>18</v>
      </c>
      <c r="G25" s="76">
        <v>300.0</v>
      </c>
      <c r="H25" s="76">
        <v>150.0</v>
      </c>
      <c r="I25" s="75">
        <v>46116.0</v>
      </c>
      <c r="J25" s="78">
        <v>11.46</v>
      </c>
      <c r="K25" s="76" t="s">
        <v>101</v>
      </c>
      <c r="L25" s="79" t="b">
        <v>1</v>
      </c>
      <c r="M25" s="80">
        <f t="shared" si="1"/>
        <v>46115.62656</v>
      </c>
      <c r="N25" s="81" t="b">
        <v>1</v>
      </c>
      <c r="O25" s="80">
        <f t="shared" si="2"/>
        <v>46115.77579</v>
      </c>
      <c r="P25" s="76" t="s">
        <v>101</v>
      </c>
      <c r="Q25" s="76" t="s">
        <v>11</v>
      </c>
      <c r="R25" s="76" t="b">
        <v>0</v>
      </c>
      <c r="S25" s="82" t="b">
        <v>0</v>
      </c>
      <c r="T25" s="76" t="s">
        <v>1083</v>
      </c>
      <c r="U25" s="79" t="s">
        <v>96</v>
      </c>
      <c r="V25" s="83"/>
      <c r="W25" s="74"/>
      <c r="X25" s="74"/>
    </row>
    <row r="26">
      <c r="A26" s="75">
        <v>46115.0</v>
      </c>
      <c r="B26" s="76" t="s">
        <v>1084</v>
      </c>
      <c r="C26" s="77" t="s">
        <v>1085</v>
      </c>
      <c r="D26" s="76" t="s">
        <v>50</v>
      </c>
      <c r="E26" s="76"/>
      <c r="F26" s="76" t="s">
        <v>8</v>
      </c>
      <c r="G26" s="76">
        <v>6.0</v>
      </c>
      <c r="H26" s="76">
        <v>6.0</v>
      </c>
      <c r="I26" s="75">
        <v>46120.0</v>
      </c>
      <c r="J26" s="78">
        <v>15.54</v>
      </c>
      <c r="K26" s="76" t="s">
        <v>101</v>
      </c>
      <c r="L26" s="79" t="b">
        <v>0</v>
      </c>
      <c r="M26" s="80" t="str">
        <f t="shared" si="1"/>
        <v/>
      </c>
      <c r="N26" s="81" t="b">
        <v>1</v>
      </c>
      <c r="O26" s="80">
        <f t="shared" si="2"/>
        <v>46119.46746</v>
      </c>
      <c r="P26" s="76"/>
      <c r="Q26" s="76" t="s">
        <v>38</v>
      </c>
      <c r="R26" s="76" t="b">
        <v>0</v>
      </c>
      <c r="S26" s="82" t="b">
        <v>0</v>
      </c>
      <c r="T26" s="76">
        <v>7.0</v>
      </c>
      <c r="U26" s="79" t="s">
        <v>28</v>
      </c>
      <c r="V26" s="83"/>
      <c r="W26" s="74"/>
      <c r="X26" s="74"/>
    </row>
    <row r="27">
      <c r="A27" s="75">
        <v>46115.0</v>
      </c>
      <c r="B27" s="76" t="s">
        <v>1086</v>
      </c>
      <c r="C27" s="77" t="s">
        <v>140</v>
      </c>
      <c r="D27" s="76" t="s">
        <v>34</v>
      </c>
      <c r="E27" s="76"/>
      <c r="F27" s="76" t="s">
        <v>8</v>
      </c>
      <c r="G27" s="76">
        <v>9.0</v>
      </c>
      <c r="H27" s="76">
        <v>9.0</v>
      </c>
      <c r="I27" s="75">
        <v>46120.0</v>
      </c>
      <c r="J27" s="78">
        <v>16.21</v>
      </c>
      <c r="K27" s="76" t="s">
        <v>1</v>
      </c>
      <c r="L27" s="79" t="b">
        <v>1</v>
      </c>
      <c r="M27" s="80">
        <f t="shared" si="1"/>
        <v>46116.65816</v>
      </c>
      <c r="N27" s="81" t="b">
        <v>1</v>
      </c>
      <c r="O27" s="80">
        <f t="shared" si="2"/>
        <v>46116.66047</v>
      </c>
      <c r="P27" s="76" t="s">
        <v>101</v>
      </c>
      <c r="Q27" s="76" t="s">
        <v>38</v>
      </c>
      <c r="R27" s="76" t="b">
        <v>0</v>
      </c>
      <c r="S27" s="82" t="b">
        <v>0</v>
      </c>
      <c r="T27" s="76">
        <v>10.0</v>
      </c>
      <c r="U27" s="79" t="s">
        <v>28</v>
      </c>
      <c r="V27" s="83"/>
      <c r="W27" s="74"/>
      <c r="X27" s="86"/>
    </row>
    <row r="28">
      <c r="A28" s="75">
        <v>46115.0</v>
      </c>
      <c r="B28" s="76" t="s">
        <v>1087</v>
      </c>
      <c r="C28" s="77" t="s">
        <v>1088</v>
      </c>
      <c r="D28" s="76" t="s">
        <v>50</v>
      </c>
      <c r="E28" s="76"/>
      <c r="F28" s="76" t="s">
        <v>8</v>
      </c>
      <c r="G28" s="76">
        <v>7.0</v>
      </c>
      <c r="H28" s="76">
        <v>7.0</v>
      </c>
      <c r="I28" s="75">
        <v>46120.0</v>
      </c>
      <c r="J28" s="78">
        <v>16.21</v>
      </c>
      <c r="K28" s="76"/>
      <c r="L28" s="79" t="b">
        <v>0</v>
      </c>
      <c r="M28" s="80" t="str">
        <f t="shared" si="1"/>
        <v/>
      </c>
      <c r="N28" s="81" t="b">
        <v>1</v>
      </c>
      <c r="O28" s="80">
        <f t="shared" si="2"/>
        <v>46119.46747</v>
      </c>
      <c r="P28" s="76"/>
      <c r="Q28" s="76" t="s">
        <v>38</v>
      </c>
      <c r="R28" s="76" t="b">
        <v>0</v>
      </c>
      <c r="S28" s="82" t="b">
        <v>0</v>
      </c>
      <c r="T28" s="76">
        <v>8.0</v>
      </c>
      <c r="U28" s="79" t="s">
        <v>28</v>
      </c>
      <c r="V28" s="83"/>
      <c r="W28" s="74"/>
      <c r="X28" s="86"/>
    </row>
    <row r="29">
      <c r="A29" s="75">
        <v>46115.0</v>
      </c>
      <c r="B29" s="76" t="s">
        <v>1089</v>
      </c>
      <c r="C29" s="77" t="s">
        <v>1090</v>
      </c>
      <c r="D29" s="76" t="s">
        <v>57</v>
      </c>
      <c r="E29" s="76"/>
      <c r="F29" s="76" t="s">
        <v>8</v>
      </c>
      <c r="G29" s="76">
        <v>3000.0</v>
      </c>
      <c r="H29" s="76">
        <v>75.0</v>
      </c>
      <c r="I29" s="75">
        <v>46120.0</v>
      </c>
      <c r="J29" s="78">
        <v>16.21</v>
      </c>
      <c r="K29" s="76" t="s">
        <v>1</v>
      </c>
      <c r="L29" s="79" t="b">
        <v>1</v>
      </c>
      <c r="M29" s="80">
        <f t="shared" si="1"/>
        <v>46116.63937</v>
      </c>
      <c r="N29" s="81" t="b">
        <v>1</v>
      </c>
      <c r="O29" s="80">
        <f t="shared" si="2"/>
        <v>46116.65473</v>
      </c>
      <c r="P29" s="76" t="s">
        <v>101</v>
      </c>
      <c r="Q29" s="76" t="s">
        <v>38</v>
      </c>
      <c r="R29" s="76" t="b">
        <v>0</v>
      </c>
      <c r="S29" s="82" t="b">
        <v>0</v>
      </c>
      <c r="T29" s="76">
        <v>76.0</v>
      </c>
      <c r="U29" s="79" t="s">
        <v>28</v>
      </c>
      <c r="V29" s="83"/>
      <c r="W29" s="74"/>
      <c r="X29" s="86"/>
      <c r="AE29" s="87"/>
      <c r="AF29" s="87"/>
      <c r="AG29" s="87"/>
      <c r="AH29" s="87"/>
    </row>
    <row r="30">
      <c r="A30" s="75">
        <v>46115.0</v>
      </c>
      <c r="B30" s="76" t="s">
        <v>1091</v>
      </c>
      <c r="C30" s="77" t="s">
        <v>1092</v>
      </c>
      <c r="D30" s="76" t="s">
        <v>34</v>
      </c>
      <c r="E30" s="76"/>
      <c r="F30" s="76" t="s">
        <v>8</v>
      </c>
      <c r="G30" s="76">
        <v>7.0</v>
      </c>
      <c r="H30" s="76">
        <v>7.0</v>
      </c>
      <c r="I30" s="75">
        <v>46120.0</v>
      </c>
      <c r="J30" s="78">
        <v>16.21</v>
      </c>
      <c r="K30" s="76" t="s">
        <v>101</v>
      </c>
      <c r="L30" s="79" t="b">
        <v>1</v>
      </c>
      <c r="M30" s="80">
        <f t="shared" si="1"/>
        <v>46116.66054</v>
      </c>
      <c r="N30" s="81" t="b">
        <v>1</v>
      </c>
      <c r="O30" s="80">
        <f t="shared" si="2"/>
        <v>46116.66159</v>
      </c>
      <c r="P30" s="76" t="s">
        <v>101</v>
      </c>
      <c r="Q30" s="76" t="s">
        <v>38</v>
      </c>
      <c r="R30" s="76" t="b">
        <v>0</v>
      </c>
      <c r="S30" s="82" t="b">
        <v>0</v>
      </c>
      <c r="T30" s="76">
        <v>8.0</v>
      </c>
      <c r="U30" s="79" t="s">
        <v>28</v>
      </c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>
        <v>46115.0</v>
      </c>
      <c r="B31" s="76" t="s">
        <v>1093</v>
      </c>
      <c r="C31" s="77" t="s">
        <v>138</v>
      </c>
      <c r="D31" s="76" t="s">
        <v>57</v>
      </c>
      <c r="E31" s="76"/>
      <c r="F31" s="76" t="s">
        <v>8</v>
      </c>
      <c r="G31" s="76">
        <v>250.0</v>
      </c>
      <c r="H31" s="76">
        <v>250.0</v>
      </c>
      <c r="I31" s="75">
        <v>46120.0</v>
      </c>
      <c r="J31" s="78">
        <v>16.21</v>
      </c>
      <c r="K31" s="76" t="s">
        <v>101</v>
      </c>
      <c r="L31" s="79" t="b">
        <v>1</v>
      </c>
      <c r="M31" s="80">
        <f t="shared" si="1"/>
        <v>46116.62145</v>
      </c>
      <c r="N31" s="81" t="b">
        <v>1</v>
      </c>
      <c r="O31" s="80">
        <f t="shared" si="2"/>
        <v>46116.63628</v>
      </c>
      <c r="P31" s="76" t="s">
        <v>101</v>
      </c>
      <c r="Q31" s="76" t="s">
        <v>38</v>
      </c>
      <c r="R31" s="76" t="b">
        <v>0</v>
      </c>
      <c r="S31" s="82" t="b">
        <v>0</v>
      </c>
      <c r="T31" s="76">
        <v>251.0</v>
      </c>
      <c r="U31" s="79" t="s">
        <v>28</v>
      </c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>
        <v>46115.0</v>
      </c>
      <c r="B32" s="76" t="s">
        <v>1094</v>
      </c>
      <c r="C32" s="77" t="s">
        <v>1095</v>
      </c>
      <c r="D32" s="76" t="s">
        <v>34</v>
      </c>
      <c r="E32" s="76"/>
      <c r="F32" s="76" t="s">
        <v>8</v>
      </c>
      <c r="G32" s="76">
        <v>7.0</v>
      </c>
      <c r="H32" s="76">
        <v>7.0</v>
      </c>
      <c r="I32" s="75">
        <v>46120.0</v>
      </c>
      <c r="J32" s="78">
        <v>16.21</v>
      </c>
      <c r="K32" s="76" t="s">
        <v>101</v>
      </c>
      <c r="L32" s="79" t="b">
        <v>1</v>
      </c>
      <c r="M32" s="80">
        <f t="shared" si="1"/>
        <v>46116.6617</v>
      </c>
      <c r="N32" s="81" t="b">
        <v>1</v>
      </c>
      <c r="O32" s="80">
        <f t="shared" si="2"/>
        <v>46116.69113</v>
      </c>
      <c r="P32" s="76" t="s">
        <v>101</v>
      </c>
      <c r="Q32" s="76" t="s">
        <v>38</v>
      </c>
      <c r="R32" s="76" t="b">
        <v>0</v>
      </c>
      <c r="S32" s="82" t="b">
        <v>0</v>
      </c>
      <c r="T32" s="76">
        <v>8.0</v>
      </c>
      <c r="U32" s="79" t="s">
        <v>28</v>
      </c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>
        <v>46115.0</v>
      </c>
      <c r="B33" s="76" t="s">
        <v>1096</v>
      </c>
      <c r="C33" s="77" t="s">
        <v>1097</v>
      </c>
      <c r="D33" s="76" t="s">
        <v>23</v>
      </c>
      <c r="E33" s="76"/>
      <c r="F33" s="76" t="s">
        <v>18</v>
      </c>
      <c r="G33" s="76">
        <v>1000.0</v>
      </c>
      <c r="H33" s="76">
        <v>500.0</v>
      </c>
      <c r="I33" s="75">
        <v>46116.0</v>
      </c>
      <c r="J33" s="78">
        <v>16.501</v>
      </c>
      <c r="K33" s="76" t="s">
        <v>101</v>
      </c>
      <c r="L33" s="79" t="b">
        <v>1</v>
      </c>
      <c r="M33" s="80">
        <f t="shared" si="1"/>
        <v>46116.37134</v>
      </c>
      <c r="N33" s="81" t="b">
        <v>1</v>
      </c>
      <c r="O33" s="80">
        <f t="shared" si="2"/>
        <v>46116.3858</v>
      </c>
      <c r="P33" s="76" t="s">
        <v>101</v>
      </c>
      <c r="Q33" s="76" t="s">
        <v>11</v>
      </c>
      <c r="R33" s="76" t="b">
        <v>0</v>
      </c>
      <c r="S33" s="82" t="b">
        <v>0</v>
      </c>
      <c r="T33" s="76">
        <v>508.0</v>
      </c>
      <c r="U33" s="79" t="s">
        <v>96</v>
      </c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>
        <v>46115.0</v>
      </c>
      <c r="B34" s="76" t="s">
        <v>1098</v>
      </c>
      <c r="C34" s="77" t="s">
        <v>1099</v>
      </c>
      <c r="D34" s="76" t="s">
        <v>13</v>
      </c>
      <c r="E34" s="76"/>
      <c r="F34" s="76" t="s">
        <v>8</v>
      </c>
      <c r="G34" s="76">
        <v>10.0</v>
      </c>
      <c r="H34" s="76">
        <v>10.0</v>
      </c>
      <c r="I34" s="75">
        <v>46122.0</v>
      </c>
      <c r="J34" s="78">
        <v>17.15</v>
      </c>
      <c r="K34" s="76" t="s">
        <v>101</v>
      </c>
      <c r="L34" s="79" t="b">
        <v>1</v>
      </c>
      <c r="M34" s="80">
        <f t="shared" si="1"/>
        <v>46120.43969</v>
      </c>
      <c r="N34" s="81" t="b">
        <v>1</v>
      </c>
      <c r="O34" s="80">
        <f t="shared" si="2"/>
        <v>46120.44087</v>
      </c>
      <c r="P34" s="76" t="s">
        <v>101</v>
      </c>
      <c r="Q34" s="76" t="s">
        <v>11</v>
      </c>
      <c r="R34" s="76" t="b">
        <v>0</v>
      </c>
      <c r="S34" s="82" t="b">
        <v>0</v>
      </c>
      <c r="T34" s="76">
        <v>10.0</v>
      </c>
      <c r="U34" s="79" t="s">
        <v>96</v>
      </c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>
        <v>46116.0</v>
      </c>
      <c r="B35" s="76" t="s">
        <v>1100</v>
      </c>
      <c r="C35" s="77" t="s">
        <v>1101</v>
      </c>
      <c r="D35" s="76" t="s">
        <v>34</v>
      </c>
      <c r="E35" s="76"/>
      <c r="F35" s="76" t="s">
        <v>8</v>
      </c>
      <c r="G35" s="76">
        <v>11.0</v>
      </c>
      <c r="H35" s="76">
        <v>11.0</v>
      </c>
      <c r="I35" s="75">
        <v>46120.0</v>
      </c>
      <c r="J35" s="78">
        <v>10.42</v>
      </c>
      <c r="K35" s="76"/>
      <c r="L35" s="79" t="b">
        <v>0</v>
      </c>
      <c r="M35" s="80" t="str">
        <f t="shared" si="1"/>
        <v/>
      </c>
      <c r="N35" s="81" t="b">
        <v>1</v>
      </c>
      <c r="O35" s="80">
        <f t="shared" si="2"/>
        <v>46119.46763</v>
      </c>
      <c r="P35" s="76"/>
      <c r="Q35" s="76" t="s">
        <v>38</v>
      </c>
      <c r="R35" s="76" t="b">
        <v>0</v>
      </c>
      <c r="S35" s="82" t="b">
        <v>0</v>
      </c>
      <c r="T35" s="76">
        <v>12.0</v>
      </c>
      <c r="U35" s="79" t="s">
        <v>28</v>
      </c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>
        <v>46116.0</v>
      </c>
      <c r="B36" s="76" t="s">
        <v>1102</v>
      </c>
      <c r="C36" s="77" t="s">
        <v>1103</v>
      </c>
      <c r="D36" s="76" t="s">
        <v>34</v>
      </c>
      <c r="E36" s="76"/>
      <c r="F36" s="76" t="s">
        <v>8</v>
      </c>
      <c r="G36" s="76">
        <v>11.0</v>
      </c>
      <c r="H36" s="76">
        <v>11.0</v>
      </c>
      <c r="I36" s="75">
        <v>46120.0</v>
      </c>
      <c r="J36" s="78">
        <v>10.42</v>
      </c>
      <c r="K36" s="76"/>
      <c r="L36" s="79" t="b">
        <v>0</v>
      </c>
      <c r="M36" s="80" t="str">
        <f t="shared" si="1"/>
        <v/>
      </c>
      <c r="N36" s="81" t="b">
        <v>1</v>
      </c>
      <c r="O36" s="80">
        <f t="shared" si="2"/>
        <v>46119.46764</v>
      </c>
      <c r="P36" s="76"/>
      <c r="Q36" s="76" t="s">
        <v>38</v>
      </c>
      <c r="R36" s="76" t="b">
        <v>0</v>
      </c>
      <c r="S36" s="82" t="b">
        <v>0</v>
      </c>
      <c r="T36" s="76">
        <v>12.0</v>
      </c>
      <c r="U36" s="79" t="s">
        <v>28</v>
      </c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>
        <v>46116.0</v>
      </c>
      <c r="B37" s="76" t="s">
        <v>1104</v>
      </c>
      <c r="C37" s="77" t="s">
        <v>1105</v>
      </c>
      <c r="D37" s="76" t="s">
        <v>47</v>
      </c>
      <c r="E37" s="76"/>
      <c r="F37" s="76" t="s">
        <v>8</v>
      </c>
      <c r="G37" s="76">
        <v>1000.0</v>
      </c>
      <c r="H37" s="76">
        <v>250.0</v>
      </c>
      <c r="I37" s="75">
        <v>46128.0</v>
      </c>
      <c r="J37" s="78">
        <v>11.1</v>
      </c>
      <c r="K37" s="76" t="s">
        <v>1</v>
      </c>
      <c r="L37" s="79" t="b">
        <v>1</v>
      </c>
      <c r="M37" s="80">
        <f t="shared" si="1"/>
        <v>46120.55839</v>
      </c>
      <c r="N37" s="81" t="b">
        <v>1</v>
      </c>
      <c r="O37" s="80">
        <f t="shared" si="2"/>
        <v>46120.56729</v>
      </c>
      <c r="P37" s="76" t="s">
        <v>101</v>
      </c>
      <c r="Q37" s="76" t="s">
        <v>11</v>
      </c>
      <c r="R37" s="76" t="b">
        <v>0</v>
      </c>
      <c r="S37" s="82" t="b">
        <v>0</v>
      </c>
      <c r="T37" s="76">
        <v>260.0</v>
      </c>
      <c r="U37" s="79" t="s">
        <v>19</v>
      </c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>
        <v>46116.0</v>
      </c>
      <c r="B38" s="76" t="s">
        <v>1106</v>
      </c>
      <c r="C38" s="77" t="s">
        <v>1107</v>
      </c>
      <c r="D38" s="76" t="s">
        <v>23</v>
      </c>
      <c r="E38" s="76"/>
      <c r="F38" s="76" t="s">
        <v>8</v>
      </c>
      <c r="G38" s="76">
        <v>200.0</v>
      </c>
      <c r="H38" s="76">
        <v>100.0</v>
      </c>
      <c r="I38" s="75">
        <v>46120.0</v>
      </c>
      <c r="J38" s="78">
        <v>11.1</v>
      </c>
      <c r="K38" s="76"/>
      <c r="L38" s="79" t="b">
        <v>0</v>
      </c>
      <c r="M38" s="80" t="str">
        <f t="shared" si="1"/>
        <v/>
      </c>
      <c r="N38" s="81" t="b">
        <v>1</v>
      </c>
      <c r="O38" s="80">
        <f t="shared" si="2"/>
        <v>46119.46771</v>
      </c>
      <c r="P38" s="76"/>
      <c r="Q38" s="76" t="s">
        <v>11</v>
      </c>
      <c r="R38" s="76" t="b">
        <v>0</v>
      </c>
      <c r="S38" s="82" t="b">
        <v>0</v>
      </c>
      <c r="T38" s="76">
        <v>108.0</v>
      </c>
      <c r="U38" s="79" t="s">
        <v>96</v>
      </c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>
        <v>46116.0</v>
      </c>
      <c r="B39" s="76" t="s">
        <v>1108</v>
      </c>
      <c r="C39" s="77" t="s">
        <v>1109</v>
      </c>
      <c r="D39" s="76" t="s">
        <v>23</v>
      </c>
      <c r="E39" s="76"/>
      <c r="F39" s="76" t="s">
        <v>18</v>
      </c>
      <c r="G39" s="76">
        <v>500.0</v>
      </c>
      <c r="H39" s="76">
        <v>250.0</v>
      </c>
      <c r="I39" s="75">
        <v>46116.0</v>
      </c>
      <c r="J39" s="78">
        <v>11.39</v>
      </c>
      <c r="K39" s="76" t="s">
        <v>101</v>
      </c>
      <c r="L39" s="79" t="b">
        <v>1</v>
      </c>
      <c r="M39" s="80">
        <f t="shared" si="1"/>
        <v>46116.49891</v>
      </c>
      <c r="N39" s="81" t="b">
        <v>1</v>
      </c>
      <c r="O39" s="80">
        <f t="shared" si="2"/>
        <v>46116.50768</v>
      </c>
      <c r="P39" s="76" t="s">
        <v>101</v>
      </c>
      <c r="Q39" s="76" t="s">
        <v>11</v>
      </c>
      <c r="R39" s="76" t="b">
        <v>0</v>
      </c>
      <c r="S39" s="82" t="b">
        <v>0</v>
      </c>
      <c r="T39" s="76">
        <v>256.0</v>
      </c>
      <c r="U39" s="79" t="s">
        <v>96</v>
      </c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>
        <v>46116.0</v>
      </c>
      <c r="B40" s="76" t="s">
        <v>1110</v>
      </c>
      <c r="C40" s="77"/>
      <c r="D40" s="76"/>
      <c r="E40" s="76"/>
      <c r="F40" s="76"/>
      <c r="G40" s="76"/>
      <c r="H40" s="76"/>
      <c r="I40" s="75"/>
      <c r="J40" s="78">
        <v>17.05</v>
      </c>
      <c r="K40" s="76"/>
      <c r="L40" s="79" t="b">
        <v>0</v>
      </c>
      <c r="M40" s="80" t="str">
        <f t="shared" si="1"/>
        <v/>
      </c>
      <c r="N40" s="81" t="b">
        <v>1</v>
      </c>
      <c r="O40" s="80">
        <f t="shared" si="2"/>
        <v>46119.46779</v>
      </c>
      <c r="P40" s="76"/>
      <c r="Q40" s="76" t="s">
        <v>11</v>
      </c>
      <c r="R40" s="76" t="b">
        <v>0</v>
      </c>
      <c r="S40" s="82" t="b">
        <v>0</v>
      </c>
      <c r="T40" s="76"/>
      <c r="U40" s="79" t="s">
        <v>96</v>
      </c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>
        <v>46119.0</v>
      </c>
      <c r="B41" s="76" t="s">
        <v>1111</v>
      </c>
      <c r="C41" s="77" t="s">
        <v>1070</v>
      </c>
      <c r="D41" s="76" t="s">
        <v>40</v>
      </c>
      <c r="E41" s="76" t="s">
        <v>23</v>
      </c>
      <c r="F41" s="76" t="s">
        <v>8</v>
      </c>
      <c r="G41" s="76">
        <v>99.0</v>
      </c>
      <c r="H41" s="76">
        <v>99.0</v>
      </c>
      <c r="I41" s="75">
        <v>46121.0</v>
      </c>
      <c r="J41" s="78">
        <v>8.3</v>
      </c>
      <c r="K41" s="76" t="s">
        <v>101</v>
      </c>
      <c r="L41" s="79" t="b">
        <v>1</v>
      </c>
      <c r="M41" s="80">
        <f t="shared" si="1"/>
        <v>46120.44512</v>
      </c>
      <c r="N41" s="81" t="b">
        <v>1</v>
      </c>
      <c r="O41" s="80">
        <f t="shared" si="2"/>
        <v>46120.49531</v>
      </c>
      <c r="P41" s="76" t="s">
        <v>101</v>
      </c>
      <c r="Q41" s="76" t="s">
        <v>11</v>
      </c>
      <c r="R41" s="76" t="b">
        <v>0</v>
      </c>
      <c r="S41" s="82" t="b">
        <v>0</v>
      </c>
      <c r="T41" s="76" t="s">
        <v>1112</v>
      </c>
      <c r="U41" s="79" t="s">
        <v>96</v>
      </c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>
        <v>46119.0</v>
      </c>
      <c r="B42" s="76" t="s">
        <v>1113</v>
      </c>
      <c r="C42" s="77" t="s">
        <v>1114</v>
      </c>
      <c r="D42" s="76" t="s">
        <v>23</v>
      </c>
      <c r="E42" s="76"/>
      <c r="F42" s="76" t="s">
        <v>18</v>
      </c>
      <c r="G42" s="76">
        <v>1000.0</v>
      </c>
      <c r="H42" s="76">
        <v>500.0</v>
      </c>
      <c r="I42" s="75">
        <v>46119.0</v>
      </c>
      <c r="J42" s="78">
        <v>9.13</v>
      </c>
      <c r="K42" s="76" t="s">
        <v>101</v>
      </c>
      <c r="L42" s="79" t="b">
        <v>1</v>
      </c>
      <c r="M42" s="80">
        <f t="shared" si="1"/>
        <v>46119.44938</v>
      </c>
      <c r="N42" s="81" t="b">
        <v>1</v>
      </c>
      <c r="O42" s="80">
        <f t="shared" si="2"/>
        <v>46119.45516</v>
      </c>
      <c r="P42" s="76" t="s">
        <v>101</v>
      </c>
      <c r="Q42" s="76" t="s">
        <v>11</v>
      </c>
      <c r="R42" s="76" t="b">
        <v>0</v>
      </c>
      <c r="S42" s="82" t="b">
        <v>0</v>
      </c>
      <c r="T42" s="76">
        <v>506.0</v>
      </c>
      <c r="U42" s="79" t="s">
        <v>96</v>
      </c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>
        <v>46119.0</v>
      </c>
      <c r="B43" s="76" t="s">
        <v>1115</v>
      </c>
      <c r="C43" s="77" t="s">
        <v>1116</v>
      </c>
      <c r="D43" s="76" t="s">
        <v>43</v>
      </c>
      <c r="E43" s="76"/>
      <c r="F43" s="76" t="s">
        <v>8</v>
      </c>
      <c r="G43" s="76">
        <v>2016.0</v>
      </c>
      <c r="H43" s="76">
        <v>126.0</v>
      </c>
      <c r="I43" s="75">
        <v>46122.0</v>
      </c>
      <c r="J43" s="78">
        <v>9.13</v>
      </c>
      <c r="K43" s="76" t="s">
        <v>101</v>
      </c>
      <c r="L43" s="79" t="b">
        <v>1</v>
      </c>
      <c r="M43" s="80">
        <f t="shared" si="1"/>
        <v>46120.65714</v>
      </c>
      <c r="N43" s="81" t="b">
        <v>1</v>
      </c>
      <c r="O43" s="80">
        <f t="shared" si="2"/>
        <v>46120.67775</v>
      </c>
      <c r="P43" s="76" t="s">
        <v>101</v>
      </c>
      <c r="Q43" s="76" t="s">
        <v>38</v>
      </c>
      <c r="R43" s="76" t="b">
        <v>0</v>
      </c>
      <c r="S43" s="82" t="b">
        <v>0</v>
      </c>
      <c r="T43" s="76">
        <v>254.0</v>
      </c>
      <c r="U43" s="79" t="s">
        <v>28</v>
      </c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>
        <v>46119.0</v>
      </c>
      <c r="B44" s="76" t="s">
        <v>1117</v>
      </c>
      <c r="C44" s="77" t="s">
        <v>1118</v>
      </c>
      <c r="D44" s="76" t="s">
        <v>43</v>
      </c>
      <c r="E44" s="76"/>
      <c r="F44" s="76" t="s">
        <v>8</v>
      </c>
      <c r="G44" s="76">
        <v>2016.0</v>
      </c>
      <c r="H44" s="76">
        <v>126.0</v>
      </c>
      <c r="I44" s="75">
        <v>46122.0</v>
      </c>
      <c r="J44" s="78">
        <v>9.13</v>
      </c>
      <c r="K44" s="76" t="s">
        <v>101</v>
      </c>
      <c r="L44" s="79" t="b">
        <v>1</v>
      </c>
      <c r="M44" s="80">
        <f t="shared" si="1"/>
        <v>46120.47656</v>
      </c>
      <c r="N44" s="81" t="b">
        <v>1</v>
      </c>
      <c r="O44" s="80">
        <f t="shared" si="2"/>
        <v>46120.50031</v>
      </c>
      <c r="P44" s="76" t="s">
        <v>101</v>
      </c>
      <c r="Q44" s="76" t="s">
        <v>38</v>
      </c>
      <c r="R44" s="76" t="b">
        <v>0</v>
      </c>
      <c r="S44" s="82" t="b">
        <v>0</v>
      </c>
      <c r="T44" s="76">
        <v>254.0</v>
      </c>
      <c r="U44" s="79" t="s">
        <v>28</v>
      </c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>
        <v>46119.0</v>
      </c>
      <c r="B45" s="76" t="s">
        <v>1119</v>
      </c>
      <c r="C45" s="77" t="s">
        <v>1120</v>
      </c>
      <c r="D45" s="76" t="s">
        <v>16</v>
      </c>
      <c r="E45" s="76"/>
      <c r="F45" s="76" t="s">
        <v>8</v>
      </c>
      <c r="G45" s="76">
        <v>200.0</v>
      </c>
      <c r="H45" s="76">
        <v>10.0</v>
      </c>
      <c r="I45" s="75">
        <v>46122.0</v>
      </c>
      <c r="J45" s="78">
        <v>14.35</v>
      </c>
      <c r="K45" s="76" t="s">
        <v>101</v>
      </c>
      <c r="L45" s="79" t="b">
        <v>1</v>
      </c>
      <c r="M45" s="80">
        <f t="shared" si="1"/>
        <v>46121.41829</v>
      </c>
      <c r="N45" s="81" t="b">
        <v>1</v>
      </c>
      <c r="O45" s="80">
        <f t="shared" si="2"/>
        <v>46121.41829</v>
      </c>
      <c r="P45" s="76" t="s">
        <v>101</v>
      </c>
      <c r="Q45" s="76" t="s">
        <v>11</v>
      </c>
      <c r="R45" s="76" t="b">
        <v>0</v>
      </c>
      <c r="S45" s="82" t="b">
        <v>0</v>
      </c>
      <c r="T45" s="76">
        <v>20.0</v>
      </c>
      <c r="U45" s="79" t="s">
        <v>96</v>
      </c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>
        <v>46119.0</v>
      </c>
      <c r="B46" s="76" t="s">
        <v>1121</v>
      </c>
      <c r="C46" s="77" t="s">
        <v>1122</v>
      </c>
      <c r="D46" s="76" t="s">
        <v>23</v>
      </c>
      <c r="E46" s="76"/>
      <c r="F46" s="76" t="s">
        <v>8</v>
      </c>
      <c r="G46" s="76">
        <v>100.0</v>
      </c>
      <c r="H46" s="76">
        <v>100.0</v>
      </c>
      <c r="I46" s="75">
        <v>46130.0</v>
      </c>
      <c r="J46" s="78">
        <v>14.35</v>
      </c>
      <c r="K46" s="76" t="s">
        <v>101</v>
      </c>
      <c r="L46" s="79" t="b">
        <v>1</v>
      </c>
      <c r="M46" s="80">
        <f t="shared" si="1"/>
        <v>46121.41829</v>
      </c>
      <c r="N46" s="81" t="b">
        <v>1</v>
      </c>
      <c r="O46" s="80">
        <f t="shared" si="2"/>
        <v>46121.42373</v>
      </c>
      <c r="P46" s="76" t="s">
        <v>101</v>
      </c>
      <c r="Q46" s="76" t="s">
        <v>11</v>
      </c>
      <c r="R46" s="76" t="b">
        <v>0</v>
      </c>
      <c r="S46" s="82" t="b">
        <v>0</v>
      </c>
      <c r="T46" s="76">
        <v>110.0</v>
      </c>
      <c r="U46" s="79" t="s">
        <v>96</v>
      </c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>
        <v>46119.0</v>
      </c>
      <c r="B47" s="76" t="s">
        <v>1123</v>
      </c>
      <c r="C47" s="77" t="s">
        <v>1124</v>
      </c>
      <c r="D47" s="76" t="s">
        <v>31</v>
      </c>
      <c r="E47" s="76"/>
      <c r="F47" s="76" t="s">
        <v>8</v>
      </c>
      <c r="G47" s="76">
        <v>150.0</v>
      </c>
      <c r="H47" s="76">
        <v>38.0</v>
      </c>
      <c r="I47" s="75">
        <v>46120.0</v>
      </c>
      <c r="J47" s="78">
        <v>15.0</v>
      </c>
      <c r="K47" s="76" t="s">
        <v>1</v>
      </c>
      <c r="L47" s="79" t="b">
        <v>1</v>
      </c>
      <c r="M47" s="80">
        <f t="shared" si="1"/>
        <v>46119.71341</v>
      </c>
      <c r="N47" s="81" t="b">
        <v>1</v>
      </c>
      <c r="O47" s="80">
        <f t="shared" si="2"/>
        <v>46119.72289</v>
      </c>
      <c r="P47" s="76" t="s">
        <v>101</v>
      </c>
      <c r="Q47" s="76" t="s">
        <v>11</v>
      </c>
      <c r="R47" s="76" t="b">
        <v>0</v>
      </c>
      <c r="S47" s="82" t="b">
        <v>0</v>
      </c>
      <c r="T47" s="76">
        <v>45.0</v>
      </c>
      <c r="U47" s="79" t="s">
        <v>96</v>
      </c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>
        <v>46119.0</v>
      </c>
      <c r="B48" s="76" t="s">
        <v>1125</v>
      </c>
      <c r="C48" s="77" t="s">
        <v>1126</v>
      </c>
      <c r="D48" s="76" t="s">
        <v>23</v>
      </c>
      <c r="E48" s="76"/>
      <c r="F48" s="76" t="s">
        <v>8</v>
      </c>
      <c r="G48" s="76">
        <v>500.0</v>
      </c>
      <c r="H48" s="76">
        <v>100.0</v>
      </c>
      <c r="I48" s="75">
        <v>46122.0</v>
      </c>
      <c r="J48" s="78">
        <v>15.0</v>
      </c>
      <c r="K48" s="76" t="s">
        <v>1</v>
      </c>
      <c r="L48" s="79" t="b">
        <v>1</v>
      </c>
      <c r="M48" s="80">
        <f t="shared" si="1"/>
        <v>46120.70096</v>
      </c>
      <c r="N48" s="81" t="b">
        <v>1</v>
      </c>
      <c r="O48" s="80">
        <f t="shared" si="2"/>
        <v>46120.70375</v>
      </c>
      <c r="P48" s="76" t="s">
        <v>101</v>
      </c>
      <c r="Q48" s="76" t="s">
        <v>11</v>
      </c>
      <c r="R48" s="76" t="b">
        <v>0</v>
      </c>
      <c r="S48" s="82" t="b">
        <v>0</v>
      </c>
      <c r="T48" s="76">
        <v>104.0</v>
      </c>
      <c r="U48" s="79" t="s">
        <v>96</v>
      </c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>
        <v>46120.0</v>
      </c>
      <c r="B49" s="76" t="s">
        <v>1127</v>
      </c>
      <c r="C49" s="77" t="s">
        <v>1128</v>
      </c>
      <c r="D49" s="76" t="s">
        <v>16</v>
      </c>
      <c r="E49" s="76"/>
      <c r="F49" s="76" t="s">
        <v>8</v>
      </c>
      <c r="G49" s="76">
        <v>100.0</v>
      </c>
      <c r="H49" s="76">
        <v>5.0</v>
      </c>
      <c r="I49" s="75">
        <v>46123.0</v>
      </c>
      <c r="J49" s="78">
        <v>9.15</v>
      </c>
      <c r="K49" s="76" t="s">
        <v>101</v>
      </c>
      <c r="L49" s="79" t="b">
        <v>1</v>
      </c>
      <c r="M49" s="80">
        <f t="shared" si="1"/>
        <v>46121.41829</v>
      </c>
      <c r="N49" s="81" t="b">
        <v>1</v>
      </c>
      <c r="O49" s="80">
        <f t="shared" si="2"/>
        <v>46121.41829</v>
      </c>
      <c r="P49" s="76" t="s">
        <v>101</v>
      </c>
      <c r="Q49" s="76" t="s">
        <v>11</v>
      </c>
      <c r="R49" s="76" t="b">
        <v>0</v>
      </c>
      <c r="S49" s="82" t="b">
        <v>0</v>
      </c>
      <c r="T49" s="76">
        <v>12.0</v>
      </c>
      <c r="U49" s="79" t="s">
        <v>96</v>
      </c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>
        <v>46120.0</v>
      </c>
      <c r="B50" s="76" t="s">
        <v>1129</v>
      </c>
      <c r="C50" s="77" t="s">
        <v>1130</v>
      </c>
      <c r="D50" s="76" t="s">
        <v>31</v>
      </c>
      <c r="E50" s="76" t="s">
        <v>23</v>
      </c>
      <c r="F50" s="76" t="s">
        <v>8</v>
      </c>
      <c r="G50" s="76">
        <v>100.0</v>
      </c>
      <c r="H50" s="76">
        <v>100.0</v>
      </c>
      <c r="I50" s="75">
        <v>46130.0</v>
      </c>
      <c r="J50" s="78">
        <v>9.15</v>
      </c>
      <c r="K50" s="76" t="s">
        <v>101</v>
      </c>
      <c r="L50" s="79" t="b">
        <v>1</v>
      </c>
      <c r="M50" s="80">
        <f t="shared" si="1"/>
        <v>46121.54458</v>
      </c>
      <c r="N50" s="81" t="b">
        <v>1</v>
      </c>
      <c r="O50" s="80">
        <f t="shared" si="2"/>
        <v>46121.56494</v>
      </c>
      <c r="P50" s="76" t="s">
        <v>101</v>
      </c>
      <c r="Q50" s="76" t="s">
        <v>11</v>
      </c>
      <c r="R50" s="76" t="b">
        <v>0</v>
      </c>
      <c r="S50" s="76" t="b">
        <v>0</v>
      </c>
      <c r="T50" s="76" t="s">
        <v>1112</v>
      </c>
      <c r="U50" s="79" t="s">
        <v>96</v>
      </c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>
        <v>46120.0</v>
      </c>
      <c r="B51" s="76" t="s">
        <v>1131</v>
      </c>
      <c r="C51" s="77" t="s">
        <v>1132</v>
      </c>
      <c r="D51" s="76" t="s">
        <v>31</v>
      </c>
      <c r="E51" s="76"/>
      <c r="F51" s="76" t="s">
        <v>44</v>
      </c>
      <c r="G51" s="76">
        <v>1000.0</v>
      </c>
      <c r="H51" s="76">
        <v>250.0</v>
      </c>
      <c r="I51" s="75">
        <v>46121.0</v>
      </c>
      <c r="J51" s="78">
        <v>16.16</v>
      </c>
      <c r="K51" s="76" t="s">
        <v>101</v>
      </c>
      <c r="L51" s="79" t="b">
        <v>1</v>
      </c>
      <c r="M51" s="80">
        <f t="shared" si="1"/>
        <v>46120.62982</v>
      </c>
      <c r="N51" s="81" t="b">
        <v>1</v>
      </c>
      <c r="O51" s="80">
        <f t="shared" si="2"/>
        <v>46120.63206</v>
      </c>
      <c r="P51" s="76" t="s">
        <v>101</v>
      </c>
      <c r="Q51" s="76" t="s">
        <v>11</v>
      </c>
      <c r="R51" s="76" t="b">
        <v>0</v>
      </c>
      <c r="S51" s="82" t="b">
        <v>0</v>
      </c>
      <c r="T51" s="76">
        <v>256.0</v>
      </c>
      <c r="U51" s="79" t="s">
        <v>96</v>
      </c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>
        <v>46120.0</v>
      </c>
      <c r="B52" s="76" t="s">
        <v>1133</v>
      </c>
      <c r="C52" s="77" t="s">
        <v>1134</v>
      </c>
      <c r="D52" s="76" t="s">
        <v>31</v>
      </c>
      <c r="E52" s="76"/>
      <c r="F52" s="76" t="s">
        <v>44</v>
      </c>
      <c r="G52" s="76">
        <v>1000.0</v>
      </c>
      <c r="H52" s="76">
        <v>500.0</v>
      </c>
      <c r="I52" s="75">
        <v>46121.0</v>
      </c>
      <c r="J52" s="78">
        <v>16.16</v>
      </c>
      <c r="K52" s="76" t="s">
        <v>101</v>
      </c>
      <c r="L52" s="79" t="b">
        <v>1</v>
      </c>
      <c r="M52" s="80">
        <f t="shared" si="1"/>
        <v>46120.6186</v>
      </c>
      <c r="N52" s="81" t="b">
        <v>1</v>
      </c>
      <c r="O52" s="80">
        <f t="shared" si="2"/>
        <v>46120.64525</v>
      </c>
      <c r="P52" s="76" t="s">
        <v>101</v>
      </c>
      <c r="Q52" s="76" t="s">
        <v>11</v>
      </c>
      <c r="R52" s="76" t="b">
        <v>0</v>
      </c>
      <c r="S52" s="82" t="b">
        <v>0</v>
      </c>
      <c r="T52" s="76">
        <v>506.0</v>
      </c>
      <c r="U52" s="79" t="s">
        <v>96</v>
      </c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>
        <v>46120.0</v>
      </c>
      <c r="B53" s="76" t="s">
        <v>1135</v>
      </c>
      <c r="C53" s="77" t="s">
        <v>1136</v>
      </c>
      <c r="D53" s="76" t="s">
        <v>16</v>
      </c>
      <c r="E53" s="76"/>
      <c r="F53" s="76" t="s">
        <v>8</v>
      </c>
      <c r="G53" s="76">
        <v>100.0</v>
      </c>
      <c r="H53" s="76">
        <v>5.0</v>
      </c>
      <c r="I53" s="75">
        <v>46129.0</v>
      </c>
      <c r="J53" s="78">
        <v>16.16</v>
      </c>
      <c r="K53" s="76" t="s">
        <v>101</v>
      </c>
      <c r="L53" s="79" t="b">
        <v>1</v>
      </c>
      <c r="M53" s="80">
        <f t="shared" si="1"/>
        <v>46121.41829</v>
      </c>
      <c r="N53" s="81" t="b">
        <v>1</v>
      </c>
      <c r="O53" s="80">
        <f t="shared" si="2"/>
        <v>46121.41829</v>
      </c>
      <c r="P53" s="76" t="s">
        <v>101</v>
      </c>
      <c r="Q53" s="76" t="s">
        <v>11</v>
      </c>
      <c r="R53" s="76" t="b">
        <v>0</v>
      </c>
      <c r="S53" s="82" t="b">
        <v>0</v>
      </c>
      <c r="T53" s="76">
        <v>12.0</v>
      </c>
      <c r="U53" s="79" t="s">
        <v>96</v>
      </c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>
        <v>46120.0</v>
      </c>
      <c r="B54" s="76" t="s">
        <v>998</v>
      </c>
      <c r="C54" s="77" t="s">
        <v>1137</v>
      </c>
      <c r="D54" s="76" t="s">
        <v>32</v>
      </c>
      <c r="E54" s="76"/>
      <c r="F54" s="76" t="s">
        <v>27</v>
      </c>
      <c r="G54" s="76">
        <v>70.0</v>
      </c>
      <c r="H54" s="76">
        <v>18.0</v>
      </c>
      <c r="I54" s="75">
        <v>46120.0</v>
      </c>
      <c r="J54" s="78" t="s">
        <v>151</v>
      </c>
      <c r="K54" s="76" t="s">
        <v>101</v>
      </c>
      <c r="L54" s="79" t="b">
        <v>1</v>
      </c>
      <c r="M54" s="80">
        <f t="shared" si="1"/>
        <v>46120.69546</v>
      </c>
      <c r="N54" s="81" t="b">
        <v>1</v>
      </c>
      <c r="O54" s="80">
        <f t="shared" si="2"/>
        <v>46120.69746</v>
      </c>
      <c r="P54" s="76" t="s">
        <v>101</v>
      </c>
      <c r="Q54" s="76" t="s">
        <v>11</v>
      </c>
      <c r="R54" s="76" t="b">
        <v>0</v>
      </c>
      <c r="S54" s="82" t="b">
        <v>0</v>
      </c>
      <c r="T54" s="76">
        <v>20.0</v>
      </c>
      <c r="U54" s="79" t="s">
        <v>96</v>
      </c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>
        <v>46121.0</v>
      </c>
      <c r="B55" s="76" t="s">
        <v>1138</v>
      </c>
      <c r="C55" s="77" t="s">
        <v>1139</v>
      </c>
      <c r="D55" s="76" t="s">
        <v>31</v>
      </c>
      <c r="E55" s="76"/>
      <c r="F55" s="76" t="s">
        <v>8</v>
      </c>
      <c r="G55" s="76">
        <v>100.0</v>
      </c>
      <c r="H55" s="76">
        <v>100.0</v>
      </c>
      <c r="I55" s="75">
        <v>46129.0</v>
      </c>
      <c r="J55" s="78">
        <v>11.34</v>
      </c>
      <c r="K55" s="76" t="s">
        <v>101</v>
      </c>
      <c r="L55" s="79" t="b">
        <v>1</v>
      </c>
      <c r="M55" s="80">
        <f t="shared" si="1"/>
        <v>46121.5817</v>
      </c>
      <c r="N55" s="81" t="b">
        <v>1</v>
      </c>
      <c r="O55" s="80">
        <f t="shared" si="2"/>
        <v>46121.58791</v>
      </c>
      <c r="P55" s="76" t="s">
        <v>101</v>
      </c>
      <c r="Q55" s="76" t="s">
        <v>11</v>
      </c>
      <c r="R55" s="76" t="b">
        <v>0</v>
      </c>
      <c r="S55" s="82" t="b">
        <v>0</v>
      </c>
      <c r="T55" s="76">
        <v>110.0</v>
      </c>
      <c r="U55" s="79" t="s">
        <v>96</v>
      </c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>
        <v>46123.0</v>
      </c>
      <c r="B56" s="76" t="s">
        <v>1140</v>
      </c>
      <c r="C56" s="77" t="s">
        <v>1141</v>
      </c>
      <c r="D56" s="76" t="s">
        <v>23</v>
      </c>
      <c r="E56" s="76"/>
      <c r="F56" s="76" t="s">
        <v>8</v>
      </c>
      <c r="G56" s="76">
        <v>2000.0</v>
      </c>
      <c r="H56" s="76">
        <v>500.0</v>
      </c>
      <c r="I56" s="75">
        <v>46130.0</v>
      </c>
      <c r="J56" s="78">
        <v>10.0</v>
      </c>
      <c r="K56" s="76" t="s">
        <v>1142</v>
      </c>
      <c r="L56" s="79" t="b">
        <v>1</v>
      </c>
      <c r="M56" s="80">
        <f t="shared" si="1"/>
        <v>46123.47093</v>
      </c>
      <c r="N56" s="81" t="b">
        <v>1</v>
      </c>
      <c r="O56" s="80">
        <f t="shared" si="2"/>
        <v>46123.47658</v>
      </c>
      <c r="P56" s="76" t="s">
        <v>1142</v>
      </c>
      <c r="Q56" s="76" t="s">
        <v>11</v>
      </c>
      <c r="R56" s="76" t="b">
        <v>0</v>
      </c>
      <c r="S56" s="82" t="b">
        <v>0</v>
      </c>
      <c r="T56" s="76">
        <v>504.0</v>
      </c>
      <c r="U56" s="79" t="s">
        <v>96</v>
      </c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>
        <v>46123.0</v>
      </c>
      <c r="B57" s="76" t="s">
        <v>1143</v>
      </c>
      <c r="C57" s="77" t="s">
        <v>1144</v>
      </c>
      <c r="D57" s="76"/>
      <c r="E57" s="76"/>
      <c r="F57" s="76"/>
      <c r="G57" s="76"/>
      <c r="H57" s="76"/>
      <c r="I57" s="75"/>
      <c r="J57" s="78">
        <v>10.0</v>
      </c>
      <c r="K57" s="76"/>
      <c r="L57" s="79" t="b">
        <v>0</v>
      </c>
      <c r="M57" s="80" t="str">
        <f t="shared" si="1"/>
        <v/>
      </c>
      <c r="N57" s="131" t="b">
        <v>0</v>
      </c>
      <c r="O57" s="80" t="str">
        <f t="shared" si="2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>
        <v>46123.0</v>
      </c>
      <c r="B58" s="76" t="s">
        <v>1145</v>
      </c>
      <c r="C58" s="77" t="s">
        <v>1146</v>
      </c>
      <c r="D58" s="76" t="s">
        <v>60</v>
      </c>
      <c r="E58" s="76"/>
      <c r="F58" s="76" t="s">
        <v>8</v>
      </c>
      <c r="G58" s="76">
        <v>2000.0</v>
      </c>
      <c r="H58" s="76">
        <v>500.0</v>
      </c>
      <c r="I58" s="75">
        <v>46132.0</v>
      </c>
      <c r="J58" s="78">
        <v>11.0</v>
      </c>
      <c r="K58" s="76" t="s">
        <v>1142</v>
      </c>
      <c r="L58" s="79" t="b">
        <v>1</v>
      </c>
      <c r="M58" s="80">
        <f t="shared" si="1"/>
        <v>46123.59152</v>
      </c>
      <c r="N58" s="81" t="b">
        <v>1</v>
      </c>
      <c r="O58" s="80">
        <f t="shared" si="2"/>
        <v>46123.59958</v>
      </c>
      <c r="P58" s="76" t="s">
        <v>1142</v>
      </c>
      <c r="Q58" s="76" t="s">
        <v>11</v>
      </c>
      <c r="R58" s="76" t="b">
        <v>0</v>
      </c>
      <c r="S58" s="82" t="b">
        <v>0</v>
      </c>
      <c r="T58" s="76">
        <v>508.0</v>
      </c>
      <c r="U58" s="79" t="s">
        <v>96</v>
      </c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>
        <v>46123.0</v>
      </c>
      <c r="B59" s="76" t="s">
        <v>1147</v>
      </c>
      <c r="C59" s="77" t="s">
        <v>1148</v>
      </c>
      <c r="D59" s="76" t="s">
        <v>23</v>
      </c>
      <c r="E59" s="76"/>
      <c r="F59" s="76" t="s">
        <v>8</v>
      </c>
      <c r="G59" s="76">
        <v>200.0</v>
      </c>
      <c r="H59" s="76">
        <v>50.0</v>
      </c>
      <c r="I59" s="75">
        <v>46133.0</v>
      </c>
      <c r="J59" s="78">
        <v>13.5</v>
      </c>
      <c r="K59" s="76" t="s">
        <v>1142</v>
      </c>
      <c r="L59" s="79" t="b">
        <v>1</v>
      </c>
      <c r="M59" s="80">
        <f t="shared" si="1"/>
        <v>46123.61883</v>
      </c>
      <c r="N59" s="81" t="b">
        <v>1</v>
      </c>
      <c r="O59" s="80">
        <f t="shared" si="2"/>
        <v>46123.62104</v>
      </c>
      <c r="P59" s="76" t="s">
        <v>1142</v>
      </c>
      <c r="Q59" s="76" t="s">
        <v>11</v>
      </c>
      <c r="R59" s="76" t="b">
        <v>0</v>
      </c>
      <c r="S59" s="82" t="b">
        <v>0</v>
      </c>
      <c r="T59" s="76">
        <v>56.0</v>
      </c>
      <c r="U59" s="79" t="s">
        <v>96</v>
      </c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>
        <v>46130.0</v>
      </c>
      <c r="B60" s="76" t="s">
        <v>1149</v>
      </c>
      <c r="C60" s="77" t="s">
        <v>1150</v>
      </c>
      <c r="D60" s="76" t="s">
        <v>31</v>
      </c>
      <c r="E60" s="76"/>
      <c r="F60" s="76" t="s">
        <v>18</v>
      </c>
      <c r="G60" s="76">
        <v>150.0</v>
      </c>
      <c r="H60" s="76">
        <v>75.0</v>
      </c>
      <c r="I60" s="75">
        <v>46130.0</v>
      </c>
      <c r="J60" s="78">
        <v>8.5</v>
      </c>
      <c r="K60" s="76" t="s">
        <v>101</v>
      </c>
      <c r="L60" s="79" t="b">
        <v>1</v>
      </c>
      <c r="M60" s="80">
        <f t="shared" si="1"/>
        <v>46130.44081</v>
      </c>
      <c r="N60" s="81" t="b">
        <v>1</v>
      </c>
      <c r="O60" s="80">
        <f t="shared" si="2"/>
        <v>46130.44365</v>
      </c>
      <c r="P60" s="76" t="s">
        <v>101</v>
      </c>
      <c r="Q60" s="76" t="s">
        <v>11</v>
      </c>
      <c r="R60" s="76" t="b">
        <v>0</v>
      </c>
      <c r="S60" s="82" t="b">
        <v>0</v>
      </c>
      <c r="T60" s="76">
        <v>80.0</v>
      </c>
      <c r="U60" s="79" t="s">
        <v>96</v>
      </c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>
        <v>46130.0</v>
      </c>
      <c r="B61" s="76" t="s">
        <v>1151</v>
      </c>
      <c r="C61" s="77" t="s">
        <v>1152</v>
      </c>
      <c r="D61" s="76" t="s">
        <v>49</v>
      </c>
      <c r="E61" s="76"/>
      <c r="F61" s="76" t="s">
        <v>18</v>
      </c>
      <c r="G61" s="76">
        <v>1.0</v>
      </c>
      <c r="H61" s="76">
        <v>1.0</v>
      </c>
      <c r="I61" s="75">
        <v>46130.0</v>
      </c>
      <c r="J61" s="78">
        <v>8.5</v>
      </c>
      <c r="K61" s="76" t="s">
        <v>101</v>
      </c>
      <c r="L61" s="79" t="b">
        <v>1</v>
      </c>
      <c r="M61" s="80">
        <f t="shared" si="1"/>
        <v>46130.40152</v>
      </c>
      <c r="N61" s="81" t="b">
        <v>1</v>
      </c>
      <c r="O61" s="80">
        <f t="shared" si="2"/>
        <v>46130.40433</v>
      </c>
      <c r="P61" s="76" t="s">
        <v>101</v>
      </c>
      <c r="Q61" s="76" t="s">
        <v>11</v>
      </c>
      <c r="R61" s="76" t="b">
        <v>0</v>
      </c>
      <c r="S61" s="82" t="b">
        <v>0</v>
      </c>
      <c r="T61" s="76">
        <v>5.0</v>
      </c>
      <c r="U61" s="79" t="s">
        <v>19</v>
      </c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>
        <v>46130.0</v>
      </c>
      <c r="B62" s="76" t="s">
        <v>1153</v>
      </c>
      <c r="C62" s="77" t="s">
        <v>1154</v>
      </c>
      <c r="D62" s="76" t="s">
        <v>34</v>
      </c>
      <c r="E62" s="76"/>
      <c r="F62" s="76" t="s">
        <v>8</v>
      </c>
      <c r="G62" s="76">
        <v>500.0</v>
      </c>
      <c r="H62" s="76">
        <v>25.0</v>
      </c>
      <c r="I62" s="75">
        <v>46132.0</v>
      </c>
      <c r="J62" s="78">
        <v>8.5</v>
      </c>
      <c r="K62" s="76" t="s">
        <v>1142</v>
      </c>
      <c r="L62" s="79" t="b">
        <v>1</v>
      </c>
      <c r="M62" s="80">
        <f t="shared" si="1"/>
        <v>46132.40384</v>
      </c>
      <c r="N62" s="81" t="b">
        <v>1</v>
      </c>
      <c r="O62" s="80">
        <f t="shared" si="2"/>
        <v>46132.40621</v>
      </c>
      <c r="P62" s="76" t="s">
        <v>101</v>
      </c>
      <c r="Q62" s="76" t="s">
        <v>38</v>
      </c>
      <c r="R62" s="76" t="b">
        <v>0</v>
      </c>
      <c r="S62" s="82" t="b">
        <v>0</v>
      </c>
      <c r="T62" s="76">
        <v>26.0</v>
      </c>
      <c r="U62" s="79" t="s">
        <v>28</v>
      </c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>
        <v>46130.0</v>
      </c>
      <c r="B63" s="76" t="s">
        <v>1155</v>
      </c>
      <c r="C63" s="77" t="s">
        <v>1156</v>
      </c>
      <c r="D63" s="76" t="s">
        <v>34</v>
      </c>
      <c r="E63" s="76"/>
      <c r="F63" s="76" t="s">
        <v>8</v>
      </c>
      <c r="G63" s="76">
        <v>1000.0</v>
      </c>
      <c r="H63" s="76">
        <v>50.0</v>
      </c>
      <c r="I63" s="75">
        <v>46132.0</v>
      </c>
      <c r="J63" s="78">
        <v>8.5</v>
      </c>
      <c r="K63" s="76" t="s">
        <v>1142</v>
      </c>
      <c r="L63" s="79" t="b">
        <v>1</v>
      </c>
      <c r="M63" s="80">
        <f t="shared" si="1"/>
        <v>46132.39831</v>
      </c>
      <c r="N63" s="81" t="b">
        <v>1</v>
      </c>
      <c r="O63" s="80">
        <f t="shared" si="2"/>
        <v>46132.40325</v>
      </c>
      <c r="P63" s="76" t="s">
        <v>101</v>
      </c>
      <c r="Q63" s="76" t="s">
        <v>38</v>
      </c>
      <c r="R63" s="76" t="b">
        <v>0</v>
      </c>
      <c r="S63" s="82" t="b">
        <v>0</v>
      </c>
      <c r="T63" s="76">
        <v>51.0</v>
      </c>
      <c r="U63" s="79" t="s">
        <v>28</v>
      </c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>
        <v>46130.0</v>
      </c>
      <c r="B64" s="76" t="s">
        <v>1157</v>
      </c>
      <c r="C64" s="77" t="s">
        <v>1158</v>
      </c>
      <c r="D64" s="76" t="s">
        <v>16</v>
      </c>
      <c r="E64" s="76"/>
      <c r="F64" s="76" t="s">
        <v>8</v>
      </c>
      <c r="G64" s="76">
        <v>400.0</v>
      </c>
      <c r="H64" s="76">
        <v>20.0</v>
      </c>
      <c r="I64" s="75">
        <v>46134.0</v>
      </c>
      <c r="J64" s="78">
        <v>8.5</v>
      </c>
      <c r="K64" s="76" t="s">
        <v>1142</v>
      </c>
      <c r="L64" s="79" t="b">
        <v>1</v>
      </c>
      <c r="M64" s="80">
        <f t="shared" si="1"/>
        <v>46130.48287</v>
      </c>
      <c r="N64" s="81" t="b">
        <v>1</v>
      </c>
      <c r="O64" s="80">
        <f t="shared" si="2"/>
        <v>46130.49129</v>
      </c>
      <c r="P64" s="76" t="s">
        <v>1142</v>
      </c>
      <c r="Q64" s="76" t="s">
        <v>11</v>
      </c>
      <c r="R64" s="76" t="b">
        <v>0</v>
      </c>
      <c r="S64" s="82" t="b">
        <v>0</v>
      </c>
      <c r="T64" s="76">
        <v>60.0</v>
      </c>
      <c r="U64" s="79" t="s">
        <v>96</v>
      </c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>
        <v>46130.0</v>
      </c>
      <c r="B65" s="76" t="s">
        <v>1159</v>
      </c>
      <c r="C65" s="77" t="s">
        <v>1160</v>
      </c>
      <c r="D65" s="76" t="s">
        <v>13</v>
      </c>
      <c r="E65" s="76"/>
      <c r="F65" s="76" t="s">
        <v>8</v>
      </c>
      <c r="G65" s="76">
        <v>400.0</v>
      </c>
      <c r="H65" s="76">
        <v>34.0</v>
      </c>
      <c r="I65" s="75">
        <v>46134.0</v>
      </c>
      <c r="J65" s="78">
        <v>8.5</v>
      </c>
      <c r="K65" s="76" t="s">
        <v>101</v>
      </c>
      <c r="L65" s="79" t="b">
        <v>1</v>
      </c>
      <c r="M65" s="80">
        <f t="shared" si="1"/>
        <v>46132.3823</v>
      </c>
      <c r="N65" s="81" t="b">
        <v>1</v>
      </c>
      <c r="O65" s="80">
        <f t="shared" si="2"/>
        <v>46132.38663</v>
      </c>
      <c r="P65" s="76" t="s">
        <v>101</v>
      </c>
      <c r="Q65" s="76" t="s">
        <v>11</v>
      </c>
      <c r="R65" s="76" t="b">
        <v>0</v>
      </c>
      <c r="S65" s="82" t="b">
        <v>0</v>
      </c>
      <c r="T65" s="76">
        <v>34.0</v>
      </c>
      <c r="U65" s="79" t="s">
        <v>96</v>
      </c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>
        <v>46130.0</v>
      </c>
      <c r="B66" s="76" t="s">
        <v>1161</v>
      </c>
      <c r="C66" s="77" t="s">
        <v>1162</v>
      </c>
      <c r="D66" s="76" t="s">
        <v>23</v>
      </c>
      <c r="E66" s="76"/>
      <c r="F66" s="76" t="s">
        <v>18</v>
      </c>
      <c r="G66" s="76">
        <v>200.0</v>
      </c>
      <c r="H66" s="76">
        <v>100.0</v>
      </c>
      <c r="I66" s="75">
        <v>46130.0</v>
      </c>
      <c r="J66" s="78">
        <v>11.41</v>
      </c>
      <c r="K66" s="76" t="s">
        <v>1142</v>
      </c>
      <c r="L66" s="79" t="b">
        <v>1</v>
      </c>
      <c r="M66" s="80">
        <f t="shared" si="1"/>
        <v>46130.55913</v>
      </c>
      <c r="N66" s="81" t="b">
        <v>1</v>
      </c>
      <c r="O66" s="80">
        <f t="shared" si="2"/>
        <v>46130.56453</v>
      </c>
      <c r="P66" s="76" t="s">
        <v>1142</v>
      </c>
      <c r="Q66" s="76" t="s">
        <v>11</v>
      </c>
      <c r="R66" s="76" t="b">
        <v>0</v>
      </c>
      <c r="S66" s="82" t="b">
        <v>0</v>
      </c>
      <c r="T66" s="76">
        <v>108.0</v>
      </c>
      <c r="U66" s="79" t="s">
        <v>96</v>
      </c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>
        <v>46130.0</v>
      </c>
      <c r="B67" s="76" t="s">
        <v>1163</v>
      </c>
      <c r="C67" s="77" t="s">
        <v>542</v>
      </c>
      <c r="D67" s="76" t="s">
        <v>23</v>
      </c>
      <c r="E67" s="76"/>
      <c r="F67" s="76" t="s">
        <v>8</v>
      </c>
      <c r="G67" s="76">
        <v>100.0</v>
      </c>
      <c r="H67" s="76">
        <v>32.0</v>
      </c>
      <c r="I67" s="75">
        <v>46135.0</v>
      </c>
      <c r="J67" s="78">
        <v>13.37</v>
      </c>
      <c r="K67" s="76" t="s">
        <v>1142</v>
      </c>
      <c r="L67" s="79" t="b">
        <v>0</v>
      </c>
      <c r="M67" s="80" t="str">
        <f t="shared" si="1"/>
        <v/>
      </c>
      <c r="N67" s="81" t="b">
        <v>1</v>
      </c>
      <c r="O67" s="80">
        <f t="shared" si="2"/>
        <v>46130.64322</v>
      </c>
      <c r="P67" s="76" t="s">
        <v>1142</v>
      </c>
      <c r="Q67" s="76" t="s">
        <v>11</v>
      </c>
      <c r="R67" s="76" t="b">
        <v>0</v>
      </c>
      <c r="S67" s="82" t="b">
        <v>0</v>
      </c>
      <c r="T67" s="76">
        <v>32.0</v>
      </c>
      <c r="U67" s="79" t="s">
        <v>96</v>
      </c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>
        <v>46130.0</v>
      </c>
      <c r="B68" s="76" t="s">
        <v>1164</v>
      </c>
      <c r="C68" s="77" t="s">
        <v>1165</v>
      </c>
      <c r="D68" s="76" t="s">
        <v>16</v>
      </c>
      <c r="E68" s="76"/>
      <c r="F68" s="76" t="s">
        <v>8</v>
      </c>
      <c r="G68" s="76">
        <v>100.0</v>
      </c>
      <c r="H68" s="76">
        <v>5.0</v>
      </c>
      <c r="I68" s="75">
        <v>46134.0</v>
      </c>
      <c r="J68" s="78">
        <v>13.37</v>
      </c>
      <c r="K68" s="76" t="s">
        <v>101</v>
      </c>
      <c r="L68" s="79" t="b">
        <v>1</v>
      </c>
      <c r="M68" s="80">
        <f t="shared" si="1"/>
        <v>46132.3939</v>
      </c>
      <c r="N68" s="81" t="b">
        <v>1</v>
      </c>
      <c r="O68" s="80">
        <f t="shared" si="2"/>
        <v>46132.39662</v>
      </c>
      <c r="P68" s="76" t="s">
        <v>101</v>
      </c>
      <c r="Q68" s="76" t="s">
        <v>11</v>
      </c>
      <c r="R68" s="76" t="b">
        <v>0</v>
      </c>
      <c r="S68" s="82" t="b">
        <v>0</v>
      </c>
      <c r="T68" s="76">
        <v>12.0</v>
      </c>
      <c r="U68" s="79" t="s">
        <v>96</v>
      </c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>
        <v>46130.0</v>
      </c>
      <c r="B69" s="76" t="s">
        <v>1166</v>
      </c>
      <c r="C69" s="77" t="s">
        <v>1167</v>
      </c>
      <c r="D69" s="76" t="s">
        <v>34</v>
      </c>
      <c r="E69" s="76"/>
      <c r="F69" s="76" t="s">
        <v>8</v>
      </c>
      <c r="G69" s="76">
        <v>100.0</v>
      </c>
      <c r="H69" s="76">
        <v>50.0</v>
      </c>
      <c r="I69" s="75">
        <v>46137.0</v>
      </c>
      <c r="J69" s="78">
        <v>14.07</v>
      </c>
      <c r="K69" s="76" t="s">
        <v>1142</v>
      </c>
      <c r="L69" s="79" t="b">
        <v>1</v>
      </c>
      <c r="M69" s="80">
        <f t="shared" si="1"/>
        <v>46130.7148</v>
      </c>
      <c r="N69" s="81" t="b">
        <v>1</v>
      </c>
      <c r="O69" s="80">
        <f t="shared" si="2"/>
        <v>46132.35123</v>
      </c>
      <c r="P69" s="76" t="s">
        <v>1142</v>
      </c>
      <c r="Q69" s="76" t="s">
        <v>38</v>
      </c>
      <c r="R69" s="76" t="b">
        <v>0</v>
      </c>
      <c r="S69" s="82" t="b">
        <v>0</v>
      </c>
      <c r="T69" s="76">
        <v>51.0</v>
      </c>
      <c r="U69" s="79" t="s">
        <v>28</v>
      </c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>
        <v>46132.0</v>
      </c>
      <c r="B70" s="76" t="s">
        <v>1168</v>
      </c>
      <c r="C70" s="77" t="s">
        <v>1169</v>
      </c>
      <c r="D70" s="76" t="s">
        <v>34</v>
      </c>
      <c r="E70" s="76"/>
      <c r="F70" s="76" t="s">
        <v>8</v>
      </c>
      <c r="G70" s="76">
        <v>100.0</v>
      </c>
      <c r="H70" s="76">
        <v>100.0</v>
      </c>
      <c r="I70" s="75">
        <v>46136.0</v>
      </c>
      <c r="J70" s="78">
        <v>10.09</v>
      </c>
      <c r="K70" s="76" t="s">
        <v>101</v>
      </c>
      <c r="L70" s="79" t="b">
        <v>1</v>
      </c>
      <c r="M70" s="80">
        <f t="shared" si="1"/>
        <v>46132.43446</v>
      </c>
      <c r="N70" s="81" t="b">
        <v>1</v>
      </c>
      <c r="O70" s="80">
        <f t="shared" si="2"/>
        <v>46132.44115</v>
      </c>
      <c r="P70" s="76" t="s">
        <v>101</v>
      </c>
      <c r="Q70" s="76" t="s">
        <v>38</v>
      </c>
      <c r="R70" s="76" t="b">
        <v>0</v>
      </c>
      <c r="S70" s="82" t="b">
        <v>0</v>
      </c>
      <c r="T70" s="76">
        <v>101.0</v>
      </c>
      <c r="U70" s="79" t="s">
        <v>28</v>
      </c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>
        <v>46132.0</v>
      </c>
      <c r="B71" s="76" t="s">
        <v>1170</v>
      </c>
      <c r="C71" s="77" t="s">
        <v>1171</v>
      </c>
      <c r="D71" s="76" t="s">
        <v>16</v>
      </c>
      <c r="E71" s="76"/>
      <c r="F71" s="76" t="s">
        <v>27</v>
      </c>
      <c r="G71" s="76">
        <v>100.0</v>
      </c>
      <c r="H71" s="76">
        <v>5.0</v>
      </c>
      <c r="I71" s="75">
        <v>46133.0</v>
      </c>
      <c r="J71" s="78">
        <v>11.5</v>
      </c>
      <c r="K71" s="76" t="s">
        <v>101</v>
      </c>
      <c r="L71" s="79" t="b">
        <v>1</v>
      </c>
      <c r="M71" s="80">
        <f t="shared" si="1"/>
        <v>46132.58645</v>
      </c>
      <c r="N71" s="81" t="b">
        <v>1</v>
      </c>
      <c r="O71" s="80">
        <f t="shared" si="2"/>
        <v>46132.58715</v>
      </c>
      <c r="P71" s="76" t="s">
        <v>101</v>
      </c>
      <c r="Q71" s="76" t="s">
        <v>11</v>
      </c>
      <c r="R71" s="76" t="b">
        <v>0</v>
      </c>
      <c r="S71" s="82" t="b">
        <v>0</v>
      </c>
      <c r="T71" s="76">
        <v>12.0</v>
      </c>
      <c r="U71" s="79" t="s">
        <v>19</v>
      </c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>
        <v>46132.0</v>
      </c>
      <c r="B72" s="76" t="s">
        <v>1172</v>
      </c>
      <c r="C72" s="77" t="s">
        <v>1173</v>
      </c>
      <c r="D72" s="76" t="s">
        <v>60</v>
      </c>
      <c r="E72" s="76"/>
      <c r="F72" s="76" t="s">
        <v>8</v>
      </c>
      <c r="G72" s="76">
        <v>2000.0</v>
      </c>
      <c r="H72" s="76">
        <v>167.0</v>
      </c>
      <c r="I72" s="75">
        <v>46134.0</v>
      </c>
      <c r="J72" s="78">
        <v>11.5</v>
      </c>
      <c r="K72" s="76" t="s">
        <v>101</v>
      </c>
      <c r="L72" s="79" t="b">
        <v>1</v>
      </c>
      <c r="M72" s="80">
        <f t="shared" si="1"/>
        <v>46134.47551</v>
      </c>
      <c r="N72" s="81" t="b">
        <v>1</v>
      </c>
      <c r="O72" s="80">
        <f t="shared" si="2"/>
        <v>46134.48547</v>
      </c>
      <c r="P72" s="76" t="s">
        <v>101</v>
      </c>
      <c r="Q72" s="76" t="s">
        <v>11</v>
      </c>
      <c r="R72" s="76" t="b">
        <v>0</v>
      </c>
      <c r="S72" s="82" t="b">
        <v>0</v>
      </c>
      <c r="T72" s="76">
        <v>170.0</v>
      </c>
      <c r="U72" s="79" t="s">
        <v>96</v>
      </c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>
        <v>46132.0</v>
      </c>
      <c r="B73" s="76" t="s">
        <v>1174</v>
      </c>
      <c r="C73" s="77" t="s">
        <v>1175</v>
      </c>
      <c r="D73" s="76" t="s">
        <v>23</v>
      </c>
      <c r="E73" s="76"/>
      <c r="F73" s="76" t="s">
        <v>8</v>
      </c>
      <c r="G73" s="76">
        <v>1500.0</v>
      </c>
      <c r="H73" s="76">
        <v>750.0</v>
      </c>
      <c r="I73" s="75">
        <v>46135.0</v>
      </c>
      <c r="J73" s="78">
        <v>11.5</v>
      </c>
      <c r="K73" s="76" t="s">
        <v>101</v>
      </c>
      <c r="L73" s="79" t="b">
        <v>1</v>
      </c>
      <c r="M73" s="80">
        <f t="shared" si="1"/>
        <v>46132.6219</v>
      </c>
      <c r="N73" s="81" t="b">
        <v>1</v>
      </c>
      <c r="O73" s="80">
        <f t="shared" si="2"/>
        <v>46132.6703</v>
      </c>
      <c r="P73" s="76" t="s">
        <v>101</v>
      </c>
      <c r="Q73" s="76" t="s">
        <v>11</v>
      </c>
      <c r="R73" s="76" t="b">
        <v>0</v>
      </c>
      <c r="S73" s="82" t="b">
        <v>0</v>
      </c>
      <c r="T73" s="76">
        <v>256.0</v>
      </c>
      <c r="U73" s="79" t="s">
        <v>96</v>
      </c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>
        <v>46132.0</v>
      </c>
      <c r="B74" s="76" t="s">
        <v>1176</v>
      </c>
      <c r="C74" s="77" t="s">
        <v>1177</v>
      </c>
      <c r="D74" s="76" t="s">
        <v>23</v>
      </c>
      <c r="E74" s="76"/>
      <c r="F74" s="76" t="s">
        <v>8</v>
      </c>
      <c r="G74" s="76">
        <v>100.0</v>
      </c>
      <c r="H74" s="76">
        <v>25.0</v>
      </c>
      <c r="I74" s="75">
        <v>46136.0</v>
      </c>
      <c r="J74" s="78">
        <v>11.5</v>
      </c>
      <c r="K74" s="76" t="s">
        <v>1142</v>
      </c>
      <c r="L74" s="79" t="b">
        <v>1</v>
      </c>
      <c r="M74" s="80">
        <f t="shared" si="1"/>
        <v>46132.60725</v>
      </c>
      <c r="N74" s="81" t="b">
        <v>1</v>
      </c>
      <c r="O74" s="80">
        <f t="shared" si="2"/>
        <v>46132.60886</v>
      </c>
      <c r="P74" s="76" t="s">
        <v>1142</v>
      </c>
      <c r="Q74" s="76" t="s">
        <v>11</v>
      </c>
      <c r="R74" s="76" t="b">
        <v>0</v>
      </c>
      <c r="S74" s="82" t="b">
        <v>0</v>
      </c>
      <c r="T74" s="76">
        <v>28.0</v>
      </c>
      <c r="U74" s="79" t="s">
        <v>96</v>
      </c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>
        <v>46132.0</v>
      </c>
      <c r="B75" s="76" t="s">
        <v>1178</v>
      </c>
      <c r="C75" s="77" t="s">
        <v>1179</v>
      </c>
      <c r="D75" s="76" t="s">
        <v>23</v>
      </c>
      <c r="E75" s="76"/>
      <c r="F75" s="76" t="s">
        <v>8</v>
      </c>
      <c r="G75" s="76">
        <v>200.0</v>
      </c>
      <c r="H75" s="76">
        <v>50.0</v>
      </c>
      <c r="I75" s="75">
        <v>46136.0</v>
      </c>
      <c r="J75" s="78">
        <v>11.5</v>
      </c>
      <c r="K75" s="76" t="s">
        <v>1142</v>
      </c>
      <c r="L75" s="79" t="b">
        <v>1</v>
      </c>
      <c r="M75" s="80">
        <f t="shared" si="1"/>
        <v>46132.611</v>
      </c>
      <c r="N75" s="81" t="b">
        <v>1</v>
      </c>
      <c r="O75" s="80">
        <f t="shared" si="2"/>
        <v>46132.61305</v>
      </c>
      <c r="P75" s="76" t="s">
        <v>1142</v>
      </c>
      <c r="Q75" s="76" t="s">
        <v>11</v>
      </c>
      <c r="R75" s="76" t="b">
        <v>0</v>
      </c>
      <c r="S75" s="82" t="b">
        <v>0</v>
      </c>
      <c r="T75" s="76">
        <v>56.0</v>
      </c>
      <c r="U75" s="79" t="s">
        <v>96</v>
      </c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>
        <v>46132.0</v>
      </c>
      <c r="B76" s="76" t="s">
        <v>1180</v>
      </c>
      <c r="C76" s="77" t="s">
        <v>1181</v>
      </c>
      <c r="D76" s="76" t="s">
        <v>13</v>
      </c>
      <c r="E76" s="76"/>
      <c r="F76" s="76" t="s">
        <v>8</v>
      </c>
      <c r="G76" s="76">
        <v>300.0</v>
      </c>
      <c r="H76" s="76">
        <v>25.0</v>
      </c>
      <c r="I76" s="75">
        <v>46135.0</v>
      </c>
      <c r="J76" s="78">
        <v>14.34</v>
      </c>
      <c r="K76" s="76" t="s">
        <v>101</v>
      </c>
      <c r="L76" s="79" t="b">
        <v>1</v>
      </c>
      <c r="M76" s="80">
        <f t="shared" si="1"/>
        <v>46134.61246</v>
      </c>
      <c r="N76" s="81" t="b">
        <v>1</v>
      </c>
      <c r="O76" s="80">
        <f t="shared" si="2"/>
        <v>46134.61336</v>
      </c>
      <c r="P76" s="76" t="s">
        <v>101</v>
      </c>
      <c r="Q76" s="76" t="s">
        <v>11</v>
      </c>
      <c r="R76" s="76" t="b">
        <v>0</v>
      </c>
      <c r="S76" s="82" t="b">
        <v>0</v>
      </c>
      <c r="T76" s="76">
        <v>25.0</v>
      </c>
      <c r="U76" s="79" t="s">
        <v>96</v>
      </c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>
        <v>46132.0</v>
      </c>
      <c r="B77" s="76" t="s">
        <v>1182</v>
      </c>
      <c r="C77" s="77" t="s">
        <v>1183</v>
      </c>
      <c r="D77" s="76" t="s">
        <v>13</v>
      </c>
      <c r="E77" s="76"/>
      <c r="F77" s="76" t="s">
        <v>8</v>
      </c>
      <c r="G77" s="76">
        <v>1500.0</v>
      </c>
      <c r="H77" s="76">
        <v>125.0</v>
      </c>
      <c r="I77" s="75">
        <v>46135.0</v>
      </c>
      <c r="J77" s="78">
        <v>14.34</v>
      </c>
      <c r="K77" s="76" t="s">
        <v>101</v>
      </c>
      <c r="L77" s="79" t="b">
        <v>1</v>
      </c>
      <c r="M77" s="80">
        <f t="shared" si="1"/>
        <v>46134.61341</v>
      </c>
      <c r="N77" s="81" t="b">
        <v>1</v>
      </c>
      <c r="O77" s="80">
        <f t="shared" si="2"/>
        <v>46134.61701</v>
      </c>
      <c r="P77" s="76" t="s">
        <v>101</v>
      </c>
      <c r="Q77" s="76" t="s">
        <v>11</v>
      </c>
      <c r="R77" s="76" t="b">
        <v>0</v>
      </c>
      <c r="S77" s="82" t="b">
        <v>0</v>
      </c>
      <c r="T77" s="76">
        <v>125.0</v>
      </c>
      <c r="U77" s="79" t="s">
        <v>96</v>
      </c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>
        <v>46132.0</v>
      </c>
      <c r="B78" s="76" t="s">
        <v>1184</v>
      </c>
      <c r="C78" s="77" t="s">
        <v>1185</v>
      </c>
      <c r="D78" s="76" t="s">
        <v>23</v>
      </c>
      <c r="E78" s="76"/>
      <c r="F78" s="76" t="s">
        <v>8</v>
      </c>
      <c r="G78" s="76">
        <v>100.0</v>
      </c>
      <c r="H78" s="76">
        <v>25.0</v>
      </c>
      <c r="I78" s="75">
        <v>46136.0</v>
      </c>
      <c r="J78" s="78">
        <v>15.26</v>
      </c>
      <c r="K78" s="76" t="s">
        <v>1142</v>
      </c>
      <c r="L78" s="79" t="b">
        <v>1</v>
      </c>
      <c r="M78" s="80">
        <f t="shared" si="1"/>
        <v>46133.39221</v>
      </c>
      <c r="N78" s="81" t="b">
        <v>1</v>
      </c>
      <c r="O78" s="80">
        <f t="shared" si="2"/>
        <v>46133.39512</v>
      </c>
      <c r="P78" s="76" t="s">
        <v>1142</v>
      </c>
      <c r="Q78" s="76" t="s">
        <v>11</v>
      </c>
      <c r="R78" s="76" t="b">
        <v>0</v>
      </c>
      <c r="S78" s="82" t="b">
        <v>0</v>
      </c>
      <c r="T78" s="76">
        <v>32.0</v>
      </c>
      <c r="U78" s="79" t="s">
        <v>96</v>
      </c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>
        <v>46133.0</v>
      </c>
      <c r="B79" s="76" t="s">
        <v>1186</v>
      </c>
      <c r="C79" s="77" t="s">
        <v>1187</v>
      </c>
      <c r="D79" s="76" t="s">
        <v>60</v>
      </c>
      <c r="E79" s="76"/>
      <c r="F79" s="76" t="s">
        <v>8</v>
      </c>
      <c r="G79" s="76">
        <v>300.0</v>
      </c>
      <c r="H79" s="76">
        <v>15.0</v>
      </c>
      <c r="I79" s="75">
        <v>46136.0</v>
      </c>
      <c r="J79" s="78">
        <v>8.5</v>
      </c>
      <c r="K79" s="76" t="s">
        <v>101</v>
      </c>
      <c r="L79" s="79" t="b">
        <v>1</v>
      </c>
      <c r="M79" s="80">
        <f t="shared" si="1"/>
        <v>46134.65872</v>
      </c>
      <c r="N79" s="81" t="b">
        <v>1</v>
      </c>
      <c r="O79" s="80">
        <f t="shared" si="2"/>
        <v>46134.65972</v>
      </c>
      <c r="P79" s="76" t="s">
        <v>101</v>
      </c>
      <c r="Q79" s="76" t="s">
        <v>11</v>
      </c>
      <c r="R79" s="76" t="b">
        <v>0</v>
      </c>
      <c r="S79" s="82" t="b">
        <v>0</v>
      </c>
      <c r="T79" s="76">
        <v>20.0</v>
      </c>
      <c r="U79" s="79" t="s">
        <v>96</v>
      </c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>
        <v>46133.0</v>
      </c>
      <c r="B80" s="76" t="s">
        <v>1188</v>
      </c>
      <c r="C80" s="77" t="s">
        <v>1189</v>
      </c>
      <c r="D80" s="76" t="s">
        <v>23</v>
      </c>
      <c r="E80" s="76"/>
      <c r="F80" s="76" t="s">
        <v>18</v>
      </c>
      <c r="G80" s="76">
        <v>100.0</v>
      </c>
      <c r="H80" s="76">
        <v>25.0</v>
      </c>
      <c r="I80" s="75">
        <v>46133.0</v>
      </c>
      <c r="J80" s="78">
        <v>12.0</v>
      </c>
      <c r="K80" s="76" t="s">
        <v>1190</v>
      </c>
      <c r="L80" s="79" t="b">
        <v>1</v>
      </c>
      <c r="M80" s="80">
        <f t="shared" si="1"/>
        <v>46133.57064</v>
      </c>
      <c r="N80" s="81" t="b">
        <v>1</v>
      </c>
      <c r="O80" s="80">
        <f t="shared" si="2"/>
        <v>46133.57422</v>
      </c>
      <c r="P80" s="76" t="s">
        <v>1190</v>
      </c>
      <c r="Q80" s="76" t="s">
        <v>38</v>
      </c>
      <c r="R80" s="76" t="b">
        <v>0</v>
      </c>
      <c r="S80" s="82" t="b">
        <v>0</v>
      </c>
      <c r="T80" s="76">
        <v>32.0</v>
      </c>
      <c r="U80" s="79" t="s">
        <v>96</v>
      </c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>
        <v>46134.0</v>
      </c>
      <c r="B81" s="76" t="s">
        <v>1191</v>
      </c>
      <c r="C81" s="77" t="s">
        <v>1192</v>
      </c>
      <c r="D81" s="76" t="s">
        <v>23</v>
      </c>
      <c r="E81" s="76"/>
      <c r="F81" s="76" t="s">
        <v>8</v>
      </c>
      <c r="G81" s="76">
        <v>300.0</v>
      </c>
      <c r="H81" s="76">
        <v>75.0</v>
      </c>
      <c r="I81" s="75">
        <v>46136.0</v>
      </c>
      <c r="J81" s="78">
        <v>8.3</v>
      </c>
      <c r="K81" s="76" t="s">
        <v>1190</v>
      </c>
      <c r="L81" s="79" t="b">
        <v>1</v>
      </c>
      <c r="M81" s="80">
        <f t="shared" si="1"/>
        <v>46134.58237</v>
      </c>
      <c r="N81" s="81" t="b">
        <v>1</v>
      </c>
      <c r="O81" s="80">
        <f t="shared" si="2"/>
        <v>46134.58698</v>
      </c>
      <c r="P81" s="76" t="s">
        <v>1190</v>
      </c>
      <c r="Q81" s="76" t="s">
        <v>11</v>
      </c>
      <c r="R81" s="76" t="b">
        <v>0</v>
      </c>
      <c r="S81" s="82" t="b">
        <v>0</v>
      </c>
      <c r="T81" s="76">
        <v>80.0</v>
      </c>
      <c r="U81" s="79" t="s">
        <v>96</v>
      </c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>
        <v>46134.0</v>
      </c>
      <c r="B82" s="76" t="s">
        <v>1193</v>
      </c>
      <c r="C82" s="77" t="s">
        <v>1194</v>
      </c>
      <c r="D82" s="76" t="s">
        <v>23</v>
      </c>
      <c r="E82" s="76"/>
      <c r="F82" s="76" t="s">
        <v>18</v>
      </c>
      <c r="G82" s="76">
        <v>1000.0</v>
      </c>
      <c r="H82" s="76">
        <v>250.0</v>
      </c>
      <c r="I82" s="75">
        <v>46134.0</v>
      </c>
      <c r="J82" s="78">
        <v>11.54</v>
      </c>
      <c r="K82" s="76" t="s">
        <v>1190</v>
      </c>
      <c r="L82" s="79" t="b">
        <v>1</v>
      </c>
      <c r="M82" s="80">
        <f t="shared" si="1"/>
        <v>46134.5595</v>
      </c>
      <c r="N82" s="81" t="b">
        <v>1</v>
      </c>
      <c r="O82" s="80">
        <f t="shared" si="2"/>
        <v>46134.57414</v>
      </c>
      <c r="P82" s="76" t="s">
        <v>1190</v>
      </c>
      <c r="Q82" s="76" t="s">
        <v>11</v>
      </c>
      <c r="R82" s="76" t="b">
        <v>0</v>
      </c>
      <c r="S82" s="82" t="b">
        <v>0</v>
      </c>
      <c r="T82" s="76">
        <v>256.0</v>
      </c>
      <c r="U82" s="79" t="s">
        <v>96</v>
      </c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>
        <v>46134.0</v>
      </c>
      <c r="B83" s="76" t="s">
        <v>1195</v>
      </c>
      <c r="C83" s="77" t="s">
        <v>1196</v>
      </c>
      <c r="D83" s="76" t="s">
        <v>23</v>
      </c>
      <c r="E83" s="76"/>
      <c r="F83" s="76" t="s">
        <v>8</v>
      </c>
      <c r="G83" s="76">
        <v>1000.0</v>
      </c>
      <c r="H83" s="76">
        <v>250.0</v>
      </c>
      <c r="I83" s="75">
        <v>46135.0</v>
      </c>
      <c r="J83" s="78">
        <v>15.23</v>
      </c>
      <c r="K83" s="76" t="s">
        <v>101</v>
      </c>
      <c r="L83" s="79" t="b">
        <v>1</v>
      </c>
      <c r="M83" s="80">
        <f t="shared" si="1"/>
        <v>46134.65192</v>
      </c>
      <c r="N83" s="79" t="b">
        <v>1</v>
      </c>
      <c r="O83" s="80">
        <f t="shared" si="2"/>
        <v>46134.65392</v>
      </c>
      <c r="P83" s="76" t="s">
        <v>1190</v>
      </c>
      <c r="Q83" s="76" t="s">
        <v>11</v>
      </c>
      <c r="R83" s="76" t="b">
        <v>0</v>
      </c>
      <c r="S83" s="82" t="b">
        <v>0</v>
      </c>
      <c r="T83" s="76">
        <v>256.0</v>
      </c>
      <c r="U83" s="79" t="s">
        <v>96</v>
      </c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>
        <v>46134.0</v>
      </c>
      <c r="B84" s="76" t="s">
        <v>1197</v>
      </c>
      <c r="C84" s="77" t="s">
        <v>1198</v>
      </c>
      <c r="D84" s="76" t="s">
        <v>16</v>
      </c>
      <c r="E84" s="76"/>
      <c r="F84" s="76" t="s">
        <v>8</v>
      </c>
      <c r="G84" s="76">
        <v>200.0</v>
      </c>
      <c r="H84" s="76">
        <v>10.0</v>
      </c>
      <c r="I84" s="75">
        <v>46137.0</v>
      </c>
      <c r="J84" s="78">
        <v>15.46</v>
      </c>
      <c r="K84" s="76" t="s">
        <v>1190</v>
      </c>
      <c r="L84" s="79" t="b">
        <v>1</v>
      </c>
      <c r="M84" s="80">
        <f t="shared" si="1"/>
        <v>46135.5691</v>
      </c>
      <c r="N84" s="79" t="b">
        <v>1</v>
      </c>
      <c r="O84" s="80">
        <f t="shared" si="2"/>
        <v>46135.57436</v>
      </c>
      <c r="P84" s="76" t="s">
        <v>1190</v>
      </c>
      <c r="Q84" s="76" t="s">
        <v>11</v>
      </c>
      <c r="R84" s="76" t="b">
        <v>0</v>
      </c>
      <c r="S84" s="82" t="b">
        <v>0</v>
      </c>
      <c r="T84" s="76">
        <v>30.0</v>
      </c>
      <c r="U84" s="79" t="s">
        <v>96</v>
      </c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>
        <v>46134.0</v>
      </c>
      <c r="B85" s="76" t="s">
        <v>1199</v>
      </c>
      <c r="C85" s="77" t="s">
        <v>1200</v>
      </c>
      <c r="D85" s="76" t="s">
        <v>16</v>
      </c>
      <c r="E85" s="76"/>
      <c r="F85" s="76" t="s">
        <v>8</v>
      </c>
      <c r="G85" s="76">
        <v>400.0</v>
      </c>
      <c r="H85" s="76">
        <v>20.0</v>
      </c>
      <c r="I85" s="75">
        <v>46137.0</v>
      </c>
      <c r="J85" s="78">
        <v>15.46</v>
      </c>
      <c r="K85" s="76" t="s">
        <v>1190</v>
      </c>
      <c r="L85" s="79" t="b">
        <v>1</v>
      </c>
      <c r="M85" s="80">
        <f t="shared" si="1"/>
        <v>46135.55393</v>
      </c>
      <c r="N85" s="79" t="b">
        <v>1</v>
      </c>
      <c r="O85" s="80">
        <f t="shared" si="2"/>
        <v>46135.55658</v>
      </c>
      <c r="P85" s="76" t="s">
        <v>1190</v>
      </c>
      <c r="Q85" s="76" t="s">
        <v>11</v>
      </c>
      <c r="R85" s="76" t="b">
        <v>0</v>
      </c>
      <c r="S85" s="82" t="b">
        <v>0</v>
      </c>
      <c r="T85" s="76">
        <v>40.0</v>
      </c>
      <c r="U85" s="79" t="s">
        <v>96</v>
      </c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>
        <v>46134.0</v>
      </c>
      <c r="B86" s="76" t="s">
        <v>1201</v>
      </c>
      <c r="C86" s="77" t="s">
        <v>1202</v>
      </c>
      <c r="D86" s="76" t="s">
        <v>23</v>
      </c>
      <c r="E86" s="76"/>
      <c r="F86" s="76" t="s">
        <v>8</v>
      </c>
      <c r="G86" s="76">
        <v>100.0</v>
      </c>
      <c r="H86" s="76">
        <v>100.0</v>
      </c>
      <c r="I86" s="75">
        <v>46137.0</v>
      </c>
      <c r="J86" s="78">
        <v>15.46</v>
      </c>
      <c r="K86" s="76" t="s">
        <v>1190</v>
      </c>
      <c r="L86" s="79" t="b">
        <v>1</v>
      </c>
      <c r="M86" s="80">
        <f t="shared" si="1"/>
        <v>46135.46924</v>
      </c>
      <c r="N86" s="79" t="b">
        <v>1</v>
      </c>
      <c r="O86" s="80">
        <f t="shared" si="2"/>
        <v>46135.47272</v>
      </c>
      <c r="P86" s="76" t="s">
        <v>1190</v>
      </c>
      <c r="Q86" s="76" t="s">
        <v>11</v>
      </c>
      <c r="R86" s="76" t="b">
        <v>0</v>
      </c>
      <c r="S86" s="82" t="b">
        <v>0</v>
      </c>
      <c r="T86" s="76">
        <v>108.0</v>
      </c>
      <c r="U86" s="79" t="s">
        <v>96</v>
      </c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>
        <v>46134.0</v>
      </c>
      <c r="B87" s="76" t="s">
        <v>1203</v>
      </c>
      <c r="C87" s="77" t="s">
        <v>1204</v>
      </c>
      <c r="D87" s="76" t="s">
        <v>23</v>
      </c>
      <c r="E87" s="76"/>
      <c r="F87" s="76" t="s">
        <v>8</v>
      </c>
      <c r="G87" s="76">
        <v>100.0</v>
      </c>
      <c r="H87" s="76">
        <v>100.0</v>
      </c>
      <c r="I87" s="75">
        <v>46137.0</v>
      </c>
      <c r="J87" s="78">
        <v>15.46</v>
      </c>
      <c r="K87" s="76" t="s">
        <v>1190</v>
      </c>
      <c r="L87" s="79" t="b">
        <v>1</v>
      </c>
      <c r="M87" s="80">
        <f t="shared" si="1"/>
        <v>46135.46006</v>
      </c>
      <c r="N87" s="79" t="b">
        <v>1</v>
      </c>
      <c r="O87" s="80">
        <f t="shared" si="2"/>
        <v>46135.46313</v>
      </c>
      <c r="P87" s="76" t="s">
        <v>1190</v>
      </c>
      <c r="Q87" s="76" t="s">
        <v>11</v>
      </c>
      <c r="R87" s="76" t="b">
        <v>0</v>
      </c>
      <c r="S87" s="82" t="b">
        <v>0</v>
      </c>
      <c r="T87" s="76">
        <v>108.0</v>
      </c>
      <c r="U87" s="79" t="s">
        <v>96</v>
      </c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>
        <v>46134.0</v>
      </c>
      <c r="B88" s="76" t="s">
        <v>1205</v>
      </c>
      <c r="C88" s="77" t="s">
        <v>1206</v>
      </c>
      <c r="D88" s="76" t="s">
        <v>23</v>
      </c>
      <c r="E88" s="76"/>
      <c r="F88" s="76" t="s">
        <v>8</v>
      </c>
      <c r="G88" s="76">
        <v>100.0</v>
      </c>
      <c r="H88" s="76">
        <v>100.0</v>
      </c>
      <c r="I88" s="75">
        <v>46137.0</v>
      </c>
      <c r="J88" s="78">
        <v>15.46</v>
      </c>
      <c r="K88" s="76" t="s">
        <v>1190</v>
      </c>
      <c r="L88" s="79" t="b">
        <v>1</v>
      </c>
      <c r="M88" s="80">
        <f t="shared" si="1"/>
        <v>46135.45154</v>
      </c>
      <c r="N88" s="79" t="b">
        <v>1</v>
      </c>
      <c r="O88" s="80">
        <f t="shared" si="2"/>
        <v>46135.45525</v>
      </c>
      <c r="P88" s="76" t="s">
        <v>1190</v>
      </c>
      <c r="Q88" s="76" t="s">
        <v>11</v>
      </c>
      <c r="R88" s="76" t="b">
        <v>0</v>
      </c>
      <c r="S88" s="82" t="b">
        <v>0</v>
      </c>
      <c r="T88" s="76">
        <v>108.0</v>
      </c>
      <c r="U88" s="79" t="s">
        <v>96</v>
      </c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>
        <v>46134.0</v>
      </c>
      <c r="B89" s="76" t="s">
        <v>1207</v>
      </c>
      <c r="C89" s="77" t="s">
        <v>1208</v>
      </c>
      <c r="D89" s="76" t="s">
        <v>62</v>
      </c>
      <c r="E89" s="76"/>
      <c r="F89" s="76" t="s">
        <v>8</v>
      </c>
      <c r="G89" s="76">
        <v>170.0</v>
      </c>
      <c r="H89" s="76">
        <v>57.0</v>
      </c>
      <c r="I89" s="75">
        <v>46137.0</v>
      </c>
      <c r="J89" s="78">
        <v>16.11</v>
      </c>
      <c r="K89" s="76" t="s">
        <v>101</v>
      </c>
      <c r="L89" s="79" t="b">
        <v>1</v>
      </c>
      <c r="M89" s="80">
        <f t="shared" si="1"/>
        <v>46135.38994</v>
      </c>
      <c r="N89" s="79" t="b">
        <v>1</v>
      </c>
      <c r="O89" s="80">
        <f t="shared" si="2"/>
        <v>46135.39195</v>
      </c>
      <c r="P89" s="76" t="s">
        <v>101</v>
      </c>
      <c r="Q89" s="76" t="s">
        <v>11</v>
      </c>
      <c r="R89" s="76" t="b">
        <v>0</v>
      </c>
      <c r="S89" s="82" t="b">
        <v>0</v>
      </c>
      <c r="T89" s="76">
        <v>60.0</v>
      </c>
      <c r="U89" s="79" t="s">
        <v>96</v>
      </c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>
        <v>46135.0</v>
      </c>
      <c r="B90" s="76" t="s">
        <v>1209</v>
      </c>
      <c r="C90" s="77" t="s">
        <v>1210</v>
      </c>
      <c r="D90" s="76" t="s">
        <v>50</v>
      </c>
      <c r="E90" s="76"/>
      <c r="F90" s="76" t="s">
        <v>8</v>
      </c>
      <c r="G90" s="76">
        <v>8.0</v>
      </c>
      <c r="H90" s="76">
        <v>8.0</v>
      </c>
      <c r="I90" s="75">
        <v>46136.0</v>
      </c>
      <c r="J90" s="78">
        <v>8.5</v>
      </c>
      <c r="K90" s="76" t="s">
        <v>101</v>
      </c>
      <c r="L90" s="79" t="b">
        <v>1</v>
      </c>
      <c r="M90" s="80">
        <f t="shared" si="1"/>
        <v>46135.4192</v>
      </c>
      <c r="N90" s="79" t="b">
        <v>1</v>
      </c>
      <c r="O90" s="80">
        <f t="shared" si="2"/>
        <v>46135.42096</v>
      </c>
      <c r="P90" s="76" t="s">
        <v>101</v>
      </c>
      <c r="Q90" s="76" t="s">
        <v>38</v>
      </c>
      <c r="R90" s="76" t="b">
        <v>0</v>
      </c>
      <c r="S90" s="82" t="b">
        <v>0</v>
      </c>
      <c r="T90" s="76">
        <v>9.0</v>
      </c>
      <c r="U90" s="79" t="s">
        <v>28</v>
      </c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>
        <v>46135.0</v>
      </c>
      <c r="B91" s="76" t="s">
        <v>1211</v>
      </c>
      <c r="C91" s="77" t="s">
        <v>1212</v>
      </c>
      <c r="D91" s="76" t="s">
        <v>34</v>
      </c>
      <c r="E91" s="76"/>
      <c r="F91" s="76" t="s">
        <v>8</v>
      </c>
      <c r="G91" s="76">
        <v>8.0</v>
      </c>
      <c r="H91" s="76">
        <v>8.0</v>
      </c>
      <c r="I91" s="75">
        <v>46136.0</v>
      </c>
      <c r="J91" s="78">
        <v>8.5</v>
      </c>
      <c r="K91" s="76" t="s">
        <v>101</v>
      </c>
      <c r="L91" s="79" t="b">
        <v>1</v>
      </c>
      <c r="M91" s="80">
        <f t="shared" si="1"/>
        <v>46135.42103</v>
      </c>
      <c r="N91" s="79" t="b">
        <v>1</v>
      </c>
      <c r="O91" s="80">
        <f t="shared" si="2"/>
        <v>46135.42292</v>
      </c>
      <c r="P91" s="76" t="s">
        <v>101</v>
      </c>
      <c r="Q91" s="76" t="s">
        <v>38</v>
      </c>
      <c r="R91" s="76" t="b">
        <v>0</v>
      </c>
      <c r="S91" s="82" t="b">
        <v>0</v>
      </c>
      <c r="T91" s="76">
        <v>9.0</v>
      </c>
      <c r="U91" s="79" t="s">
        <v>28</v>
      </c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>
        <v>46135.0</v>
      </c>
      <c r="B92" s="76" t="s">
        <v>1213</v>
      </c>
      <c r="C92" s="77" t="s">
        <v>1214</v>
      </c>
      <c r="D92" s="76" t="s">
        <v>23</v>
      </c>
      <c r="E92" s="76"/>
      <c r="F92" s="76" t="s">
        <v>18</v>
      </c>
      <c r="G92" s="76">
        <v>1000.0</v>
      </c>
      <c r="H92" s="76">
        <v>250.0</v>
      </c>
      <c r="I92" s="75">
        <v>46135.0</v>
      </c>
      <c r="J92" s="78">
        <v>11.11</v>
      </c>
      <c r="K92" s="76" t="s">
        <v>101</v>
      </c>
      <c r="L92" s="79" t="b">
        <v>1</v>
      </c>
      <c r="M92" s="80">
        <f t="shared" si="1"/>
        <v>46135.47636</v>
      </c>
      <c r="N92" s="79" t="b">
        <v>1</v>
      </c>
      <c r="O92" s="80">
        <f t="shared" si="2"/>
        <v>46135.48364</v>
      </c>
      <c r="P92" s="76" t="s">
        <v>101</v>
      </c>
      <c r="Q92" s="76" t="s">
        <v>11</v>
      </c>
      <c r="R92" s="76" t="b">
        <v>0</v>
      </c>
      <c r="S92" s="82" t="b">
        <v>0</v>
      </c>
      <c r="T92" s="76">
        <v>256.0</v>
      </c>
      <c r="U92" s="79" t="s">
        <v>96</v>
      </c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>
        <v>46135.0</v>
      </c>
      <c r="B93" s="76" t="s">
        <v>1215</v>
      </c>
      <c r="C93" s="77" t="s">
        <v>1216</v>
      </c>
      <c r="D93" s="76" t="s">
        <v>23</v>
      </c>
      <c r="E93" s="76"/>
      <c r="F93" s="76" t="s">
        <v>8</v>
      </c>
      <c r="G93" s="76">
        <v>100.0</v>
      </c>
      <c r="H93" s="76">
        <v>25.0</v>
      </c>
      <c r="I93" s="75">
        <v>46139.0</v>
      </c>
      <c r="J93" s="78">
        <v>13.39</v>
      </c>
      <c r="K93" s="76" t="s">
        <v>1190</v>
      </c>
      <c r="L93" s="79" t="b">
        <v>1</v>
      </c>
      <c r="M93" s="80">
        <f t="shared" si="1"/>
        <v>46135.68255</v>
      </c>
      <c r="N93" s="79" t="b">
        <v>1</v>
      </c>
      <c r="O93" s="80">
        <f t="shared" si="2"/>
        <v>46135.68678</v>
      </c>
      <c r="P93" s="76" t="s">
        <v>1190</v>
      </c>
      <c r="Q93" s="76" t="s">
        <v>11</v>
      </c>
      <c r="R93" s="76" t="b">
        <v>0</v>
      </c>
      <c r="S93" s="82" t="b">
        <v>0</v>
      </c>
      <c r="T93" s="76">
        <v>32.0</v>
      </c>
      <c r="U93" s="79" t="s">
        <v>96</v>
      </c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>
        <v>46135.0</v>
      </c>
      <c r="B94" s="76" t="s">
        <v>1217</v>
      </c>
      <c r="C94" s="77" t="s">
        <v>1218</v>
      </c>
      <c r="D94" s="76" t="s">
        <v>60</v>
      </c>
      <c r="E94" s="76" t="s">
        <v>47</v>
      </c>
      <c r="F94" s="76" t="s">
        <v>8</v>
      </c>
      <c r="G94" s="76">
        <v>3.0</v>
      </c>
      <c r="H94" s="132">
        <v>46084.0</v>
      </c>
      <c r="I94" s="75">
        <v>46137.0</v>
      </c>
      <c r="J94" s="78">
        <v>13.39</v>
      </c>
      <c r="K94" s="76" t="s">
        <v>101</v>
      </c>
      <c r="L94" s="79" t="b">
        <v>1</v>
      </c>
      <c r="M94" s="80">
        <f t="shared" si="1"/>
        <v>46135.66945</v>
      </c>
      <c r="N94" s="79" t="b">
        <v>1</v>
      </c>
      <c r="O94" s="80">
        <f t="shared" si="2"/>
        <v>46135.69897</v>
      </c>
      <c r="P94" s="76" t="s">
        <v>101</v>
      </c>
      <c r="Q94" s="76" t="s">
        <v>11</v>
      </c>
      <c r="R94" s="76" t="b">
        <v>0</v>
      </c>
      <c r="S94" s="82" t="b">
        <v>0</v>
      </c>
      <c r="T94" s="132">
        <v>46150.0</v>
      </c>
      <c r="U94" s="79" t="s">
        <v>96</v>
      </c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>
        <v>46136.0</v>
      </c>
      <c r="B95" s="76" t="s">
        <v>1219</v>
      </c>
      <c r="C95" s="77" t="s">
        <v>1220</v>
      </c>
      <c r="D95" s="76" t="s">
        <v>60</v>
      </c>
      <c r="E95" s="76" t="s">
        <v>23</v>
      </c>
      <c r="F95" s="76" t="s">
        <v>8</v>
      </c>
      <c r="G95" s="76">
        <v>250.0</v>
      </c>
      <c r="H95" s="76" t="s">
        <v>1221</v>
      </c>
      <c r="I95" s="75">
        <v>46140.0</v>
      </c>
      <c r="J95" s="78">
        <v>8.3</v>
      </c>
      <c r="K95" s="76" t="s">
        <v>101</v>
      </c>
      <c r="L95" s="79" t="b">
        <v>1</v>
      </c>
      <c r="M95" s="80">
        <f t="shared" si="1"/>
        <v>46136.58399</v>
      </c>
      <c r="N95" s="79" t="b">
        <v>1</v>
      </c>
      <c r="O95" s="80">
        <f t="shared" si="2"/>
        <v>46136.68991</v>
      </c>
      <c r="P95" s="76" t="s">
        <v>101</v>
      </c>
      <c r="Q95" s="76" t="s">
        <v>11</v>
      </c>
      <c r="R95" s="76" t="b">
        <v>0</v>
      </c>
      <c r="S95" s="82" t="b">
        <v>0</v>
      </c>
      <c r="T95" s="76" t="s">
        <v>1222</v>
      </c>
      <c r="U95" s="79" t="s">
        <v>96</v>
      </c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>
        <v>46136.0</v>
      </c>
      <c r="B96" s="76" t="s">
        <v>1223</v>
      </c>
      <c r="C96" s="77" t="s">
        <v>1224</v>
      </c>
      <c r="D96" s="76" t="s">
        <v>23</v>
      </c>
      <c r="E96" s="76"/>
      <c r="F96" s="76" t="s">
        <v>8</v>
      </c>
      <c r="G96" s="76">
        <v>100.0</v>
      </c>
      <c r="H96" s="76">
        <v>20.0</v>
      </c>
      <c r="I96" s="75">
        <v>46140.0</v>
      </c>
      <c r="J96" s="78">
        <v>9.44</v>
      </c>
      <c r="K96" s="76" t="s">
        <v>101</v>
      </c>
      <c r="L96" s="79" t="b">
        <v>1</v>
      </c>
      <c r="M96" s="80">
        <f t="shared" si="1"/>
        <v>46136.43322</v>
      </c>
      <c r="N96" s="79" t="b">
        <v>1</v>
      </c>
      <c r="O96" s="80">
        <f t="shared" si="2"/>
        <v>46136.45456</v>
      </c>
      <c r="P96" s="76" t="s">
        <v>1190</v>
      </c>
      <c r="Q96" s="76" t="s">
        <v>11</v>
      </c>
      <c r="R96" s="76" t="b">
        <v>0</v>
      </c>
      <c r="S96" s="82" t="b">
        <v>0</v>
      </c>
      <c r="T96" s="76">
        <v>24.0</v>
      </c>
      <c r="U96" s="79" t="s">
        <v>96</v>
      </c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>
        <v>46136.0</v>
      </c>
      <c r="B97" s="76" t="s">
        <v>1225</v>
      </c>
      <c r="C97" s="77" t="s">
        <v>1226</v>
      </c>
      <c r="D97" s="76" t="s">
        <v>31</v>
      </c>
      <c r="E97" s="76"/>
      <c r="F97" s="76" t="s">
        <v>8</v>
      </c>
      <c r="G97" s="76">
        <v>1000.0</v>
      </c>
      <c r="H97" s="76">
        <v>250.0</v>
      </c>
      <c r="I97" s="75">
        <v>46140.0</v>
      </c>
      <c r="J97" s="78">
        <v>9.44</v>
      </c>
      <c r="K97" s="76" t="s">
        <v>1190</v>
      </c>
      <c r="L97" s="79" t="b">
        <v>1</v>
      </c>
      <c r="M97" s="80">
        <f t="shared" si="1"/>
        <v>46136.45464</v>
      </c>
      <c r="N97" s="79" t="b">
        <v>1</v>
      </c>
      <c r="O97" s="80">
        <f t="shared" si="2"/>
        <v>46136.4666</v>
      </c>
      <c r="P97" s="76" t="s">
        <v>1190</v>
      </c>
      <c r="Q97" s="76" t="s">
        <v>11</v>
      </c>
      <c r="R97" s="76" t="b">
        <v>0</v>
      </c>
      <c r="S97" s="82" t="b">
        <v>0</v>
      </c>
      <c r="T97" s="76">
        <v>256.0</v>
      </c>
      <c r="U97" s="79" t="s">
        <v>96</v>
      </c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>
        <v>46136.0</v>
      </c>
      <c r="B98" s="76" t="s">
        <v>1172</v>
      </c>
      <c r="C98" s="77" t="s">
        <v>1173</v>
      </c>
      <c r="D98" s="76" t="s">
        <v>60</v>
      </c>
      <c r="E98" s="76"/>
      <c r="F98" s="76" t="s">
        <v>416</v>
      </c>
      <c r="G98" s="76">
        <v>2000.0</v>
      </c>
      <c r="H98" s="76">
        <v>167.0</v>
      </c>
      <c r="I98" s="75">
        <v>46137.0</v>
      </c>
      <c r="J98" s="78">
        <v>11.4</v>
      </c>
      <c r="K98" s="76" t="s">
        <v>101</v>
      </c>
      <c r="L98" s="79" t="b">
        <v>1</v>
      </c>
      <c r="M98" s="80">
        <f t="shared" si="1"/>
        <v>46136.56724</v>
      </c>
      <c r="N98" s="79" t="b">
        <v>1</v>
      </c>
      <c r="O98" s="80">
        <f t="shared" si="2"/>
        <v>46136.57166</v>
      </c>
      <c r="P98" s="76" t="s">
        <v>101</v>
      </c>
      <c r="Q98" s="76" t="s">
        <v>11</v>
      </c>
      <c r="R98" s="76" t="b">
        <v>0</v>
      </c>
      <c r="S98" s="82" t="b">
        <v>0</v>
      </c>
      <c r="T98" s="76">
        <v>172.0</v>
      </c>
      <c r="U98" s="79" t="s">
        <v>96</v>
      </c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>
        <v>46136.0</v>
      </c>
      <c r="B99" s="76" t="s">
        <v>1227</v>
      </c>
      <c r="C99" s="77" t="s">
        <v>1228</v>
      </c>
      <c r="D99" s="76" t="s">
        <v>23</v>
      </c>
      <c r="E99" s="76"/>
      <c r="F99" s="76" t="s">
        <v>18</v>
      </c>
      <c r="G99" s="76">
        <v>200.0</v>
      </c>
      <c r="H99" s="76">
        <v>100.0</v>
      </c>
      <c r="I99" s="75">
        <v>46136.0</v>
      </c>
      <c r="J99" s="78">
        <v>13.35</v>
      </c>
      <c r="K99" s="76" t="s">
        <v>1190</v>
      </c>
      <c r="L99" s="79" t="b">
        <v>1</v>
      </c>
      <c r="M99" s="80">
        <f t="shared" si="1"/>
        <v>46136.57635</v>
      </c>
      <c r="N99" s="79" t="b">
        <v>1</v>
      </c>
      <c r="O99" s="80">
        <f t="shared" si="2"/>
        <v>46136.57915</v>
      </c>
      <c r="P99" s="76" t="s">
        <v>1190</v>
      </c>
      <c r="Q99" s="76" t="s">
        <v>11</v>
      </c>
      <c r="R99" s="76" t="b">
        <v>0</v>
      </c>
      <c r="S99" s="82" t="b">
        <v>0</v>
      </c>
      <c r="T99" s="76">
        <v>108.0</v>
      </c>
      <c r="U99" s="79" t="s">
        <v>96</v>
      </c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>
        <v>46136.0</v>
      </c>
      <c r="B100" s="76" t="s">
        <v>1229</v>
      </c>
      <c r="C100" s="77" t="s">
        <v>1230</v>
      </c>
      <c r="D100" s="76" t="s">
        <v>60</v>
      </c>
      <c r="E100" s="76"/>
      <c r="F100" s="76" t="s">
        <v>8</v>
      </c>
      <c r="G100" s="76">
        <v>720.0</v>
      </c>
      <c r="H100" s="76">
        <v>180.0</v>
      </c>
      <c r="I100" s="75">
        <v>46141.0</v>
      </c>
      <c r="J100" s="78">
        <v>16.38</v>
      </c>
      <c r="K100" s="76" t="s">
        <v>101</v>
      </c>
      <c r="L100" s="79" t="b">
        <v>1</v>
      </c>
      <c r="M100" s="80">
        <f t="shared" si="1"/>
        <v>46137.43137</v>
      </c>
      <c r="N100" s="79" t="b">
        <v>1</v>
      </c>
      <c r="O100" s="80">
        <f t="shared" si="2"/>
        <v>46137.44266</v>
      </c>
      <c r="P100" s="76" t="s">
        <v>101</v>
      </c>
      <c r="Q100" s="76" t="s">
        <v>11</v>
      </c>
      <c r="R100" s="76" t="b">
        <v>1</v>
      </c>
      <c r="S100" s="82" t="b">
        <v>0</v>
      </c>
      <c r="T100" s="76">
        <v>225.0</v>
      </c>
      <c r="U100" s="79" t="s">
        <v>96</v>
      </c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>
        <v>46136.0</v>
      </c>
      <c r="B101" s="76" t="s">
        <v>1231</v>
      </c>
      <c r="C101" s="77" t="s">
        <v>1232</v>
      </c>
      <c r="D101" s="76" t="s">
        <v>16</v>
      </c>
      <c r="E101" s="76"/>
      <c r="F101" s="76" t="s">
        <v>8</v>
      </c>
      <c r="G101" s="76">
        <v>200.0</v>
      </c>
      <c r="H101" s="76">
        <v>10.0</v>
      </c>
      <c r="I101" s="75">
        <v>46141.0</v>
      </c>
      <c r="J101" s="78">
        <v>17.06</v>
      </c>
      <c r="K101" s="76" t="s">
        <v>1190</v>
      </c>
      <c r="L101" s="79" t="b">
        <v>1</v>
      </c>
      <c r="M101" s="80">
        <f t="shared" si="1"/>
        <v>46137.37648</v>
      </c>
      <c r="N101" s="79" t="b">
        <v>1</v>
      </c>
      <c r="O101" s="80">
        <f t="shared" si="2"/>
        <v>46137.38042</v>
      </c>
      <c r="P101" s="76" t="s">
        <v>1190</v>
      </c>
      <c r="Q101" s="76" t="s">
        <v>11</v>
      </c>
      <c r="R101" s="76" t="b">
        <v>0</v>
      </c>
      <c r="S101" s="82" t="b">
        <v>0</v>
      </c>
      <c r="T101" s="76">
        <v>20.0</v>
      </c>
      <c r="U101" s="79" t="s">
        <v>96</v>
      </c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>
        <v>46136.0</v>
      </c>
      <c r="B102" s="76" t="s">
        <v>1233</v>
      </c>
      <c r="C102" s="77" t="s">
        <v>1234</v>
      </c>
      <c r="D102" s="76" t="s">
        <v>23</v>
      </c>
      <c r="E102" s="76"/>
      <c r="F102" s="76" t="s">
        <v>8</v>
      </c>
      <c r="G102" s="76">
        <v>300.0</v>
      </c>
      <c r="H102" s="76">
        <v>150.0</v>
      </c>
      <c r="I102" s="75">
        <v>46147.0</v>
      </c>
      <c r="J102" s="78">
        <v>17.06</v>
      </c>
      <c r="K102" s="76" t="s">
        <v>1190</v>
      </c>
      <c r="L102" s="79" t="b">
        <v>1</v>
      </c>
      <c r="M102" s="80">
        <f t="shared" si="1"/>
        <v>46137.4862</v>
      </c>
      <c r="N102" s="79" t="b">
        <v>1</v>
      </c>
      <c r="O102" s="80">
        <f t="shared" si="2"/>
        <v>46137.49719</v>
      </c>
      <c r="P102" s="76" t="s">
        <v>1190</v>
      </c>
      <c r="Q102" s="76" t="s">
        <v>11</v>
      </c>
      <c r="R102" s="76" t="b">
        <v>0</v>
      </c>
      <c r="S102" s="82" t="b">
        <v>0</v>
      </c>
      <c r="T102" s="76">
        <v>154.0</v>
      </c>
      <c r="U102" s="79" t="s">
        <v>96</v>
      </c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>
        <v>46137.0</v>
      </c>
      <c r="B103" s="76" t="s">
        <v>1235</v>
      </c>
      <c r="C103" s="77" t="s">
        <v>1236</v>
      </c>
      <c r="D103" s="76" t="s">
        <v>23</v>
      </c>
      <c r="E103" s="76"/>
      <c r="F103" s="76" t="s">
        <v>8</v>
      </c>
      <c r="G103" s="76">
        <v>300.0</v>
      </c>
      <c r="H103" s="76">
        <v>150.0</v>
      </c>
      <c r="I103" s="75">
        <v>46139.0</v>
      </c>
      <c r="J103" s="78">
        <v>11.38</v>
      </c>
      <c r="K103" s="76" t="s">
        <v>1190</v>
      </c>
      <c r="L103" s="79" t="b">
        <v>1</v>
      </c>
      <c r="M103" s="80">
        <f t="shared" si="1"/>
        <v>46137.56715</v>
      </c>
      <c r="N103" s="79" t="b">
        <v>1</v>
      </c>
      <c r="O103" s="80">
        <f t="shared" si="2"/>
        <v>46137.57296</v>
      </c>
      <c r="P103" s="76" t="s">
        <v>1190</v>
      </c>
      <c r="Q103" s="76" t="s">
        <v>11</v>
      </c>
      <c r="R103" s="76" t="b">
        <v>0</v>
      </c>
      <c r="S103" s="82" t="b">
        <v>0</v>
      </c>
      <c r="T103" s="76">
        <v>160.0</v>
      </c>
      <c r="U103" s="79" t="s">
        <v>96</v>
      </c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>
        <v>46137.0</v>
      </c>
      <c r="B104" s="76" t="s">
        <v>1237</v>
      </c>
      <c r="C104" s="77" t="s">
        <v>1238</v>
      </c>
      <c r="D104" s="76" t="s">
        <v>60</v>
      </c>
      <c r="E104" s="76"/>
      <c r="F104" s="76" t="s">
        <v>8</v>
      </c>
      <c r="G104" s="76">
        <v>100.0</v>
      </c>
      <c r="H104" s="76">
        <v>7.0</v>
      </c>
      <c r="I104" s="75">
        <v>46141.0</v>
      </c>
      <c r="J104" s="78">
        <v>11.38</v>
      </c>
      <c r="K104" s="76" t="s">
        <v>101</v>
      </c>
      <c r="L104" s="79" t="b">
        <v>1</v>
      </c>
      <c r="M104" s="80">
        <f t="shared" si="1"/>
        <v>46137.57432</v>
      </c>
      <c r="N104" s="79" t="b">
        <v>1</v>
      </c>
      <c r="O104" s="80">
        <f t="shared" si="2"/>
        <v>46137.57739</v>
      </c>
      <c r="P104" s="76" t="s">
        <v>101</v>
      </c>
      <c r="Q104" s="76" t="s">
        <v>11</v>
      </c>
      <c r="R104" s="76" t="b">
        <v>0</v>
      </c>
      <c r="S104" s="82" t="b">
        <v>0</v>
      </c>
      <c r="T104" s="76">
        <v>12.0</v>
      </c>
      <c r="U104" s="79" t="s">
        <v>96</v>
      </c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>
        <v>46137.0</v>
      </c>
      <c r="B105" s="76" t="s">
        <v>1239</v>
      </c>
      <c r="C105" s="77" t="s">
        <v>1240</v>
      </c>
      <c r="D105" s="76" t="s">
        <v>23</v>
      </c>
      <c r="E105" s="76"/>
      <c r="F105" s="76" t="s">
        <v>18</v>
      </c>
      <c r="G105" s="76">
        <v>1000.0</v>
      </c>
      <c r="H105" s="76">
        <v>500.0</v>
      </c>
      <c r="I105" s="75">
        <v>46137.0</v>
      </c>
      <c r="J105" s="78">
        <v>13.49</v>
      </c>
      <c r="K105" s="76" t="s">
        <v>1190</v>
      </c>
      <c r="L105" s="79" t="b">
        <v>1</v>
      </c>
      <c r="M105" s="80">
        <f t="shared" si="1"/>
        <v>46137.58092</v>
      </c>
      <c r="N105" s="79" t="b">
        <v>1</v>
      </c>
      <c r="O105" s="80">
        <f t="shared" si="2"/>
        <v>46137.58961</v>
      </c>
      <c r="P105" s="76" t="s">
        <v>1190</v>
      </c>
      <c r="Q105" s="76" t="s">
        <v>11</v>
      </c>
      <c r="R105" s="76" t="b">
        <v>0</v>
      </c>
      <c r="S105" s="82" t="b">
        <v>0</v>
      </c>
      <c r="T105" s="76">
        <v>508.0</v>
      </c>
      <c r="U105" s="79" t="s">
        <v>96</v>
      </c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>
        <v>46139.0</v>
      </c>
      <c r="B106" s="76" t="s">
        <v>1241</v>
      </c>
      <c r="C106" s="77" t="s">
        <v>1242</v>
      </c>
      <c r="D106" s="76" t="s">
        <v>23</v>
      </c>
      <c r="E106" s="76"/>
      <c r="F106" s="76" t="s">
        <v>18</v>
      </c>
      <c r="G106" s="76">
        <v>500.0</v>
      </c>
      <c r="H106" s="76">
        <v>250.0</v>
      </c>
      <c r="I106" s="75">
        <v>46139.0</v>
      </c>
      <c r="J106" s="78">
        <v>9.45</v>
      </c>
      <c r="K106" s="76" t="s">
        <v>1190</v>
      </c>
      <c r="L106" s="79" t="b">
        <v>1</v>
      </c>
      <c r="M106" s="80">
        <f t="shared" si="1"/>
        <v>46139.42598</v>
      </c>
      <c r="N106" s="79" t="b">
        <v>1</v>
      </c>
      <c r="O106" s="80">
        <f t="shared" si="2"/>
        <v>46139.46417</v>
      </c>
      <c r="P106" s="76" t="s">
        <v>1190</v>
      </c>
      <c r="Q106" s="76" t="s">
        <v>11</v>
      </c>
      <c r="R106" s="76" t="b">
        <v>0</v>
      </c>
      <c r="S106" s="82" t="b">
        <v>0</v>
      </c>
      <c r="T106" s="76">
        <v>256.0</v>
      </c>
      <c r="U106" s="79" t="s">
        <v>96</v>
      </c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>
        <v>46139.0</v>
      </c>
      <c r="B107" s="76" t="s">
        <v>1243</v>
      </c>
      <c r="C107" s="77" t="s">
        <v>1244</v>
      </c>
      <c r="D107" s="76" t="s">
        <v>13</v>
      </c>
      <c r="E107" s="76"/>
      <c r="F107" s="76" t="s">
        <v>8</v>
      </c>
      <c r="G107" s="76">
        <v>100.0</v>
      </c>
      <c r="H107" s="76">
        <v>50.0</v>
      </c>
      <c r="I107" s="75">
        <v>46142.0</v>
      </c>
      <c r="J107" s="78">
        <v>9.45</v>
      </c>
      <c r="K107" s="76" t="s">
        <v>1190</v>
      </c>
      <c r="L107" s="79" t="b">
        <v>1</v>
      </c>
      <c r="M107" s="80">
        <f t="shared" si="1"/>
        <v>46140.51051</v>
      </c>
      <c r="N107" s="79" t="b">
        <v>1</v>
      </c>
      <c r="O107" s="80">
        <f t="shared" si="2"/>
        <v>46140.5172</v>
      </c>
      <c r="P107" s="76" t="s">
        <v>1190</v>
      </c>
      <c r="Q107" s="76" t="s">
        <v>38</v>
      </c>
      <c r="R107" s="76" t="b">
        <v>0</v>
      </c>
      <c r="S107" s="82" t="b">
        <v>0</v>
      </c>
      <c r="T107" s="76">
        <v>56.0</v>
      </c>
      <c r="U107" s="79" t="s">
        <v>96</v>
      </c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>
        <v>46139.0</v>
      </c>
      <c r="B108" s="76" t="s">
        <v>1245</v>
      </c>
      <c r="C108" s="77" t="s">
        <v>1246</v>
      </c>
      <c r="D108" s="76" t="s">
        <v>16</v>
      </c>
      <c r="E108" s="76"/>
      <c r="F108" s="76" t="s">
        <v>8</v>
      </c>
      <c r="G108" s="76">
        <v>100.0</v>
      </c>
      <c r="H108" s="76">
        <v>5.0</v>
      </c>
      <c r="I108" s="75">
        <v>46142.0</v>
      </c>
      <c r="J108" s="78">
        <v>9.45</v>
      </c>
      <c r="K108" s="76" t="s">
        <v>1190</v>
      </c>
      <c r="L108" s="79" t="b">
        <v>1</v>
      </c>
      <c r="M108" s="80">
        <f t="shared" si="1"/>
        <v>46142.49269</v>
      </c>
      <c r="N108" s="79" t="b">
        <v>1</v>
      </c>
      <c r="O108" s="80">
        <f t="shared" si="2"/>
        <v>46142.49269</v>
      </c>
      <c r="P108" s="76" t="s">
        <v>1190</v>
      </c>
      <c r="Q108" s="76" t="s">
        <v>11</v>
      </c>
      <c r="R108" s="76" t="b">
        <v>0</v>
      </c>
      <c r="S108" s="82" t="b">
        <v>0</v>
      </c>
      <c r="T108" s="76">
        <v>12.0</v>
      </c>
      <c r="U108" s="79" t="s">
        <v>96</v>
      </c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>
        <v>46139.0</v>
      </c>
      <c r="B109" s="76" t="s">
        <v>1247</v>
      </c>
      <c r="C109" s="77" t="s">
        <v>1248</v>
      </c>
      <c r="D109" s="76" t="s">
        <v>31</v>
      </c>
      <c r="E109" s="76"/>
      <c r="F109" s="76" t="s">
        <v>18</v>
      </c>
      <c r="G109" s="76">
        <v>500.0</v>
      </c>
      <c r="H109" s="76">
        <v>42.0</v>
      </c>
      <c r="I109" s="75">
        <v>46139.0</v>
      </c>
      <c r="J109" s="78">
        <v>11.3</v>
      </c>
      <c r="K109" s="76" t="s">
        <v>1190</v>
      </c>
      <c r="L109" s="79" t="b">
        <v>1</v>
      </c>
      <c r="M109" s="80">
        <f t="shared" si="1"/>
        <v>46139.74003</v>
      </c>
      <c r="N109" s="79" t="b">
        <v>1</v>
      </c>
      <c r="O109" s="80">
        <f t="shared" si="2"/>
        <v>46139.74003</v>
      </c>
      <c r="P109" s="76" t="s">
        <v>1190</v>
      </c>
      <c r="Q109" s="76" t="s">
        <v>11</v>
      </c>
      <c r="R109" s="76" t="b">
        <v>0</v>
      </c>
      <c r="S109" s="82" t="b">
        <v>0</v>
      </c>
      <c r="T109" s="76">
        <v>44.0</v>
      </c>
      <c r="U109" s="79" t="s">
        <v>96</v>
      </c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>
        <v>46139.0</v>
      </c>
      <c r="B110" s="76" t="s">
        <v>1249</v>
      </c>
      <c r="C110" s="77" t="s">
        <v>1250</v>
      </c>
      <c r="D110" s="76" t="s">
        <v>23</v>
      </c>
      <c r="E110" s="76"/>
      <c r="F110" s="76" t="s">
        <v>18</v>
      </c>
      <c r="G110" s="76">
        <v>2000.0</v>
      </c>
      <c r="H110" s="76">
        <v>500.0</v>
      </c>
      <c r="I110" s="75">
        <v>46139.0</v>
      </c>
      <c r="J110" s="78">
        <v>16.21</v>
      </c>
      <c r="K110" s="76" t="s">
        <v>1190</v>
      </c>
      <c r="L110" s="79" t="b">
        <v>1</v>
      </c>
      <c r="M110" s="80">
        <f t="shared" si="1"/>
        <v>46140.3687</v>
      </c>
      <c r="N110" s="79" t="b">
        <v>1</v>
      </c>
      <c r="O110" s="80">
        <f t="shared" si="2"/>
        <v>46140.36871</v>
      </c>
      <c r="P110" s="76" t="s">
        <v>1190</v>
      </c>
      <c r="Q110" s="76" t="s">
        <v>11</v>
      </c>
      <c r="R110" s="76" t="b">
        <v>0</v>
      </c>
      <c r="S110" s="82" t="b">
        <v>0</v>
      </c>
      <c r="T110" s="76">
        <v>505.0</v>
      </c>
      <c r="U110" s="79" t="s">
        <v>96</v>
      </c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>
        <v>46139.0</v>
      </c>
      <c r="B111" s="76" t="s">
        <v>1251</v>
      </c>
      <c r="C111" s="77" t="s">
        <v>1252</v>
      </c>
      <c r="D111" s="76" t="s">
        <v>23</v>
      </c>
      <c r="E111" s="76"/>
      <c r="F111" s="76" t="s">
        <v>8</v>
      </c>
      <c r="G111" s="76">
        <v>2000.0</v>
      </c>
      <c r="H111" s="76">
        <v>1000.0</v>
      </c>
      <c r="I111" s="75">
        <v>46140.0</v>
      </c>
      <c r="J111" s="78">
        <v>16.5</v>
      </c>
      <c r="K111" s="76" t="s">
        <v>1190</v>
      </c>
      <c r="L111" s="79" t="b">
        <v>1</v>
      </c>
      <c r="M111" s="80">
        <f t="shared" si="1"/>
        <v>46140.41033</v>
      </c>
      <c r="N111" s="79" t="b">
        <v>1</v>
      </c>
      <c r="O111" s="80">
        <f t="shared" si="2"/>
        <v>46140.4654</v>
      </c>
      <c r="P111" s="76" t="s">
        <v>1190</v>
      </c>
      <c r="Q111" s="76" t="s">
        <v>38</v>
      </c>
      <c r="R111" s="76" t="b">
        <v>0</v>
      </c>
      <c r="S111" s="82" t="b">
        <v>0</v>
      </c>
      <c r="T111" s="76">
        <v>1008.0</v>
      </c>
      <c r="U111" s="79" t="s">
        <v>96</v>
      </c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>
        <v>46139.0</v>
      </c>
      <c r="B112" s="76" t="s">
        <v>1253</v>
      </c>
      <c r="C112" s="77" t="s">
        <v>1254</v>
      </c>
      <c r="D112" s="76" t="s">
        <v>23</v>
      </c>
      <c r="E112" s="76"/>
      <c r="F112" s="76" t="s">
        <v>8</v>
      </c>
      <c r="G112" s="76">
        <v>2000.0</v>
      </c>
      <c r="H112" s="76">
        <v>1000.0</v>
      </c>
      <c r="I112" s="75">
        <v>46140.0</v>
      </c>
      <c r="J112" s="78">
        <v>16.5</v>
      </c>
      <c r="K112" s="76" t="s">
        <v>1190</v>
      </c>
      <c r="L112" s="79" t="b">
        <v>1</v>
      </c>
      <c r="M112" s="80">
        <f t="shared" si="1"/>
        <v>46140.56737</v>
      </c>
      <c r="N112" s="79" t="b">
        <v>1</v>
      </c>
      <c r="O112" s="80">
        <f t="shared" si="2"/>
        <v>46140.59998</v>
      </c>
      <c r="P112" s="76" t="s">
        <v>1190</v>
      </c>
      <c r="Q112" s="76" t="s">
        <v>11</v>
      </c>
      <c r="R112" s="76" t="b">
        <v>0</v>
      </c>
      <c r="S112" s="82" t="b">
        <v>0</v>
      </c>
      <c r="T112" s="76">
        <v>1008.0</v>
      </c>
      <c r="U112" s="79" t="s">
        <v>96</v>
      </c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>
        <v>46140.0</v>
      </c>
      <c r="B113" s="76" t="s">
        <v>1255</v>
      </c>
      <c r="C113" s="77" t="s">
        <v>1256</v>
      </c>
      <c r="D113" s="76" t="s">
        <v>23</v>
      </c>
      <c r="E113" s="76"/>
      <c r="F113" s="76" t="s">
        <v>18</v>
      </c>
      <c r="G113" s="76">
        <v>3000.0</v>
      </c>
      <c r="H113" s="76">
        <v>500.0</v>
      </c>
      <c r="I113" s="75">
        <v>46140.0</v>
      </c>
      <c r="J113" s="78">
        <v>10.0</v>
      </c>
      <c r="K113" s="76" t="s">
        <v>1190</v>
      </c>
      <c r="L113" s="79" t="b">
        <v>1</v>
      </c>
      <c r="M113" s="80">
        <f t="shared" si="1"/>
        <v>46140.61098</v>
      </c>
      <c r="N113" s="79" t="b">
        <v>1</v>
      </c>
      <c r="O113" s="80">
        <f t="shared" si="2"/>
        <v>46140.62813</v>
      </c>
      <c r="P113" s="76" t="s">
        <v>1190</v>
      </c>
      <c r="Q113" s="76" t="s">
        <v>11</v>
      </c>
      <c r="R113" s="76" t="b">
        <v>0</v>
      </c>
      <c r="S113" s="82" t="b">
        <v>0</v>
      </c>
      <c r="T113" s="76"/>
      <c r="U113" s="79" t="s">
        <v>96</v>
      </c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>
        <v>46141.0</v>
      </c>
      <c r="B114" s="91" t="s">
        <v>1257</v>
      </c>
      <c r="C114" s="92" t="s">
        <v>1258</v>
      </c>
      <c r="D114" s="93" t="s">
        <v>23</v>
      </c>
      <c r="E114" s="94"/>
      <c r="F114" s="93" t="s">
        <v>8</v>
      </c>
      <c r="G114" s="91">
        <v>500.0</v>
      </c>
      <c r="H114" s="91">
        <v>100.0</v>
      </c>
      <c r="I114" s="75">
        <v>46144.0</v>
      </c>
      <c r="J114" s="78">
        <v>10.0</v>
      </c>
      <c r="K114" s="76" t="s">
        <v>1142</v>
      </c>
      <c r="L114" s="79" t="b">
        <v>1</v>
      </c>
      <c r="M114" s="80">
        <f t="shared" si="1"/>
        <v>46141.42692</v>
      </c>
      <c r="N114" s="79" t="b">
        <v>1</v>
      </c>
      <c r="O114" s="80">
        <f t="shared" si="2"/>
        <v>46141.42913</v>
      </c>
      <c r="P114" s="76" t="s">
        <v>1142</v>
      </c>
      <c r="Q114" s="76" t="s">
        <v>11</v>
      </c>
      <c r="R114" s="76" t="b">
        <v>0</v>
      </c>
      <c r="S114" s="82" t="b">
        <v>0</v>
      </c>
      <c r="T114" s="76">
        <v>108.0</v>
      </c>
      <c r="U114" s="79" t="s">
        <v>96</v>
      </c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>
        <v>46141.0</v>
      </c>
      <c r="B115" s="76" t="s">
        <v>1259</v>
      </c>
      <c r="C115" s="77" t="s">
        <v>1260</v>
      </c>
      <c r="D115" s="76" t="s">
        <v>23</v>
      </c>
      <c r="E115" s="76"/>
      <c r="F115" s="76" t="s">
        <v>8</v>
      </c>
      <c r="G115" s="76">
        <v>300.0</v>
      </c>
      <c r="H115" s="76">
        <v>300.0</v>
      </c>
      <c r="I115" s="75">
        <v>46146.0</v>
      </c>
      <c r="J115" s="78">
        <v>10.0</v>
      </c>
      <c r="K115" s="76" t="s">
        <v>1142</v>
      </c>
      <c r="L115" s="79" t="b">
        <v>1</v>
      </c>
      <c r="M115" s="80">
        <f t="shared" si="1"/>
        <v>46141.48961</v>
      </c>
      <c r="N115" s="79" t="b">
        <v>1</v>
      </c>
      <c r="O115" s="80">
        <f t="shared" si="2"/>
        <v>46141.49754</v>
      </c>
      <c r="P115" s="76" t="s">
        <v>1142</v>
      </c>
      <c r="Q115" s="76" t="s">
        <v>11</v>
      </c>
      <c r="R115" s="76" t="b">
        <v>0</v>
      </c>
      <c r="S115" s="76" t="b">
        <v>0</v>
      </c>
      <c r="T115" s="76">
        <v>312.0</v>
      </c>
      <c r="U115" s="79" t="s">
        <v>96</v>
      </c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>
        <v>46141.0</v>
      </c>
      <c r="B116" s="76" t="s">
        <v>1261</v>
      </c>
      <c r="C116" s="77" t="s">
        <v>1262</v>
      </c>
      <c r="D116" s="76" t="s">
        <v>50</v>
      </c>
      <c r="E116" s="76"/>
      <c r="F116" s="76"/>
      <c r="G116" s="76"/>
      <c r="H116" s="76"/>
      <c r="I116" s="75"/>
      <c r="J116" s="78">
        <v>13.05</v>
      </c>
      <c r="K116" s="76"/>
      <c r="L116" s="79" t="b">
        <v>0</v>
      </c>
      <c r="M116" s="80" t="str">
        <f t="shared" si="1"/>
        <v/>
      </c>
      <c r="N116" s="79" t="b">
        <v>1</v>
      </c>
      <c r="O116" s="80">
        <f t="shared" si="2"/>
        <v>46141.65766</v>
      </c>
      <c r="P116" s="76"/>
      <c r="Q116" s="76" t="s">
        <v>38</v>
      </c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>
        <v>46141.0</v>
      </c>
      <c r="B117" s="76" t="s">
        <v>1263</v>
      </c>
      <c r="C117" s="77" t="s">
        <v>1264</v>
      </c>
      <c r="D117" s="76" t="s">
        <v>34</v>
      </c>
      <c r="E117" s="76"/>
      <c r="F117" s="76"/>
      <c r="G117" s="76"/>
      <c r="H117" s="76"/>
      <c r="I117" s="75"/>
      <c r="J117" s="78">
        <v>13.05</v>
      </c>
      <c r="K117" s="76"/>
      <c r="L117" s="79" t="b">
        <v>0</v>
      </c>
      <c r="M117" s="80" t="str">
        <f t="shared" si="1"/>
        <v/>
      </c>
      <c r="N117" s="79" t="b">
        <v>1</v>
      </c>
      <c r="O117" s="80">
        <f t="shared" si="2"/>
        <v>46141.65767</v>
      </c>
      <c r="P117" s="76"/>
      <c r="Q117" s="76" t="s">
        <v>38</v>
      </c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>
        <v>46141.0</v>
      </c>
      <c r="B118" s="76" t="s">
        <v>1265</v>
      </c>
      <c r="C118" s="77" t="s">
        <v>1266</v>
      </c>
      <c r="D118" s="76" t="s">
        <v>15</v>
      </c>
      <c r="E118" s="76"/>
      <c r="F118" s="76" t="s">
        <v>8</v>
      </c>
      <c r="G118" s="76">
        <v>900.0</v>
      </c>
      <c r="H118" s="76">
        <v>225.0</v>
      </c>
      <c r="I118" s="75">
        <v>46142.0</v>
      </c>
      <c r="J118" s="78">
        <v>13.05</v>
      </c>
      <c r="K118" s="76" t="s">
        <v>1142</v>
      </c>
      <c r="L118" s="79" t="b">
        <v>1</v>
      </c>
      <c r="M118" s="80">
        <f t="shared" si="1"/>
        <v>46142.49269</v>
      </c>
      <c r="N118" s="79" t="b">
        <v>1</v>
      </c>
      <c r="O118" s="80">
        <f t="shared" si="2"/>
        <v>46142.49269</v>
      </c>
      <c r="P118" s="76" t="s">
        <v>1142</v>
      </c>
      <c r="Q118" s="76" t="s">
        <v>11</v>
      </c>
      <c r="R118" s="76" t="b">
        <v>0</v>
      </c>
      <c r="S118" s="82" t="b">
        <v>0</v>
      </c>
      <c r="T118" s="76">
        <v>255.0</v>
      </c>
      <c r="U118" s="79" t="s">
        <v>96</v>
      </c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>
        <v>46141.0</v>
      </c>
      <c r="B119" s="76" t="s">
        <v>1267</v>
      </c>
      <c r="C119" s="77" t="s">
        <v>1268</v>
      </c>
      <c r="D119" s="76" t="s">
        <v>23</v>
      </c>
      <c r="E119" s="76"/>
      <c r="F119" s="76" t="s">
        <v>8</v>
      </c>
      <c r="G119" s="76">
        <v>500.0</v>
      </c>
      <c r="H119" s="76">
        <v>250.0</v>
      </c>
      <c r="I119" s="75">
        <v>46142.0</v>
      </c>
      <c r="J119" s="78">
        <v>15.47</v>
      </c>
      <c r="K119" s="76" t="s">
        <v>1142</v>
      </c>
      <c r="L119" s="79" t="b">
        <v>1</v>
      </c>
      <c r="M119" s="80">
        <f t="shared" si="1"/>
        <v>46141.66748</v>
      </c>
      <c r="N119" s="79" t="b">
        <v>1</v>
      </c>
      <c r="O119" s="80">
        <f t="shared" si="2"/>
        <v>46141.67182</v>
      </c>
      <c r="P119" s="76" t="s">
        <v>1142</v>
      </c>
      <c r="Q119" s="76" t="s">
        <v>11</v>
      </c>
      <c r="R119" s="76" t="b">
        <v>0</v>
      </c>
      <c r="S119" s="82" t="b">
        <v>0</v>
      </c>
      <c r="T119" s="76">
        <v>256.0</v>
      </c>
      <c r="U119" s="79" t="s">
        <v>96</v>
      </c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>
        <v>46141.0</v>
      </c>
      <c r="B120" s="76" t="s">
        <v>1269</v>
      </c>
      <c r="C120" s="77" t="s">
        <v>1270</v>
      </c>
      <c r="D120" s="76" t="s">
        <v>23</v>
      </c>
      <c r="E120" s="76"/>
      <c r="F120" s="76" t="s">
        <v>8</v>
      </c>
      <c r="G120" s="76">
        <v>1000.0</v>
      </c>
      <c r="H120" s="76">
        <v>250.0</v>
      </c>
      <c r="I120" s="75">
        <v>46142.0</v>
      </c>
      <c r="J120" s="78">
        <v>15.47</v>
      </c>
      <c r="K120" s="76" t="s">
        <v>1142</v>
      </c>
      <c r="L120" s="79" t="b">
        <v>1</v>
      </c>
      <c r="M120" s="80">
        <f t="shared" si="1"/>
        <v>46141.67358</v>
      </c>
      <c r="N120" s="79" t="b">
        <v>1</v>
      </c>
      <c r="O120" s="80">
        <f t="shared" si="2"/>
        <v>46141.67897</v>
      </c>
      <c r="P120" s="76" t="s">
        <v>1142</v>
      </c>
      <c r="Q120" s="76" t="s">
        <v>11</v>
      </c>
      <c r="R120" s="76" t="b">
        <v>0</v>
      </c>
      <c r="S120" s="82" t="b">
        <v>0</v>
      </c>
      <c r="T120" s="76">
        <v>256.0</v>
      </c>
      <c r="U120" s="79" t="s">
        <v>96</v>
      </c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>
        <v>46140.0</v>
      </c>
      <c r="B121" s="76" t="s">
        <v>1271</v>
      </c>
      <c r="C121" s="77" t="s">
        <v>1272</v>
      </c>
      <c r="D121" s="76" t="s">
        <v>13</v>
      </c>
      <c r="E121" s="76"/>
      <c r="F121" s="76" t="s">
        <v>8</v>
      </c>
      <c r="G121" s="76">
        <v>200.0</v>
      </c>
      <c r="H121" s="76">
        <v>100.0</v>
      </c>
      <c r="I121" s="75">
        <v>46142.0</v>
      </c>
      <c r="J121" s="78">
        <v>17.0</v>
      </c>
      <c r="K121" s="76" t="s">
        <v>1190</v>
      </c>
      <c r="L121" s="79" t="b">
        <v>1</v>
      </c>
      <c r="M121" s="80">
        <f t="shared" si="1"/>
        <v>46142.49269</v>
      </c>
      <c r="N121" s="79" t="b">
        <v>1</v>
      </c>
      <c r="O121" s="80">
        <f t="shared" si="2"/>
        <v>46142.49269</v>
      </c>
      <c r="P121" s="76" t="s">
        <v>1190</v>
      </c>
      <c r="Q121" s="76" t="s">
        <v>11</v>
      </c>
      <c r="R121" s="76" t="b">
        <v>0</v>
      </c>
      <c r="S121" s="82" t="b">
        <v>0</v>
      </c>
      <c r="T121" s="76">
        <v>108.0</v>
      </c>
      <c r="U121" s="79" t="s">
        <v>96</v>
      </c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>
        <v>46140.0</v>
      </c>
      <c r="B122" s="76" t="s">
        <v>1273</v>
      </c>
      <c r="C122" s="77" t="s">
        <v>1107</v>
      </c>
      <c r="D122" s="76" t="s">
        <v>23</v>
      </c>
      <c r="E122" s="76"/>
      <c r="F122" s="76" t="s">
        <v>8</v>
      </c>
      <c r="G122" s="76">
        <v>100.0</v>
      </c>
      <c r="H122" s="76">
        <v>50.0</v>
      </c>
      <c r="I122" s="75">
        <v>46142.0</v>
      </c>
      <c r="J122" s="78">
        <v>17.0</v>
      </c>
      <c r="K122" s="76" t="s">
        <v>1190</v>
      </c>
      <c r="L122" s="79" t="b">
        <v>1</v>
      </c>
      <c r="M122" s="80">
        <f t="shared" si="1"/>
        <v>46142.49269</v>
      </c>
      <c r="N122" s="79" t="b">
        <v>1</v>
      </c>
      <c r="O122" s="80">
        <f t="shared" si="2"/>
        <v>46142.49269</v>
      </c>
      <c r="P122" s="76" t="s">
        <v>1190</v>
      </c>
      <c r="Q122" s="76" t="s">
        <v>11</v>
      </c>
      <c r="R122" s="76" t="b">
        <v>0</v>
      </c>
      <c r="S122" s="82" t="b">
        <v>0</v>
      </c>
      <c r="T122" s="76">
        <v>60.0</v>
      </c>
      <c r="U122" s="79" t="s">
        <v>96</v>
      </c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>
        <v>46141.0</v>
      </c>
      <c r="B123" s="76" t="s">
        <v>1274</v>
      </c>
      <c r="C123" s="77" t="s">
        <v>1242</v>
      </c>
      <c r="D123" s="76" t="s">
        <v>23</v>
      </c>
      <c r="E123" s="76"/>
      <c r="F123" s="76" t="s">
        <v>8</v>
      </c>
      <c r="G123" s="76">
        <v>2000.0</v>
      </c>
      <c r="H123" s="76">
        <v>1000.0</v>
      </c>
      <c r="I123" s="75">
        <v>46142.0</v>
      </c>
      <c r="J123" s="78">
        <v>17.13</v>
      </c>
      <c r="K123" s="76" t="s">
        <v>1190</v>
      </c>
      <c r="L123" s="79" t="b">
        <v>1</v>
      </c>
      <c r="M123" s="80">
        <f t="shared" si="1"/>
        <v>46142.49269</v>
      </c>
      <c r="N123" s="79" t="b">
        <v>1</v>
      </c>
      <c r="O123" s="80">
        <f t="shared" si="2"/>
        <v>46142.49269</v>
      </c>
      <c r="P123" s="76" t="s">
        <v>1190</v>
      </c>
      <c r="Q123" s="76" t="s">
        <v>11</v>
      </c>
      <c r="R123" s="76" t="b">
        <v>0</v>
      </c>
      <c r="S123" s="82" t="b">
        <v>0</v>
      </c>
      <c r="T123" s="76">
        <v>1008.0</v>
      </c>
      <c r="U123" s="79" t="s">
        <v>96</v>
      </c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>
        <v>46142.0</v>
      </c>
      <c r="B124" s="76" t="s">
        <v>1275</v>
      </c>
      <c r="C124" s="77" t="s">
        <v>1276</v>
      </c>
      <c r="D124" s="76" t="s">
        <v>57</v>
      </c>
      <c r="E124" s="76"/>
      <c r="F124" s="76" t="s">
        <v>8</v>
      </c>
      <c r="G124" s="76">
        <v>13.0</v>
      </c>
      <c r="H124" s="76">
        <v>13.0</v>
      </c>
      <c r="I124" s="75">
        <v>46146.0</v>
      </c>
      <c r="J124" s="78"/>
      <c r="K124" s="76" t="s">
        <v>1142</v>
      </c>
      <c r="L124" s="79" t="b">
        <v>0</v>
      </c>
      <c r="M124" s="80" t="str">
        <f t="shared" si="1"/>
        <v/>
      </c>
      <c r="N124" s="79" t="b">
        <v>1</v>
      </c>
      <c r="O124" s="80">
        <f t="shared" si="2"/>
        <v>46142.49269</v>
      </c>
      <c r="P124" s="76" t="s">
        <v>1142</v>
      </c>
      <c r="Q124" s="76" t="s">
        <v>38</v>
      </c>
      <c r="R124" s="76" t="b">
        <v>0</v>
      </c>
      <c r="S124" s="82" t="b">
        <v>0</v>
      </c>
      <c r="T124" s="76">
        <v>13.0</v>
      </c>
      <c r="U124" s="79" t="s">
        <v>96</v>
      </c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>
        <v>46142.0</v>
      </c>
      <c r="B125" s="76" t="s">
        <v>1277</v>
      </c>
      <c r="C125" s="77" t="s">
        <v>1278</v>
      </c>
      <c r="D125" s="76" t="s">
        <v>23</v>
      </c>
      <c r="E125" s="76"/>
      <c r="F125" s="76" t="s">
        <v>18</v>
      </c>
      <c r="G125" s="76">
        <v>1000.0</v>
      </c>
      <c r="H125" s="76">
        <v>250.0</v>
      </c>
      <c r="I125" s="75">
        <v>46142.0</v>
      </c>
      <c r="J125" s="78">
        <v>13.3</v>
      </c>
      <c r="K125" s="76" t="s">
        <v>1190</v>
      </c>
      <c r="L125" s="79" t="b">
        <v>1</v>
      </c>
      <c r="M125" s="80">
        <f t="shared" si="1"/>
        <v>46142.60279</v>
      </c>
      <c r="N125" s="79" t="b">
        <v>1</v>
      </c>
      <c r="O125" s="80">
        <f t="shared" si="2"/>
        <v>46142.70516</v>
      </c>
      <c r="P125" s="76" t="s">
        <v>1190</v>
      </c>
      <c r="Q125" s="76" t="s">
        <v>38</v>
      </c>
      <c r="R125" s="76" t="b">
        <v>0</v>
      </c>
      <c r="S125" s="82" t="b">
        <v>0</v>
      </c>
      <c r="T125" s="76">
        <v>256.0</v>
      </c>
      <c r="U125" s="79" t="s">
        <v>96</v>
      </c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/>
      <c r="M126" s="80"/>
      <c r="N126" s="79"/>
      <c r="O126" s="80"/>
      <c r="P126" s="76"/>
      <c r="Q126" s="76"/>
      <c r="R126" s="76"/>
      <c r="S126" s="82"/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>
        <v>46142.0</v>
      </c>
      <c r="B127" s="76" t="s">
        <v>1279</v>
      </c>
      <c r="C127" s="77" t="s">
        <v>821</v>
      </c>
      <c r="D127" s="76" t="s">
        <v>23</v>
      </c>
      <c r="E127" s="76"/>
      <c r="F127" s="76" t="s">
        <v>8</v>
      </c>
      <c r="G127" s="76">
        <v>500.0</v>
      </c>
      <c r="H127" s="76">
        <v>250.0</v>
      </c>
      <c r="I127" s="75">
        <v>46147.0</v>
      </c>
      <c r="J127" s="78">
        <v>13.35</v>
      </c>
      <c r="K127" s="76" t="s">
        <v>1142</v>
      </c>
      <c r="L127" s="79" t="b">
        <v>1</v>
      </c>
      <c r="M127" s="80">
        <f t="shared" ref="M127:M137" si="3">IFS(L127=FALSE,"",M127="",NOW(),TRUE,M127)</f>
        <v>46144.60107</v>
      </c>
      <c r="N127" s="79" t="b">
        <v>1</v>
      </c>
      <c r="O127" s="80">
        <f t="shared" ref="O127:O137" si="4">IFS(N127=FALSE,"",O127="",NOW(),TRUE,O127)</f>
        <v>46144.62526</v>
      </c>
      <c r="P127" s="76" t="s">
        <v>1142</v>
      </c>
      <c r="Q127" s="76" t="s">
        <v>38</v>
      </c>
      <c r="R127" s="76" t="b">
        <v>0</v>
      </c>
      <c r="S127" s="82" t="b">
        <v>0</v>
      </c>
      <c r="T127" s="76">
        <v>256.0</v>
      </c>
      <c r="U127" s="79" t="s">
        <v>96</v>
      </c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>
        <v>46142.0</v>
      </c>
      <c r="B128" s="76" t="s">
        <v>1280</v>
      </c>
      <c r="C128" s="77" t="s">
        <v>1281</v>
      </c>
      <c r="D128" s="76" t="s">
        <v>23</v>
      </c>
      <c r="E128" s="76"/>
      <c r="F128" s="76" t="s">
        <v>8</v>
      </c>
      <c r="G128" s="76">
        <v>100.0</v>
      </c>
      <c r="H128" s="76">
        <v>50.0</v>
      </c>
      <c r="I128" s="75">
        <v>46146.0</v>
      </c>
      <c r="J128" s="78">
        <v>15.0</v>
      </c>
      <c r="K128" s="76" t="s">
        <v>1190</v>
      </c>
      <c r="L128" s="79" t="b">
        <v>1</v>
      </c>
      <c r="M128" s="80">
        <f t="shared" si="3"/>
        <v>46146.54141</v>
      </c>
      <c r="N128" s="79" t="b">
        <v>1</v>
      </c>
      <c r="O128" s="80">
        <f t="shared" si="4"/>
        <v>46146.54143</v>
      </c>
      <c r="P128" s="76" t="s">
        <v>1190</v>
      </c>
      <c r="Q128" s="76" t="s">
        <v>38</v>
      </c>
      <c r="R128" s="76" t="b">
        <v>0</v>
      </c>
      <c r="S128" s="82" t="b">
        <v>0</v>
      </c>
      <c r="T128" s="76">
        <v>60.0</v>
      </c>
      <c r="U128" s="79" t="s">
        <v>96</v>
      </c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>
        <v>46141.0</v>
      </c>
      <c r="B129" s="76" t="s">
        <v>1282</v>
      </c>
      <c r="C129" s="77" t="s">
        <v>1283</v>
      </c>
      <c r="D129" s="76" t="s">
        <v>23</v>
      </c>
      <c r="E129" s="76"/>
      <c r="F129" s="76" t="s">
        <v>8</v>
      </c>
      <c r="G129" s="76">
        <v>1000.0</v>
      </c>
      <c r="H129" s="76">
        <v>125.0</v>
      </c>
      <c r="I129" s="75">
        <v>46147.0</v>
      </c>
      <c r="J129" s="78">
        <v>17.19</v>
      </c>
      <c r="K129" s="76" t="s">
        <v>1190</v>
      </c>
      <c r="L129" s="79" t="b">
        <v>1</v>
      </c>
      <c r="M129" s="80">
        <f t="shared" si="3"/>
        <v>46144.63713</v>
      </c>
      <c r="N129" s="79" t="b">
        <v>1</v>
      </c>
      <c r="O129" s="80">
        <f t="shared" si="4"/>
        <v>46144.65928</v>
      </c>
      <c r="P129" s="76" t="s">
        <v>1190</v>
      </c>
      <c r="Q129" s="76" t="s">
        <v>38</v>
      </c>
      <c r="R129" s="76" t="b">
        <v>0</v>
      </c>
      <c r="S129" s="82" t="b">
        <v>0</v>
      </c>
      <c r="T129" s="76">
        <v>125.0</v>
      </c>
      <c r="U129" s="79" t="s">
        <v>96</v>
      </c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>
        <v>46142.0</v>
      </c>
      <c r="B130" s="76" t="s">
        <v>1284</v>
      </c>
      <c r="C130" s="77" t="s">
        <v>1285</v>
      </c>
      <c r="D130" s="76" t="s">
        <v>23</v>
      </c>
      <c r="E130" s="76"/>
      <c r="F130" s="76" t="s">
        <v>8</v>
      </c>
      <c r="G130" s="76">
        <v>300.0</v>
      </c>
      <c r="H130" s="76">
        <v>150.0</v>
      </c>
      <c r="I130" s="75">
        <v>46147.0</v>
      </c>
      <c r="J130" s="78">
        <v>8.46</v>
      </c>
      <c r="K130" s="76" t="s">
        <v>1142</v>
      </c>
      <c r="L130" s="79" t="b">
        <v>1</v>
      </c>
      <c r="M130" s="80">
        <f t="shared" si="3"/>
        <v>46144.66058</v>
      </c>
      <c r="N130" s="79" t="b">
        <v>1</v>
      </c>
      <c r="O130" s="80">
        <f t="shared" si="4"/>
        <v>46144.66864</v>
      </c>
      <c r="P130" s="76" t="s">
        <v>1142</v>
      </c>
      <c r="Q130" s="76" t="s">
        <v>11</v>
      </c>
      <c r="R130" s="76" t="b">
        <v>0</v>
      </c>
      <c r="S130" s="82" t="b">
        <v>0</v>
      </c>
      <c r="T130" s="76">
        <v>156.0</v>
      </c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>
        <v>46142.0</v>
      </c>
      <c r="B131" s="76" t="s">
        <v>1286</v>
      </c>
      <c r="C131" s="133" t="s">
        <v>1287</v>
      </c>
      <c r="D131" s="76" t="s">
        <v>23</v>
      </c>
      <c r="E131" s="76"/>
      <c r="F131" s="76" t="s">
        <v>8</v>
      </c>
      <c r="G131" s="76">
        <v>500.0</v>
      </c>
      <c r="H131" s="76">
        <v>250.0</v>
      </c>
      <c r="I131" s="75">
        <v>46147.0</v>
      </c>
      <c r="J131" s="78">
        <v>8.53</v>
      </c>
      <c r="K131" s="76" t="s">
        <v>1142</v>
      </c>
      <c r="L131" s="79" t="b">
        <v>1</v>
      </c>
      <c r="M131" s="80">
        <f t="shared" si="3"/>
        <v>46144.65563</v>
      </c>
      <c r="N131" s="79" t="b">
        <v>1</v>
      </c>
      <c r="O131" s="80">
        <f t="shared" si="4"/>
        <v>46144.66016</v>
      </c>
      <c r="P131" s="76" t="s">
        <v>1142</v>
      </c>
      <c r="Q131" s="76" t="s">
        <v>11</v>
      </c>
      <c r="R131" s="76" t="b">
        <v>0</v>
      </c>
      <c r="S131" s="82" t="b">
        <v>0</v>
      </c>
      <c r="T131" s="76">
        <v>256.0</v>
      </c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>
        <v>46140.0</v>
      </c>
      <c r="B132" s="76" t="s">
        <v>1288</v>
      </c>
      <c r="C132" s="77" t="s">
        <v>1289</v>
      </c>
      <c r="D132" s="76" t="s">
        <v>16</v>
      </c>
      <c r="E132" s="76"/>
      <c r="F132" s="76" t="s">
        <v>8</v>
      </c>
      <c r="G132" s="76">
        <v>2000.0</v>
      </c>
      <c r="H132" s="76">
        <v>96.0</v>
      </c>
      <c r="I132" s="75">
        <v>46147.0</v>
      </c>
      <c r="J132" s="78">
        <v>16.17</v>
      </c>
      <c r="K132" s="76" t="s">
        <v>1190</v>
      </c>
      <c r="L132" s="79" t="b">
        <v>1</v>
      </c>
      <c r="M132" s="80">
        <f t="shared" si="3"/>
        <v>46146.51028</v>
      </c>
      <c r="N132" s="79" t="b">
        <v>1</v>
      </c>
      <c r="O132" s="80">
        <f t="shared" si="4"/>
        <v>46146.51028</v>
      </c>
      <c r="P132" s="76" t="s">
        <v>1190</v>
      </c>
      <c r="Q132" s="76" t="s">
        <v>11</v>
      </c>
      <c r="R132" s="76" t="b">
        <v>0</v>
      </c>
      <c r="S132" s="82" t="b">
        <v>0</v>
      </c>
      <c r="T132" s="76">
        <v>104.0</v>
      </c>
      <c r="U132" s="79" t="s">
        <v>96</v>
      </c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>
        <v>46140.0</v>
      </c>
      <c r="B133" s="76" t="s">
        <v>1290</v>
      </c>
      <c r="C133" s="77" t="s">
        <v>1291</v>
      </c>
      <c r="D133" s="76" t="s">
        <v>40</v>
      </c>
      <c r="E133" s="76"/>
      <c r="F133" s="76" t="s">
        <v>8</v>
      </c>
      <c r="G133" s="76">
        <v>200.0</v>
      </c>
      <c r="H133" s="76">
        <v>200.0</v>
      </c>
      <c r="I133" s="75">
        <v>46148.0</v>
      </c>
      <c r="J133" s="78">
        <v>11.14</v>
      </c>
      <c r="K133" s="76" t="s">
        <v>1190</v>
      </c>
      <c r="L133" s="79" t="b">
        <v>1</v>
      </c>
      <c r="M133" s="80">
        <f t="shared" si="3"/>
        <v>46147.40774</v>
      </c>
      <c r="N133" s="79" t="b">
        <v>1</v>
      </c>
      <c r="O133" s="80">
        <f t="shared" si="4"/>
        <v>46148.32845</v>
      </c>
      <c r="P133" s="76" t="s">
        <v>1190</v>
      </c>
      <c r="Q133" s="76" t="s">
        <v>11</v>
      </c>
      <c r="R133" s="76" t="b">
        <v>0</v>
      </c>
      <c r="S133" s="82" t="b">
        <v>0</v>
      </c>
      <c r="T133" s="76">
        <v>213.0</v>
      </c>
      <c r="U133" s="79" t="s">
        <v>19</v>
      </c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>
        <v>46140.0</v>
      </c>
      <c r="B134" s="76" t="s">
        <v>1292</v>
      </c>
      <c r="C134" s="77" t="s">
        <v>1293</v>
      </c>
      <c r="D134" s="76" t="s">
        <v>61</v>
      </c>
      <c r="E134" s="76"/>
      <c r="F134" s="76" t="s">
        <v>8</v>
      </c>
      <c r="G134" s="76">
        <v>140.0</v>
      </c>
      <c r="H134" s="76">
        <v>16.0</v>
      </c>
      <c r="I134" s="75">
        <v>46151.0</v>
      </c>
      <c r="J134" s="78">
        <v>10.58</v>
      </c>
      <c r="K134" s="76" t="s">
        <v>1190</v>
      </c>
      <c r="L134" s="79" t="b">
        <v>1</v>
      </c>
      <c r="M134" s="80">
        <f t="shared" si="3"/>
        <v>46150.42441</v>
      </c>
      <c r="N134" s="79" t="b">
        <v>1</v>
      </c>
      <c r="O134" s="80">
        <f t="shared" si="4"/>
        <v>46150.42445</v>
      </c>
      <c r="P134" s="76" t="s">
        <v>1190</v>
      </c>
      <c r="Q134" s="76" t="s">
        <v>11</v>
      </c>
      <c r="R134" s="76" t="b">
        <v>0</v>
      </c>
      <c r="S134" s="82" t="b">
        <v>0</v>
      </c>
      <c r="T134" s="76">
        <v>24.0</v>
      </c>
      <c r="U134" s="79" t="s">
        <v>96</v>
      </c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>
        <v>46140.0</v>
      </c>
      <c r="B135" s="76" t="s">
        <v>1294</v>
      </c>
      <c r="C135" s="77" t="s">
        <v>1295</v>
      </c>
      <c r="D135" s="76"/>
      <c r="E135" s="76"/>
      <c r="F135" s="76" t="s">
        <v>8</v>
      </c>
      <c r="G135" s="76">
        <v>140.0</v>
      </c>
      <c r="H135" s="76">
        <v>70.0</v>
      </c>
      <c r="I135" s="75">
        <v>46149.0</v>
      </c>
      <c r="J135" s="78">
        <v>11.05</v>
      </c>
      <c r="K135" s="76" t="s">
        <v>1190</v>
      </c>
      <c r="L135" s="79" t="b">
        <v>1</v>
      </c>
      <c r="M135" s="80">
        <f t="shared" si="3"/>
        <v>46150.49854</v>
      </c>
      <c r="N135" s="79" t="b">
        <v>1</v>
      </c>
      <c r="O135" s="80">
        <f t="shared" si="4"/>
        <v>46150.49856</v>
      </c>
      <c r="P135" s="76" t="s">
        <v>1190</v>
      </c>
      <c r="Q135" s="76" t="s">
        <v>11</v>
      </c>
      <c r="R135" s="76" t="b">
        <v>0</v>
      </c>
      <c r="S135" s="82" t="b">
        <v>0</v>
      </c>
      <c r="T135" s="76">
        <v>78.0</v>
      </c>
      <c r="U135" s="79" t="s">
        <v>96</v>
      </c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>
        <v>46140.0</v>
      </c>
      <c r="B136" s="76" t="s">
        <v>1296</v>
      </c>
      <c r="C136" s="77" t="s">
        <v>1297</v>
      </c>
      <c r="D136" s="76" t="s">
        <v>16</v>
      </c>
      <c r="E136" s="76"/>
      <c r="F136" s="76" t="s">
        <v>8</v>
      </c>
      <c r="G136" s="76">
        <v>200.0</v>
      </c>
      <c r="H136" s="76">
        <v>10.0</v>
      </c>
      <c r="I136" s="75">
        <v>46142.0</v>
      </c>
      <c r="J136" s="78">
        <v>8.45</v>
      </c>
      <c r="K136" s="76" t="s">
        <v>1190</v>
      </c>
      <c r="L136" s="79" t="b">
        <v>1</v>
      </c>
      <c r="M136" s="80">
        <f t="shared" si="3"/>
        <v>46144.6686</v>
      </c>
      <c r="N136" s="79" t="b">
        <v>1</v>
      </c>
      <c r="O136" s="80">
        <f t="shared" si="4"/>
        <v>46144.61959</v>
      </c>
      <c r="P136" s="76" t="s">
        <v>1190</v>
      </c>
      <c r="Q136" s="76" t="s">
        <v>38</v>
      </c>
      <c r="R136" s="76" t="b">
        <v>0</v>
      </c>
      <c r="S136" s="82" t="b">
        <v>0</v>
      </c>
      <c r="T136" s="76">
        <v>20.0</v>
      </c>
      <c r="U136" s="79" t="s">
        <v>96</v>
      </c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>
        <v>46142.0</v>
      </c>
      <c r="B137" s="76" t="s">
        <v>1298</v>
      </c>
      <c r="C137" s="77" t="s">
        <v>1299</v>
      </c>
      <c r="D137" s="76" t="s">
        <v>26</v>
      </c>
      <c r="E137" s="76"/>
      <c r="F137" s="76" t="s">
        <v>8</v>
      </c>
      <c r="G137" s="76">
        <v>100.0</v>
      </c>
      <c r="H137" s="76">
        <v>17.0</v>
      </c>
      <c r="I137" s="75">
        <v>46149.0</v>
      </c>
      <c r="J137" s="78">
        <v>13.29</v>
      </c>
      <c r="K137" s="76" t="s">
        <v>1190</v>
      </c>
      <c r="L137" s="79" t="b">
        <v>1</v>
      </c>
      <c r="M137" s="80">
        <f t="shared" si="3"/>
        <v>46146.51028</v>
      </c>
      <c r="N137" s="79" t="b">
        <v>1</v>
      </c>
      <c r="O137" s="80">
        <f t="shared" si="4"/>
        <v>46146.51028</v>
      </c>
      <c r="P137" s="76" t="s">
        <v>1190</v>
      </c>
      <c r="Q137" s="76" t="s">
        <v>11</v>
      </c>
      <c r="R137" s="76" t="b">
        <v>0</v>
      </c>
      <c r="S137" s="82" t="b">
        <v>0</v>
      </c>
      <c r="T137" s="76">
        <v>24.0</v>
      </c>
      <c r="U137" s="79" t="s">
        <v>19</v>
      </c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/>
      <c r="M138" s="80"/>
      <c r="N138" s="79"/>
      <c r="O138" s="80"/>
      <c r="P138" s="76"/>
      <c r="Q138" s="76"/>
      <c r="R138" s="76"/>
      <c r="S138" s="82"/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/>
      <c r="M139" s="80"/>
      <c r="N139" s="79"/>
      <c r="O139" s="80"/>
      <c r="P139" s="76"/>
      <c r="Q139" s="76"/>
      <c r="R139" s="76"/>
      <c r="S139" s="82"/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ref="M140:M307" si="5">IFS(L140=FALSE,"",M140="",NOW(),TRUE,M140)</f>
        <v/>
      </c>
      <c r="N140" s="79" t="b">
        <v>0</v>
      </c>
      <c r="O140" s="80" t="str">
        <f t="shared" ref="O140:O307" si="6">IFS(N140=FALSE,"",O140="",NOW(),TRUE,O140)</f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5"/>
        <v/>
      </c>
      <c r="N141" s="79" t="b">
        <v>0</v>
      </c>
      <c r="O141" s="80" t="str">
        <f t="shared" si="6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5"/>
        <v/>
      </c>
      <c r="N142" s="79" t="b">
        <v>0</v>
      </c>
      <c r="O142" s="80" t="str">
        <f t="shared" si="6"/>
        <v/>
      </c>
      <c r="P142" s="76"/>
      <c r="Q142" s="76"/>
      <c r="R142" s="76" t="b">
        <v>0</v>
      </c>
      <c r="S142" s="76" t="b">
        <v>1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5"/>
        <v/>
      </c>
      <c r="N143" s="79" t="b">
        <v>0</v>
      </c>
      <c r="O143" s="80" t="str">
        <f t="shared" si="6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5"/>
        <v/>
      </c>
      <c r="N144" s="79" t="b">
        <v>0</v>
      </c>
      <c r="O144" s="80" t="str">
        <f t="shared" si="6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5"/>
        <v/>
      </c>
      <c r="N145" s="79" t="b">
        <v>0</v>
      </c>
      <c r="O145" s="80" t="str">
        <f t="shared" si="6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5"/>
        <v/>
      </c>
      <c r="N146" s="79" t="b">
        <v>0</v>
      </c>
      <c r="O146" s="80" t="str">
        <f t="shared" si="6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5"/>
        <v/>
      </c>
      <c r="N147" s="79" t="b">
        <v>0</v>
      </c>
      <c r="O147" s="80" t="str">
        <f t="shared" si="6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5"/>
        <v/>
      </c>
      <c r="N148" s="79" t="b">
        <v>0</v>
      </c>
      <c r="O148" s="80" t="str">
        <f t="shared" si="6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5"/>
        <v/>
      </c>
      <c r="N149" s="79" t="b">
        <v>0</v>
      </c>
      <c r="O149" s="80" t="str">
        <f t="shared" si="6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5"/>
        <v/>
      </c>
      <c r="N150" s="79" t="b">
        <v>0</v>
      </c>
      <c r="O150" s="80" t="str">
        <f t="shared" si="6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5"/>
        <v/>
      </c>
      <c r="N151" s="79" t="b">
        <v>0</v>
      </c>
      <c r="O151" s="80" t="str">
        <f t="shared" si="6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5"/>
        <v/>
      </c>
      <c r="N152" s="79" t="b">
        <v>0</v>
      </c>
      <c r="O152" s="80" t="str">
        <f t="shared" si="6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5"/>
        <v/>
      </c>
      <c r="N153" s="79" t="b">
        <v>0</v>
      </c>
      <c r="O153" s="80" t="str">
        <f t="shared" si="6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5"/>
        <v/>
      </c>
      <c r="N154" s="79" t="b">
        <v>0</v>
      </c>
      <c r="O154" s="80" t="str">
        <f t="shared" si="6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5"/>
        <v/>
      </c>
      <c r="N155" s="79" t="b">
        <v>0</v>
      </c>
      <c r="O155" s="80" t="str">
        <f t="shared" si="6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5"/>
        <v/>
      </c>
      <c r="N156" s="79" t="b">
        <v>0</v>
      </c>
      <c r="O156" s="80" t="str">
        <f t="shared" si="6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5"/>
        <v/>
      </c>
      <c r="N157" s="79" t="b">
        <v>0</v>
      </c>
      <c r="O157" s="80" t="str">
        <f t="shared" si="6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5"/>
        <v/>
      </c>
      <c r="N158" s="79" t="b">
        <v>0</v>
      </c>
      <c r="O158" s="80" t="str">
        <f t="shared" si="6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5"/>
        <v/>
      </c>
      <c r="N159" s="79" t="b">
        <v>0</v>
      </c>
      <c r="O159" s="80" t="str">
        <f t="shared" si="6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5"/>
        <v/>
      </c>
      <c r="N160" s="79" t="b">
        <v>0</v>
      </c>
      <c r="O160" s="80" t="str">
        <f t="shared" si="6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5"/>
        <v/>
      </c>
      <c r="N161" s="79" t="b">
        <v>0</v>
      </c>
      <c r="O161" s="80" t="str">
        <f t="shared" si="6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5"/>
        <v/>
      </c>
      <c r="N162" s="79" t="b">
        <v>0</v>
      </c>
      <c r="O162" s="80" t="str">
        <f t="shared" si="6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5"/>
        <v/>
      </c>
      <c r="N163" s="79" t="b">
        <v>0</v>
      </c>
      <c r="O163" s="80" t="str">
        <f t="shared" si="6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5"/>
        <v/>
      </c>
      <c r="N164" s="79" t="b">
        <v>0</v>
      </c>
      <c r="O164" s="80" t="str">
        <f t="shared" si="6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5"/>
        <v/>
      </c>
      <c r="N165" s="79" t="b">
        <v>0</v>
      </c>
      <c r="O165" s="80" t="str">
        <f t="shared" si="6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5"/>
        <v/>
      </c>
      <c r="N166" s="79" t="b">
        <v>0</v>
      </c>
      <c r="O166" s="80" t="str">
        <f t="shared" si="6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5"/>
        <v/>
      </c>
      <c r="N167" s="79" t="b">
        <v>0</v>
      </c>
      <c r="O167" s="80" t="str">
        <f t="shared" si="6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5"/>
        <v/>
      </c>
      <c r="N168" s="79" t="b">
        <v>0</v>
      </c>
      <c r="O168" s="80" t="str">
        <f t="shared" si="6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5"/>
        <v/>
      </c>
      <c r="N169" s="79" t="b">
        <v>0</v>
      </c>
      <c r="O169" s="80" t="str">
        <f t="shared" si="6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5"/>
        <v/>
      </c>
      <c r="N170" s="79" t="b">
        <v>0</v>
      </c>
      <c r="O170" s="80" t="str">
        <f t="shared" si="6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5"/>
        <v/>
      </c>
      <c r="N171" s="79" t="b">
        <v>0</v>
      </c>
      <c r="O171" s="80" t="str">
        <f t="shared" si="6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5"/>
        <v/>
      </c>
      <c r="N172" s="79" t="b">
        <v>0</v>
      </c>
      <c r="O172" s="80" t="str">
        <f t="shared" si="6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5"/>
        <v/>
      </c>
      <c r="N173" s="79" t="b">
        <v>0</v>
      </c>
      <c r="O173" s="80" t="str">
        <f t="shared" si="6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5"/>
        <v/>
      </c>
      <c r="N174" s="79" t="b">
        <v>0</v>
      </c>
      <c r="O174" s="80" t="str">
        <f t="shared" si="6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5"/>
        <v/>
      </c>
      <c r="N175" s="79" t="b">
        <v>0</v>
      </c>
      <c r="O175" s="80" t="str">
        <f t="shared" si="6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5"/>
        <v/>
      </c>
      <c r="N176" s="79" t="b">
        <v>0</v>
      </c>
      <c r="O176" s="80" t="str">
        <f t="shared" si="6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5"/>
        <v/>
      </c>
      <c r="N177" s="79" t="b">
        <v>0</v>
      </c>
      <c r="O177" s="80" t="str">
        <f t="shared" si="6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5"/>
        <v/>
      </c>
      <c r="N178" s="79" t="b">
        <v>0</v>
      </c>
      <c r="O178" s="80" t="str">
        <f t="shared" si="6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5"/>
        <v/>
      </c>
      <c r="N179" s="79" t="b">
        <v>0</v>
      </c>
      <c r="O179" s="80" t="str">
        <f t="shared" si="6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5"/>
        <v/>
      </c>
      <c r="N180" s="79" t="b">
        <v>0</v>
      </c>
      <c r="O180" s="80" t="str">
        <f t="shared" si="6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5"/>
        <v/>
      </c>
      <c r="N181" s="79" t="b">
        <v>0</v>
      </c>
      <c r="O181" s="80" t="str">
        <f t="shared" si="6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5"/>
        <v/>
      </c>
      <c r="N182" s="79" t="b">
        <v>0</v>
      </c>
      <c r="O182" s="80" t="str">
        <f t="shared" si="6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5"/>
        <v/>
      </c>
      <c r="N183" s="79" t="b">
        <v>0</v>
      </c>
      <c r="O183" s="80" t="str">
        <f t="shared" si="6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5"/>
        <v/>
      </c>
      <c r="N184" s="79" t="b">
        <v>0</v>
      </c>
      <c r="O184" s="80" t="str">
        <f t="shared" si="6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5"/>
        <v/>
      </c>
      <c r="N185" s="79" t="b">
        <v>0</v>
      </c>
      <c r="O185" s="80" t="str">
        <f t="shared" si="6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5"/>
        <v/>
      </c>
      <c r="N186" s="79" t="b">
        <v>0</v>
      </c>
      <c r="O186" s="80" t="str">
        <f t="shared" si="6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5"/>
        <v/>
      </c>
      <c r="N187" s="79" t="b">
        <v>0</v>
      </c>
      <c r="O187" s="80" t="str">
        <f t="shared" si="6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5"/>
        <v/>
      </c>
      <c r="N188" s="79" t="b">
        <v>0</v>
      </c>
      <c r="O188" s="80" t="str">
        <f t="shared" si="6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5"/>
        <v/>
      </c>
      <c r="N189" s="79" t="b">
        <v>0</v>
      </c>
      <c r="O189" s="80" t="str">
        <f t="shared" si="6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5"/>
        <v/>
      </c>
      <c r="N190" s="79" t="b">
        <v>0</v>
      </c>
      <c r="O190" s="80" t="str">
        <f t="shared" si="6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5"/>
        <v/>
      </c>
      <c r="N191" s="79" t="b">
        <v>0</v>
      </c>
      <c r="O191" s="80" t="str">
        <f t="shared" si="6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5"/>
        <v/>
      </c>
      <c r="N192" s="79" t="b">
        <v>0</v>
      </c>
      <c r="O192" s="80" t="str">
        <f t="shared" si="6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5"/>
        <v/>
      </c>
      <c r="N193" s="79" t="b">
        <v>0</v>
      </c>
      <c r="O193" s="80" t="str">
        <f t="shared" si="6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5"/>
        <v/>
      </c>
      <c r="N194" s="79" t="b">
        <v>0</v>
      </c>
      <c r="O194" s="80" t="str">
        <f t="shared" si="6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5"/>
        <v/>
      </c>
      <c r="N195" s="79" t="b">
        <v>0</v>
      </c>
      <c r="O195" s="80" t="str">
        <f t="shared" si="6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5"/>
        <v/>
      </c>
      <c r="N196" s="79" t="b">
        <v>0</v>
      </c>
      <c r="O196" s="80" t="str">
        <f t="shared" si="6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5"/>
        <v/>
      </c>
      <c r="N197" s="79" t="b">
        <v>0</v>
      </c>
      <c r="O197" s="80" t="str">
        <f t="shared" si="6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5"/>
        <v/>
      </c>
      <c r="N198" s="79" t="b">
        <v>0</v>
      </c>
      <c r="O198" s="80" t="str">
        <f t="shared" si="6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5"/>
        <v/>
      </c>
      <c r="N199" s="79" t="b">
        <v>0</v>
      </c>
      <c r="O199" s="80" t="str">
        <f t="shared" si="6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5"/>
        <v/>
      </c>
      <c r="N200" s="79" t="b">
        <v>0</v>
      </c>
      <c r="O200" s="80" t="str">
        <f t="shared" si="6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5"/>
        <v/>
      </c>
      <c r="N201" s="79" t="b">
        <v>0</v>
      </c>
      <c r="O201" s="80" t="str">
        <f t="shared" si="6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5"/>
        <v/>
      </c>
      <c r="N202" s="79" t="b">
        <v>0</v>
      </c>
      <c r="O202" s="80" t="str">
        <f t="shared" si="6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5"/>
        <v/>
      </c>
      <c r="N203" s="79" t="b">
        <v>0</v>
      </c>
      <c r="O203" s="80" t="str">
        <f t="shared" si="6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5"/>
        <v/>
      </c>
      <c r="N204" s="79" t="b">
        <v>0</v>
      </c>
      <c r="O204" s="80" t="str">
        <f t="shared" si="6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5"/>
        <v/>
      </c>
      <c r="N205" s="79" t="b">
        <v>0</v>
      </c>
      <c r="O205" s="80" t="str">
        <f t="shared" si="6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5"/>
        <v/>
      </c>
      <c r="N206" s="79" t="b">
        <v>0</v>
      </c>
      <c r="O206" s="80" t="str">
        <f t="shared" si="6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5"/>
        <v/>
      </c>
      <c r="N207" s="79" t="b">
        <v>0</v>
      </c>
      <c r="O207" s="80" t="str">
        <f t="shared" si="6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5"/>
        <v/>
      </c>
      <c r="N208" s="79" t="b">
        <v>0</v>
      </c>
      <c r="O208" s="80" t="str">
        <f t="shared" si="6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5"/>
        <v/>
      </c>
      <c r="N209" s="79" t="b">
        <v>0</v>
      </c>
      <c r="O209" s="80" t="str">
        <f t="shared" si="6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5"/>
        <v/>
      </c>
      <c r="N210" s="79" t="b">
        <v>0</v>
      </c>
      <c r="O210" s="80" t="str">
        <f t="shared" si="6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5"/>
        <v/>
      </c>
      <c r="N211" s="79" t="b">
        <v>0</v>
      </c>
      <c r="O211" s="80" t="str">
        <f t="shared" si="6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5"/>
        <v/>
      </c>
      <c r="N212" s="79" t="b">
        <v>0</v>
      </c>
      <c r="O212" s="80" t="str">
        <f t="shared" si="6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5"/>
        <v/>
      </c>
      <c r="N213" s="79" t="b">
        <v>0</v>
      </c>
      <c r="O213" s="80" t="str">
        <f t="shared" si="6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5"/>
        <v/>
      </c>
      <c r="N214" s="79" t="b">
        <v>0</v>
      </c>
      <c r="O214" s="80" t="str">
        <f t="shared" si="6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5"/>
        <v/>
      </c>
      <c r="N215" s="79" t="b">
        <v>0</v>
      </c>
      <c r="O215" s="80" t="str">
        <f t="shared" si="6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5"/>
        <v/>
      </c>
      <c r="N216" s="79" t="b">
        <v>0</v>
      </c>
      <c r="O216" s="80" t="str">
        <f t="shared" si="6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5"/>
        <v/>
      </c>
      <c r="N217" s="79" t="b">
        <v>0</v>
      </c>
      <c r="O217" s="80" t="str">
        <f t="shared" si="6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5"/>
        <v/>
      </c>
      <c r="N218" s="79" t="b">
        <v>0</v>
      </c>
      <c r="O218" s="80" t="str">
        <f t="shared" si="6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5"/>
        <v/>
      </c>
      <c r="N219" s="79" t="b">
        <v>0</v>
      </c>
      <c r="O219" s="80" t="str">
        <f t="shared" si="6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5"/>
        <v/>
      </c>
      <c r="N220" s="79" t="b">
        <v>0</v>
      </c>
      <c r="O220" s="80" t="str">
        <f t="shared" si="6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5"/>
        <v/>
      </c>
      <c r="N221" s="79" t="b">
        <v>0</v>
      </c>
      <c r="O221" s="80" t="str">
        <f t="shared" si="6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5"/>
        <v/>
      </c>
      <c r="N222" s="79" t="b">
        <v>0</v>
      </c>
      <c r="O222" s="80" t="str">
        <f t="shared" si="6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5"/>
        <v/>
      </c>
      <c r="N223" s="79" t="b">
        <v>0</v>
      </c>
      <c r="O223" s="80" t="str">
        <f t="shared" si="6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5"/>
        <v/>
      </c>
      <c r="N224" s="79" t="b">
        <v>0</v>
      </c>
      <c r="O224" s="80" t="str">
        <f t="shared" si="6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5"/>
        <v/>
      </c>
      <c r="N225" s="79" t="b">
        <v>0</v>
      </c>
      <c r="O225" s="80" t="str">
        <f t="shared" si="6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5"/>
        <v/>
      </c>
      <c r="N226" s="79" t="b">
        <v>0</v>
      </c>
      <c r="O226" s="80" t="str">
        <f t="shared" si="6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5"/>
        <v/>
      </c>
      <c r="N227" s="79" t="b">
        <v>0</v>
      </c>
      <c r="O227" s="80" t="str">
        <f t="shared" si="6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5"/>
        <v/>
      </c>
      <c r="N228" s="79" t="b">
        <v>0</v>
      </c>
      <c r="O228" s="80" t="str">
        <f t="shared" si="6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5"/>
        <v/>
      </c>
      <c r="N229" s="79" t="b">
        <v>0</v>
      </c>
      <c r="O229" s="80" t="str">
        <f t="shared" si="6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5"/>
        <v/>
      </c>
      <c r="N230" s="79" t="b">
        <v>0</v>
      </c>
      <c r="O230" s="80" t="str">
        <f t="shared" si="6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5"/>
        <v/>
      </c>
      <c r="N231" s="79" t="b">
        <v>0</v>
      </c>
      <c r="O231" s="80" t="str">
        <f t="shared" si="6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5"/>
        <v/>
      </c>
      <c r="N232" s="79" t="b">
        <v>0</v>
      </c>
      <c r="O232" s="80" t="str">
        <f t="shared" si="6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5"/>
        <v/>
      </c>
      <c r="N233" s="79" t="b">
        <v>0</v>
      </c>
      <c r="O233" s="80" t="str">
        <f t="shared" si="6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5"/>
        <v/>
      </c>
      <c r="N234" s="79" t="b">
        <v>0</v>
      </c>
      <c r="O234" s="80" t="str">
        <f t="shared" si="6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5"/>
        <v/>
      </c>
      <c r="N235" s="79" t="b">
        <v>0</v>
      </c>
      <c r="O235" s="80" t="str">
        <f t="shared" si="6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5"/>
        <v/>
      </c>
      <c r="N236" s="79" t="b">
        <v>0</v>
      </c>
      <c r="O236" s="80" t="str">
        <f t="shared" si="6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5"/>
        <v/>
      </c>
      <c r="N237" s="79" t="b">
        <v>0</v>
      </c>
      <c r="O237" s="80" t="str">
        <f t="shared" si="6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5"/>
        <v/>
      </c>
      <c r="N238" s="79" t="b">
        <v>0</v>
      </c>
      <c r="O238" s="80" t="str">
        <f t="shared" si="6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5"/>
        <v/>
      </c>
      <c r="N239" s="79" t="b">
        <v>0</v>
      </c>
      <c r="O239" s="80" t="str">
        <f t="shared" si="6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5"/>
        <v/>
      </c>
      <c r="N240" s="79" t="b">
        <v>0</v>
      </c>
      <c r="O240" s="80" t="str">
        <f t="shared" si="6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5"/>
        <v/>
      </c>
      <c r="N241" s="79" t="b">
        <v>0</v>
      </c>
      <c r="O241" s="80" t="str">
        <f t="shared" si="6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5"/>
        <v/>
      </c>
      <c r="N242" s="79" t="b">
        <v>0</v>
      </c>
      <c r="O242" s="80" t="str">
        <f t="shared" si="6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5"/>
        <v/>
      </c>
      <c r="N243" s="79" t="b">
        <v>0</v>
      </c>
      <c r="O243" s="80" t="str">
        <f t="shared" si="6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5"/>
        <v/>
      </c>
      <c r="N244" s="79" t="b">
        <v>0</v>
      </c>
      <c r="O244" s="80" t="str">
        <f t="shared" si="6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5"/>
        <v/>
      </c>
      <c r="N245" s="79" t="b">
        <v>0</v>
      </c>
      <c r="O245" s="80" t="str">
        <f t="shared" si="6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5"/>
        <v/>
      </c>
      <c r="N246" s="79" t="b">
        <v>0</v>
      </c>
      <c r="O246" s="80" t="str">
        <f t="shared" si="6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5"/>
        <v/>
      </c>
      <c r="N247" s="79" t="b">
        <v>0</v>
      </c>
      <c r="O247" s="80" t="str">
        <f t="shared" si="6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5"/>
        <v/>
      </c>
      <c r="N248" s="79" t="b">
        <v>0</v>
      </c>
      <c r="O248" s="80" t="str">
        <f t="shared" si="6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5"/>
        <v/>
      </c>
      <c r="N249" s="79" t="b">
        <v>0</v>
      </c>
      <c r="O249" s="80" t="str">
        <f t="shared" si="6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5"/>
        <v/>
      </c>
      <c r="N250" s="79" t="b">
        <v>0</v>
      </c>
      <c r="O250" s="80" t="str">
        <f t="shared" si="6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5"/>
        <v/>
      </c>
      <c r="N251" s="79" t="b">
        <v>0</v>
      </c>
      <c r="O251" s="80" t="str">
        <f t="shared" si="6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5"/>
        <v/>
      </c>
      <c r="N252" s="79" t="b">
        <v>0</v>
      </c>
      <c r="O252" s="80" t="str">
        <f t="shared" si="6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5"/>
        <v/>
      </c>
      <c r="N253" s="79" t="b">
        <v>0</v>
      </c>
      <c r="O253" s="80" t="str">
        <f t="shared" si="6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5"/>
        <v/>
      </c>
      <c r="N254" s="79" t="b">
        <v>0</v>
      </c>
      <c r="O254" s="80" t="str">
        <f t="shared" si="6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5"/>
        <v/>
      </c>
      <c r="N255" s="79" t="b">
        <v>0</v>
      </c>
      <c r="O255" s="80" t="str">
        <f t="shared" si="6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5"/>
        <v/>
      </c>
      <c r="N256" s="79" t="b">
        <v>0</v>
      </c>
      <c r="O256" s="80" t="str">
        <f t="shared" si="6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5"/>
        <v/>
      </c>
      <c r="N257" s="79" t="b">
        <v>0</v>
      </c>
      <c r="O257" s="80" t="str">
        <f t="shared" si="6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5"/>
        <v/>
      </c>
      <c r="N258" s="79" t="b">
        <v>0</v>
      </c>
      <c r="O258" s="80" t="str">
        <f t="shared" si="6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5"/>
        <v/>
      </c>
      <c r="N259" s="79" t="b">
        <v>0</v>
      </c>
      <c r="O259" s="80" t="str">
        <f t="shared" si="6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5"/>
        <v/>
      </c>
      <c r="N260" s="79" t="b">
        <v>0</v>
      </c>
      <c r="O260" s="80" t="str">
        <f t="shared" si="6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5"/>
        <v/>
      </c>
      <c r="N261" s="79" t="b">
        <v>0</v>
      </c>
      <c r="O261" s="80" t="str">
        <f t="shared" si="6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5"/>
        <v/>
      </c>
      <c r="N262" s="79" t="b">
        <v>0</v>
      </c>
      <c r="O262" s="80" t="str">
        <f t="shared" si="6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5"/>
        <v/>
      </c>
      <c r="N263" s="79" t="b">
        <v>0</v>
      </c>
      <c r="O263" s="80" t="str">
        <f t="shared" si="6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5"/>
        <v/>
      </c>
      <c r="N264" s="79" t="b">
        <v>0</v>
      </c>
      <c r="O264" s="80" t="str">
        <f t="shared" si="6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5"/>
        <v/>
      </c>
      <c r="N265" s="79" t="b">
        <v>0</v>
      </c>
      <c r="O265" s="80" t="str">
        <f t="shared" si="6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5"/>
        <v/>
      </c>
      <c r="N266" s="79" t="b">
        <v>0</v>
      </c>
      <c r="O266" s="80" t="str">
        <f t="shared" si="6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5"/>
        <v/>
      </c>
      <c r="N267" s="79" t="b">
        <v>0</v>
      </c>
      <c r="O267" s="80" t="str">
        <f t="shared" si="6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5"/>
        <v/>
      </c>
      <c r="N268" s="79" t="b">
        <v>0</v>
      </c>
      <c r="O268" s="80" t="str">
        <f t="shared" si="6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5"/>
        <v/>
      </c>
      <c r="N269" s="79" t="b">
        <v>0</v>
      </c>
      <c r="O269" s="80" t="str">
        <f t="shared" si="6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5"/>
        <v/>
      </c>
      <c r="N270" s="79" t="b">
        <v>0</v>
      </c>
      <c r="O270" s="80" t="str">
        <f t="shared" si="6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5"/>
        <v/>
      </c>
      <c r="N271" s="79" t="b">
        <v>0</v>
      </c>
      <c r="O271" s="80" t="str">
        <f t="shared" si="6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5"/>
        <v/>
      </c>
      <c r="N272" s="79" t="b">
        <v>0</v>
      </c>
      <c r="O272" s="80" t="str">
        <f t="shared" si="6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5"/>
        <v/>
      </c>
      <c r="N273" s="79" t="b">
        <v>0</v>
      </c>
      <c r="O273" s="80" t="str">
        <f t="shared" si="6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5"/>
        <v/>
      </c>
      <c r="N274" s="79" t="b">
        <v>0</v>
      </c>
      <c r="O274" s="80" t="str">
        <f t="shared" si="6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5"/>
        <v/>
      </c>
      <c r="N275" s="79" t="b">
        <v>0</v>
      </c>
      <c r="O275" s="80" t="str">
        <f t="shared" si="6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5"/>
        <v/>
      </c>
      <c r="N276" s="79" t="b">
        <v>0</v>
      </c>
      <c r="O276" s="80" t="str">
        <f t="shared" si="6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5"/>
        <v/>
      </c>
      <c r="N277" s="79" t="b">
        <v>0</v>
      </c>
      <c r="O277" s="80" t="str">
        <f t="shared" si="6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5"/>
        <v/>
      </c>
      <c r="N278" s="79" t="b">
        <v>0</v>
      </c>
      <c r="O278" s="80" t="str">
        <f t="shared" si="6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5"/>
        <v/>
      </c>
      <c r="N279" s="79" t="b">
        <v>0</v>
      </c>
      <c r="O279" s="80" t="str">
        <f t="shared" si="6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5"/>
        <v/>
      </c>
      <c r="N280" s="79" t="b">
        <v>0</v>
      </c>
      <c r="O280" s="80" t="str">
        <f t="shared" si="6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5"/>
        <v/>
      </c>
      <c r="N281" s="79" t="b">
        <v>0</v>
      </c>
      <c r="O281" s="80" t="str">
        <f t="shared" si="6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5"/>
        <v/>
      </c>
      <c r="N282" s="79" t="b">
        <v>0</v>
      </c>
      <c r="O282" s="80" t="str">
        <f t="shared" si="6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5"/>
        <v/>
      </c>
      <c r="N283" s="79" t="b">
        <v>0</v>
      </c>
      <c r="O283" s="80" t="str">
        <f t="shared" si="6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5"/>
        <v/>
      </c>
      <c r="N284" s="79" t="b">
        <v>0</v>
      </c>
      <c r="O284" s="80" t="str">
        <f t="shared" si="6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5"/>
        <v/>
      </c>
      <c r="N285" s="79" t="b">
        <v>0</v>
      </c>
      <c r="O285" s="80" t="str">
        <f t="shared" si="6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5"/>
        <v/>
      </c>
      <c r="N286" s="79" t="b">
        <v>0</v>
      </c>
      <c r="O286" s="80" t="str">
        <f t="shared" si="6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5"/>
        <v/>
      </c>
      <c r="N287" s="79" t="b">
        <v>0</v>
      </c>
      <c r="O287" s="80" t="str">
        <f t="shared" si="6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5"/>
        <v/>
      </c>
      <c r="N288" s="79" t="b">
        <v>0</v>
      </c>
      <c r="O288" s="80" t="str">
        <f t="shared" si="6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5"/>
        <v/>
      </c>
      <c r="N289" s="79" t="b">
        <v>0</v>
      </c>
      <c r="O289" s="80" t="str">
        <f t="shared" si="6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5"/>
        <v/>
      </c>
      <c r="N290" s="79" t="b">
        <v>0</v>
      </c>
      <c r="O290" s="80" t="str">
        <f t="shared" si="6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5"/>
        <v/>
      </c>
      <c r="N291" s="79" t="b">
        <v>0</v>
      </c>
      <c r="O291" s="80" t="str">
        <f t="shared" si="6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5"/>
        <v/>
      </c>
      <c r="N292" s="79" t="b">
        <v>0</v>
      </c>
      <c r="O292" s="80" t="str">
        <f t="shared" si="6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5"/>
        <v/>
      </c>
      <c r="N293" s="79" t="b">
        <v>0</v>
      </c>
      <c r="O293" s="80" t="str">
        <f t="shared" si="6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5"/>
        <v/>
      </c>
      <c r="N294" s="79" t="b">
        <v>0</v>
      </c>
      <c r="O294" s="80" t="str">
        <f t="shared" si="6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5"/>
        <v/>
      </c>
      <c r="N295" s="79" t="b">
        <v>0</v>
      </c>
      <c r="O295" s="80" t="str">
        <f t="shared" si="6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5"/>
        <v/>
      </c>
      <c r="N296" s="79" t="b">
        <v>0</v>
      </c>
      <c r="O296" s="80" t="str">
        <f t="shared" si="6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5"/>
        <v/>
      </c>
      <c r="N297" s="79" t="b">
        <v>0</v>
      </c>
      <c r="O297" s="80" t="str">
        <f t="shared" si="6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5"/>
        <v/>
      </c>
      <c r="N298" s="79" t="b">
        <v>0</v>
      </c>
      <c r="O298" s="80" t="str">
        <f t="shared" si="6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5"/>
        <v/>
      </c>
      <c r="N299" s="79" t="b">
        <v>0</v>
      </c>
      <c r="O299" s="80" t="str">
        <f t="shared" si="6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5"/>
        <v/>
      </c>
      <c r="N300" s="79" t="b">
        <v>0</v>
      </c>
      <c r="O300" s="80" t="str">
        <f t="shared" si="6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5"/>
        <v/>
      </c>
      <c r="N301" s="79" t="b">
        <v>0</v>
      </c>
      <c r="O301" s="80" t="str">
        <f t="shared" si="6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5"/>
        <v/>
      </c>
      <c r="N302" s="79" t="b">
        <v>0</v>
      </c>
      <c r="O302" s="80" t="str">
        <f t="shared" si="6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5"/>
        <v/>
      </c>
      <c r="N303" s="79" t="b">
        <v>0</v>
      </c>
      <c r="O303" s="80" t="str">
        <f t="shared" si="6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5"/>
        <v/>
      </c>
      <c r="N304" s="79" t="b">
        <v>0</v>
      </c>
      <c r="O304" s="80" t="str">
        <f t="shared" si="6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5"/>
        <v/>
      </c>
      <c r="N305" s="79" t="b">
        <v>0</v>
      </c>
      <c r="O305" s="80" t="str">
        <f t="shared" si="6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5"/>
        <v/>
      </c>
      <c r="N306" s="79" t="b">
        <v>0</v>
      </c>
      <c r="O306" s="80" t="str">
        <f t="shared" si="6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5"/>
        <v/>
      </c>
      <c r="N307" s="79" t="b">
        <v>0</v>
      </c>
      <c r="O307" s="80" t="str">
        <f t="shared" si="6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B54:C54">
    <cfRule type="expression" dxfId="0" priority="1">
      <formula>$U54="รอปรุกระดาษก่อนพิมพ์"</formula>
    </cfRule>
  </conditionalFormatting>
  <conditionalFormatting sqref="A21:I21 J21:J22 K21:V21">
    <cfRule type="expression" dxfId="0" priority="2">
      <formula>$U21="รอส่งไฟล์"</formula>
    </cfRule>
  </conditionalFormatting>
  <conditionalFormatting sqref="V11:V307">
    <cfRule type="expression" dxfId="1" priority="3">
      <formula>$O11=True</formula>
    </cfRule>
  </conditionalFormatting>
  <conditionalFormatting sqref="A11:V307">
    <cfRule type="expression" dxfId="2" priority="4">
      <formula>$N11=True</formula>
    </cfRule>
  </conditionalFormatting>
  <conditionalFormatting sqref="A11:V307">
    <cfRule type="expression" dxfId="3" priority="5">
      <formula>$U11="เปลี่ยนไป Offset"</formula>
    </cfRule>
  </conditionalFormatting>
  <conditionalFormatting sqref="A11:V307">
    <cfRule type="expression" dxfId="3" priority="6">
      <formula>$U11="Cancelled"</formula>
    </cfRule>
  </conditionalFormatting>
  <conditionalFormatting sqref="A11:V307">
    <cfRule type="expression" dxfId="0" priority="7">
      <formula>$U11="รอกระดาษ"</formula>
    </cfRule>
  </conditionalFormatting>
  <conditionalFormatting sqref="A11:V307">
    <cfRule type="expression" dxfId="0" priority="8">
      <formula>$U11="รอแก้ไฟล์"</formula>
    </cfRule>
  </conditionalFormatting>
  <conditionalFormatting sqref="A11:V307">
    <cfRule type="expression" dxfId="0" priority="9">
      <formula>$U11="รอ maintenance"</formula>
    </cfRule>
  </conditionalFormatting>
  <conditionalFormatting sqref="A11:V307">
    <cfRule type="expression" dxfId="0" priority="10">
      <formula>$U11="รอคอนเฟิร์ม"</formula>
    </cfRule>
  </conditionalFormatting>
  <conditionalFormatting sqref="A11:V307">
    <cfRule type="expression" dxfId="0" priority="11">
      <formula>$U11="รอดูสี"</formula>
    </cfRule>
  </conditionalFormatting>
  <conditionalFormatting sqref="A11:V307">
    <cfRule type="expression" dxfId="0" priority="12">
      <formula>$U11="กระดาษชื้น"</formula>
    </cfRule>
  </conditionalFormatting>
  <conditionalFormatting sqref="A11:V307">
    <cfRule type="expression" dxfId="4" priority="13">
      <formula>$L11=True</formula>
    </cfRule>
  </conditionalFormatting>
  <conditionalFormatting sqref="A11:V307">
    <cfRule type="expression" dxfId="6" priority="14">
      <formula>$F11="ตามคิว"</formula>
    </cfRule>
  </conditionalFormatting>
  <conditionalFormatting sqref="A11:V307">
    <cfRule type="expression" dxfId="7" priority="15">
      <formula>$F11="Same Day"</formula>
    </cfRule>
  </conditionalFormatting>
  <conditionalFormatting sqref="A11:V307">
    <cfRule type="expression" dxfId="6" priority="16">
      <formula>$F11="ตัวอย่าง Mockup"</formula>
    </cfRule>
  </conditionalFormatting>
  <conditionalFormatting sqref="A11:V307">
    <cfRule type="expression" dxfId="5" priority="17">
      <formula>$F11="VIP"</formula>
    </cfRule>
  </conditionalFormatting>
  <conditionalFormatting sqref="U400:W400">
    <cfRule type="expression" dxfId="9" priority="18">
      <formula>"D11"</formula>
    </cfRule>
  </conditionalFormatting>
  <conditionalFormatting sqref="A1:B1">
    <cfRule type="notContainsBlanks" dxfId="8" priority="19">
      <formula>LEN(TRIM(A1))&gt;0</formula>
    </cfRule>
  </conditionalFormatting>
  <conditionalFormatting sqref="A11:V307">
    <cfRule type="expression" dxfId="10" priority="20">
      <formula>$F11="งานซ่อม"</formula>
    </cfRule>
  </conditionalFormatting>
  <conditionalFormatting sqref="A11:V307">
    <cfRule type="expression" dxfId="10" priority="21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K11:K307 P11:P307">
      <formula1>"Fluke,Sunney,Jeab,Nat"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hyperlinks>
    <hyperlink r:id="rId1" ref="C13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0</v>
      </c>
      <c r="D2" s="13" t="s">
        <v>8</v>
      </c>
      <c r="E2" s="14">
        <f>COUNTIFS(F11:F1000,"ตามคิว")</f>
        <v>60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3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1</v>
      </c>
      <c r="AE2" s="25" t="s">
        <v>9</v>
      </c>
      <c r="AF2" s="26" t="s">
        <v>16</v>
      </c>
      <c r="AG2" s="26">
        <f>COUNTIFS(D11:E1000,"อาร์ตการ์ด 2/S 300g (ODM)")</f>
        <v>7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0</v>
      </c>
      <c r="D3" s="13" t="s">
        <v>18</v>
      </c>
      <c r="E3" s="14">
        <f>COUNTIFS(F11:F1000,"Same Day")</f>
        <v>1</v>
      </c>
      <c r="F3" s="15" t="s">
        <v>9</v>
      </c>
      <c r="G3" s="27" t="s">
        <v>19</v>
      </c>
      <c r="H3" s="28">
        <f>COUNTIFS(U11:U1000,"Dicut Jwei")</f>
        <v>0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27</v>
      </c>
      <c r="Y3" s="25" t="s">
        <v>9</v>
      </c>
      <c r="Z3" s="25" t="s">
        <v>24</v>
      </c>
      <c r="AA3" s="25">
        <f>COUNTIFS(D11:E1000,"ปอนด์ 80g (โกดัง)")</f>
        <v>1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0</v>
      </c>
      <c r="F4" s="15" t="s">
        <v>9</v>
      </c>
      <c r="G4" s="27" t="s">
        <v>28</v>
      </c>
      <c r="H4" s="28">
        <f>COUNTIFS(U11:U1000,"Dicut Graptech")</f>
        <v>0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1</v>
      </c>
      <c r="Y4" s="25" t="s">
        <v>9</v>
      </c>
      <c r="Z4" s="25" t="s">
        <v>32</v>
      </c>
      <c r="AA4" s="25">
        <f>COUNTIFS(D11:E1000,"ปอนด์ 100g (โกดัง)")</f>
        <v>0</v>
      </c>
      <c r="AB4" s="25" t="s">
        <v>9</v>
      </c>
      <c r="AC4" s="25" t="s">
        <v>33</v>
      </c>
      <c r="AD4" s="25">
        <f>COUNTIFS(D11:E1000,"อาร์ตการ์ด 1/S 260g (โกดัง)")</f>
        <v>2</v>
      </c>
      <c r="AE4" s="25" t="s">
        <v>9</v>
      </c>
      <c r="AF4" s="26" t="s">
        <v>34</v>
      </c>
      <c r="AG4" s="26">
        <f>COUNTIFS(D11:E1000,"Stk PP ขาวเงา (ODM)")</f>
        <v>7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1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4</v>
      </c>
      <c r="AH5" s="26" t="s">
        <v>9</v>
      </c>
    </row>
    <row r="6" ht="21.75" customHeight="1">
      <c r="A6" s="11">
        <f>COUNTIFS(N11:N1000,True,B11:B1000,"*",K11:K1000,"*")</f>
        <v>33</v>
      </c>
      <c r="B6" s="2"/>
      <c r="C6" s="12" t="s">
        <v>9</v>
      </c>
      <c r="D6" s="13" t="s">
        <v>44</v>
      </c>
      <c r="E6" s="14">
        <f>COUNTIFS(F11:F1000,"ซ่อมไม่มีใบสั่ง")</f>
        <v>0</v>
      </c>
      <c r="F6" s="15" t="s">
        <v>9</v>
      </c>
      <c r="G6" s="42" t="s">
        <v>11</v>
      </c>
      <c r="H6" s="19">
        <f>COUNTIFS(Q11:Q1000,"C12000")</f>
        <v>45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3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0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17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5</v>
      </c>
      <c r="AH7" s="26" t="s">
        <v>9</v>
      </c>
    </row>
    <row r="8" ht="26.25" customHeight="1">
      <c r="A8" s="50">
        <f>COUNTIFS(N11:N1000,False,B11:B1000,"*",K11:K1000,"*")</f>
        <v>29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61</v>
      </c>
      <c r="I8" s="51" t="s">
        <v>59</v>
      </c>
      <c r="J8" s="2"/>
      <c r="K8" s="53">
        <f>SUM(H3+H4)</f>
        <v>0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1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>
        <v>46144.0</v>
      </c>
      <c r="B11" s="76" t="s">
        <v>1300</v>
      </c>
      <c r="C11" s="77" t="s">
        <v>1301</v>
      </c>
      <c r="D11" s="76" t="s">
        <v>23</v>
      </c>
      <c r="E11" s="76"/>
      <c r="F11" s="76" t="s">
        <v>18</v>
      </c>
      <c r="G11" s="76">
        <v>200.0</v>
      </c>
      <c r="H11" s="76">
        <v>50.0</v>
      </c>
      <c r="I11" s="75">
        <v>46144.0</v>
      </c>
      <c r="J11" s="78">
        <v>9.5</v>
      </c>
      <c r="K11" s="76" t="s">
        <v>1142</v>
      </c>
      <c r="L11" s="79" t="b">
        <v>1</v>
      </c>
      <c r="M11" s="80">
        <f t="shared" ref="M11:M12" si="1">IFS(L11=FALSE,"",M11="",NOW(),TRUE,M11)</f>
        <v>46144.42261</v>
      </c>
      <c r="N11" s="81" t="b">
        <v>1</v>
      </c>
      <c r="O11" s="80">
        <f t="shared" ref="O11:O12" si="2">IFS(N11=FALSE,"",O11="",NOW(),TRUE,O11)</f>
        <v>46144.42806</v>
      </c>
      <c r="P11" s="76" t="s">
        <v>1142</v>
      </c>
      <c r="Q11" s="76" t="s">
        <v>38</v>
      </c>
      <c r="R11" s="76" t="b">
        <v>0</v>
      </c>
      <c r="S11" s="82" t="b">
        <v>0</v>
      </c>
      <c r="T11" s="76">
        <v>56.0</v>
      </c>
      <c r="U11" s="79" t="s">
        <v>96</v>
      </c>
      <c r="V11" s="83"/>
      <c r="W11" s="118"/>
    </row>
    <row r="12">
      <c r="A12" s="75">
        <v>46144.0</v>
      </c>
      <c r="B12" s="76" t="s">
        <v>1302</v>
      </c>
      <c r="C12" s="77" t="s">
        <v>1303</v>
      </c>
      <c r="D12" s="76" t="s">
        <v>23</v>
      </c>
      <c r="E12" s="76"/>
      <c r="F12" s="76" t="s">
        <v>8</v>
      </c>
      <c r="G12" s="76">
        <v>200.0</v>
      </c>
      <c r="H12" s="76">
        <v>100.0</v>
      </c>
      <c r="I12" s="75">
        <v>46147.0</v>
      </c>
      <c r="J12" s="78"/>
      <c r="K12" s="76" t="s">
        <v>1142</v>
      </c>
      <c r="L12" s="79" t="b">
        <v>1</v>
      </c>
      <c r="M12" s="80">
        <f t="shared" si="1"/>
        <v>46144.47314</v>
      </c>
      <c r="N12" s="81" t="b">
        <v>1</v>
      </c>
      <c r="O12" s="80">
        <f t="shared" si="2"/>
        <v>46144.48255</v>
      </c>
      <c r="P12" s="76" t="s">
        <v>1142</v>
      </c>
      <c r="Q12" s="76" t="s">
        <v>38</v>
      </c>
      <c r="R12" s="76" t="b">
        <v>0</v>
      </c>
      <c r="S12" s="82" t="b">
        <v>0</v>
      </c>
      <c r="T12" s="76">
        <v>108.0</v>
      </c>
      <c r="U12" s="79" t="s">
        <v>96</v>
      </c>
      <c r="V12" s="83"/>
      <c r="W12" s="74"/>
    </row>
    <row r="13">
      <c r="A13" s="75">
        <v>46144.0</v>
      </c>
      <c r="B13" s="76" t="s">
        <v>1304</v>
      </c>
      <c r="C13" s="77" t="s">
        <v>1305</v>
      </c>
      <c r="D13" s="76" t="s">
        <v>23</v>
      </c>
      <c r="E13" s="76"/>
      <c r="F13" s="76" t="s">
        <v>8</v>
      </c>
      <c r="G13" s="76">
        <v>300.0</v>
      </c>
      <c r="H13" s="76">
        <v>150.0</v>
      </c>
      <c r="I13" s="75">
        <v>46149.0</v>
      </c>
      <c r="J13" s="78">
        <v>10.35</v>
      </c>
      <c r="K13" s="76" t="s">
        <v>1190</v>
      </c>
      <c r="L13" s="79" t="b">
        <v>1</v>
      </c>
      <c r="M13" s="76" t="s">
        <v>1306</v>
      </c>
      <c r="N13" s="79" t="b">
        <v>1</v>
      </c>
      <c r="O13" s="76" t="s">
        <v>1307</v>
      </c>
      <c r="P13" s="76" t="s">
        <v>1190</v>
      </c>
      <c r="Q13" s="76" t="s">
        <v>11</v>
      </c>
      <c r="R13" s="76" t="b">
        <v>0</v>
      </c>
      <c r="S13" s="82" t="b">
        <v>0</v>
      </c>
      <c r="T13" s="76">
        <v>156.0</v>
      </c>
      <c r="U13" s="79" t="s">
        <v>96</v>
      </c>
      <c r="V13" s="83"/>
      <c r="W13" s="74"/>
    </row>
    <row r="14">
      <c r="A14" s="75">
        <v>46144.0</v>
      </c>
      <c r="B14" s="76" t="s">
        <v>1308</v>
      </c>
      <c r="C14" s="77" t="s">
        <v>1309</v>
      </c>
      <c r="D14" s="76" t="s">
        <v>23</v>
      </c>
      <c r="E14" s="76"/>
      <c r="F14" s="76" t="s">
        <v>8</v>
      </c>
      <c r="G14" s="76">
        <v>250.0</v>
      </c>
      <c r="H14" s="76">
        <v>125.0</v>
      </c>
      <c r="I14" s="75">
        <v>46146.0</v>
      </c>
      <c r="J14" s="78">
        <v>15.45</v>
      </c>
      <c r="K14" s="76" t="s">
        <v>1190</v>
      </c>
      <c r="L14" s="79" t="b">
        <v>1</v>
      </c>
      <c r="M14" s="80">
        <f t="shared" ref="M14:M307" si="3">IFS(L14=FALSE,"",M14="",NOW(),TRUE,M14)</f>
        <v>46144.69389</v>
      </c>
      <c r="N14" s="79" t="b">
        <v>1</v>
      </c>
      <c r="O14" s="80">
        <f t="shared" ref="O14:O307" si="4">IFS(N14=FALSE,"",O14="",NOW(),TRUE,O14)</f>
        <v>46144.69786</v>
      </c>
      <c r="P14" s="76" t="s">
        <v>1190</v>
      </c>
      <c r="Q14" s="76" t="s">
        <v>11</v>
      </c>
      <c r="R14" s="76" t="b">
        <v>0</v>
      </c>
      <c r="S14" s="82" t="b">
        <v>0</v>
      </c>
      <c r="T14" s="76">
        <v>132.0</v>
      </c>
      <c r="U14" s="79" t="s">
        <v>96</v>
      </c>
      <c r="V14" s="83"/>
      <c r="W14" s="74"/>
    </row>
    <row r="15">
      <c r="A15" s="75">
        <v>46144.0</v>
      </c>
      <c r="B15" s="76" t="s">
        <v>1310</v>
      </c>
      <c r="C15" s="77" t="s">
        <v>1311</v>
      </c>
      <c r="D15" s="76" t="s">
        <v>23</v>
      </c>
      <c r="E15" s="76"/>
      <c r="F15" s="76" t="s">
        <v>8</v>
      </c>
      <c r="G15" s="76">
        <v>300.0</v>
      </c>
      <c r="H15" s="76">
        <v>150.0</v>
      </c>
      <c r="I15" s="75">
        <v>46149.0</v>
      </c>
      <c r="J15" s="78">
        <v>15.5</v>
      </c>
      <c r="K15" s="76" t="s">
        <v>1190</v>
      </c>
      <c r="L15" s="79" t="b">
        <v>1</v>
      </c>
      <c r="M15" s="80">
        <f t="shared" si="3"/>
        <v>46144.72712</v>
      </c>
      <c r="N15" s="81" t="b">
        <v>1</v>
      </c>
      <c r="O15" s="80">
        <f t="shared" si="4"/>
        <v>46144.72712</v>
      </c>
      <c r="P15" s="76" t="s">
        <v>1190</v>
      </c>
      <c r="Q15" s="76" t="s">
        <v>11</v>
      </c>
      <c r="R15" s="76" t="b">
        <v>0</v>
      </c>
      <c r="S15" s="82" t="b">
        <v>0</v>
      </c>
      <c r="T15" s="76">
        <v>160.0</v>
      </c>
      <c r="U15" s="79" t="s">
        <v>96</v>
      </c>
      <c r="V15" s="83"/>
      <c r="W15" s="118"/>
    </row>
    <row r="16">
      <c r="A16" s="75">
        <v>46146.0</v>
      </c>
      <c r="B16" s="76" t="s">
        <v>1312</v>
      </c>
      <c r="C16" s="77" t="s">
        <v>1313</v>
      </c>
      <c r="D16" s="76" t="s">
        <v>31</v>
      </c>
      <c r="E16" s="76"/>
      <c r="F16" s="76" t="s">
        <v>8</v>
      </c>
      <c r="G16" s="76">
        <v>600.0</v>
      </c>
      <c r="H16" s="76">
        <v>150.0</v>
      </c>
      <c r="I16" s="75">
        <v>46148.0</v>
      </c>
      <c r="J16" s="78">
        <v>9.19</v>
      </c>
      <c r="K16" s="76" t="s">
        <v>1190</v>
      </c>
      <c r="L16" s="79" t="b">
        <v>1</v>
      </c>
      <c r="M16" s="80">
        <f t="shared" si="3"/>
        <v>46146.51028</v>
      </c>
      <c r="N16" s="81" t="b">
        <v>1</v>
      </c>
      <c r="O16" s="80">
        <f t="shared" si="4"/>
        <v>46146.51028</v>
      </c>
      <c r="P16" s="76" t="s">
        <v>1190</v>
      </c>
      <c r="Q16" s="76" t="s">
        <v>11</v>
      </c>
      <c r="R16" s="76" t="b">
        <v>0</v>
      </c>
      <c r="S16" s="82" t="b">
        <v>0</v>
      </c>
      <c r="T16" s="76">
        <v>156.0</v>
      </c>
      <c r="U16" s="79" t="s">
        <v>96</v>
      </c>
      <c r="V16" s="83"/>
      <c r="W16" s="118"/>
    </row>
    <row r="17">
      <c r="A17" s="75">
        <v>46146.0</v>
      </c>
      <c r="B17" s="76" t="s">
        <v>1314</v>
      </c>
      <c r="C17" s="77" t="s">
        <v>1315</v>
      </c>
      <c r="D17" s="76" t="s">
        <v>23</v>
      </c>
      <c r="E17" s="76"/>
      <c r="F17" s="76" t="s">
        <v>8</v>
      </c>
      <c r="G17" s="76">
        <v>1000.0</v>
      </c>
      <c r="H17" s="76">
        <v>500.0</v>
      </c>
      <c r="I17" s="75">
        <v>46147.0</v>
      </c>
      <c r="J17" s="78">
        <v>11.3</v>
      </c>
      <c r="K17" s="76" t="s">
        <v>1190</v>
      </c>
      <c r="L17" s="79" t="b">
        <v>1</v>
      </c>
      <c r="M17" s="80">
        <f t="shared" si="3"/>
        <v>46146.52353</v>
      </c>
      <c r="N17" s="81" t="b">
        <v>1</v>
      </c>
      <c r="O17" s="80">
        <f t="shared" si="4"/>
        <v>46146.53613</v>
      </c>
      <c r="P17" s="76" t="s">
        <v>1190</v>
      </c>
      <c r="Q17" s="76" t="s">
        <v>11</v>
      </c>
      <c r="R17" s="76" t="b">
        <v>0</v>
      </c>
      <c r="S17" s="82" t="b">
        <v>0</v>
      </c>
      <c r="T17" s="76">
        <v>508.0</v>
      </c>
      <c r="U17" s="79" t="s">
        <v>96</v>
      </c>
      <c r="V17" s="83"/>
      <c r="W17" s="74"/>
    </row>
    <row r="18">
      <c r="A18" s="75">
        <v>46146.0</v>
      </c>
      <c r="B18" s="76" t="s">
        <v>1316</v>
      </c>
      <c r="C18" s="77" t="s">
        <v>1317</v>
      </c>
      <c r="D18" s="76" t="s">
        <v>40</v>
      </c>
      <c r="E18" s="76" t="s">
        <v>23</v>
      </c>
      <c r="F18" s="76" t="s">
        <v>8</v>
      </c>
      <c r="G18" s="76">
        <v>60.0</v>
      </c>
      <c r="H18" s="76" t="s">
        <v>1318</v>
      </c>
      <c r="I18" s="75">
        <v>46154.0</v>
      </c>
      <c r="J18" s="78">
        <v>11.3</v>
      </c>
      <c r="K18" s="76" t="s">
        <v>1190</v>
      </c>
      <c r="L18" s="79" t="b">
        <v>1</v>
      </c>
      <c r="M18" s="80">
        <f t="shared" si="3"/>
        <v>46154.83328</v>
      </c>
      <c r="N18" s="81" t="b">
        <v>1</v>
      </c>
      <c r="O18" s="80">
        <f t="shared" si="4"/>
        <v>46154.86043</v>
      </c>
      <c r="P18" s="76" t="s">
        <v>1190</v>
      </c>
      <c r="Q18" s="76" t="s">
        <v>11</v>
      </c>
      <c r="R18" s="76" t="b">
        <v>0</v>
      </c>
      <c r="S18" s="82" t="b">
        <v>0</v>
      </c>
      <c r="T18" s="76" t="s">
        <v>1319</v>
      </c>
      <c r="U18" s="79" t="s">
        <v>96</v>
      </c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>
        <v>46146.0</v>
      </c>
      <c r="B19" s="76" t="s">
        <v>1320</v>
      </c>
      <c r="C19" s="77" t="s">
        <v>1321</v>
      </c>
      <c r="D19" s="76" t="s">
        <v>34</v>
      </c>
      <c r="E19" s="76"/>
      <c r="F19" s="76" t="s">
        <v>8</v>
      </c>
      <c r="G19" s="76">
        <v>40.0</v>
      </c>
      <c r="H19" s="76">
        <v>40.0</v>
      </c>
      <c r="I19" s="75">
        <v>46150.0</v>
      </c>
      <c r="J19" s="78">
        <v>15.0</v>
      </c>
      <c r="K19" s="76" t="s">
        <v>1190</v>
      </c>
      <c r="L19" s="79" t="b">
        <v>1</v>
      </c>
      <c r="M19" s="80">
        <f t="shared" si="3"/>
        <v>46153.3535</v>
      </c>
      <c r="N19" s="81" t="b">
        <v>1</v>
      </c>
      <c r="O19" s="80">
        <f t="shared" si="4"/>
        <v>46153.35351</v>
      </c>
      <c r="P19" s="76" t="s">
        <v>1190</v>
      </c>
      <c r="Q19" s="76" t="s">
        <v>38</v>
      </c>
      <c r="R19" s="76" t="b">
        <v>0</v>
      </c>
      <c r="S19" s="82" t="b">
        <v>0</v>
      </c>
      <c r="T19" s="76">
        <v>44.0</v>
      </c>
      <c r="U19" s="79" t="s">
        <v>96</v>
      </c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>
        <v>46146.0</v>
      </c>
      <c r="B20" s="76" t="s">
        <v>1322</v>
      </c>
      <c r="C20" s="77" t="s">
        <v>1323</v>
      </c>
      <c r="D20" s="76" t="s">
        <v>23</v>
      </c>
      <c r="E20" s="76"/>
      <c r="F20" s="76" t="s">
        <v>8</v>
      </c>
      <c r="G20" s="76">
        <v>100.0</v>
      </c>
      <c r="H20" s="76">
        <v>50.0</v>
      </c>
      <c r="I20" s="75">
        <v>46146.0</v>
      </c>
      <c r="J20" s="78">
        <v>15.3</v>
      </c>
      <c r="K20" s="76" t="s">
        <v>1190</v>
      </c>
      <c r="L20" s="79" t="b">
        <v>1</v>
      </c>
      <c r="M20" s="80">
        <f t="shared" si="3"/>
        <v>46146.66098</v>
      </c>
      <c r="N20" s="81" t="b">
        <v>1</v>
      </c>
      <c r="O20" s="80">
        <f t="shared" si="4"/>
        <v>46146.66099</v>
      </c>
      <c r="P20" s="76" t="s">
        <v>1190</v>
      </c>
      <c r="Q20" s="76" t="s">
        <v>11</v>
      </c>
      <c r="R20" s="76" t="b">
        <v>0</v>
      </c>
      <c r="S20" s="82" t="b">
        <v>0</v>
      </c>
      <c r="T20" s="76">
        <v>51.0</v>
      </c>
      <c r="U20" s="79" t="s">
        <v>96</v>
      </c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>
        <v>46146.0</v>
      </c>
      <c r="B21" s="76" t="s">
        <v>1324</v>
      </c>
      <c r="C21" s="77" t="s">
        <v>1325</v>
      </c>
      <c r="D21" s="76" t="s">
        <v>16</v>
      </c>
      <c r="E21" s="76"/>
      <c r="F21" s="76" t="s">
        <v>8</v>
      </c>
      <c r="G21" s="76">
        <v>200.0</v>
      </c>
      <c r="H21" s="76">
        <v>10.0</v>
      </c>
      <c r="I21" s="75">
        <v>46147.0</v>
      </c>
      <c r="J21" s="78">
        <v>17.0</v>
      </c>
      <c r="K21" s="76" t="s">
        <v>1190</v>
      </c>
      <c r="L21" s="79" t="b">
        <v>1</v>
      </c>
      <c r="M21" s="80">
        <f t="shared" si="3"/>
        <v>46146.72521</v>
      </c>
      <c r="N21" s="81" t="b">
        <v>1</v>
      </c>
      <c r="O21" s="80">
        <f t="shared" si="4"/>
        <v>46146.72719</v>
      </c>
      <c r="P21" s="76" t="s">
        <v>1190</v>
      </c>
      <c r="Q21" s="76" t="s">
        <v>11</v>
      </c>
      <c r="R21" s="76" t="b">
        <v>0</v>
      </c>
      <c r="S21" s="82" t="b">
        <v>0</v>
      </c>
      <c r="T21" s="76">
        <v>20.0</v>
      </c>
      <c r="U21" s="79" t="s">
        <v>96</v>
      </c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>
        <v>46146.0</v>
      </c>
      <c r="B22" s="76" t="s">
        <v>1326</v>
      </c>
      <c r="C22" s="77" t="s">
        <v>1327</v>
      </c>
      <c r="D22" s="76" t="s">
        <v>23</v>
      </c>
      <c r="E22" s="76"/>
      <c r="F22" s="76" t="s">
        <v>8</v>
      </c>
      <c r="G22" s="76">
        <v>375.0</v>
      </c>
      <c r="H22" s="76">
        <v>75.0</v>
      </c>
      <c r="I22" s="75">
        <v>46148.0</v>
      </c>
      <c r="J22" s="78">
        <v>17.0</v>
      </c>
      <c r="K22" s="76" t="s">
        <v>1190</v>
      </c>
      <c r="L22" s="79" t="b">
        <v>1</v>
      </c>
      <c r="M22" s="80">
        <f t="shared" si="3"/>
        <v>46148.3725</v>
      </c>
      <c r="N22" s="81" t="b">
        <v>1</v>
      </c>
      <c r="O22" s="80">
        <f t="shared" si="4"/>
        <v>46148.37256</v>
      </c>
      <c r="P22" s="76" t="s">
        <v>1190</v>
      </c>
      <c r="Q22" s="76" t="s">
        <v>11</v>
      </c>
      <c r="R22" s="76" t="b">
        <v>0</v>
      </c>
      <c r="S22" s="82" t="b">
        <v>0</v>
      </c>
      <c r="T22" s="76">
        <v>84.0</v>
      </c>
      <c r="U22" s="79" t="s">
        <v>96</v>
      </c>
      <c r="V22" s="83"/>
      <c r="W22" s="74"/>
      <c r="X22" s="74"/>
      <c r="AB22" s="74"/>
      <c r="AC22" s="74"/>
      <c r="AD22" s="74"/>
    </row>
    <row r="23">
      <c r="A23" s="75">
        <v>46144.0</v>
      </c>
      <c r="B23" s="76" t="s">
        <v>1328</v>
      </c>
      <c r="C23" s="77" t="s">
        <v>1329</v>
      </c>
      <c r="D23" s="76" t="s">
        <v>43</v>
      </c>
      <c r="E23" s="76"/>
      <c r="F23" s="76" t="s">
        <v>8</v>
      </c>
      <c r="G23" s="76">
        <v>51.0</v>
      </c>
      <c r="H23" s="76">
        <v>51.0</v>
      </c>
      <c r="I23" s="75">
        <v>46151.0</v>
      </c>
      <c r="J23" s="78">
        <v>9.0</v>
      </c>
      <c r="K23" s="76" t="s">
        <v>1190</v>
      </c>
      <c r="L23" s="79" t="b">
        <v>1</v>
      </c>
      <c r="M23" s="80">
        <f t="shared" si="3"/>
        <v>46151.45431</v>
      </c>
      <c r="N23" s="81" t="b">
        <v>1</v>
      </c>
      <c r="O23" s="80">
        <f t="shared" si="4"/>
        <v>46151.45432</v>
      </c>
      <c r="P23" s="76" t="s">
        <v>1190</v>
      </c>
      <c r="Q23" s="76" t="s">
        <v>38</v>
      </c>
      <c r="R23" s="76" t="b">
        <v>0</v>
      </c>
      <c r="S23" s="82" t="b">
        <v>0</v>
      </c>
      <c r="T23" s="76">
        <v>51.0</v>
      </c>
      <c r="U23" s="79" t="s">
        <v>96</v>
      </c>
      <c r="V23" s="83"/>
      <c r="W23" s="74"/>
      <c r="X23" s="74"/>
      <c r="AB23" s="74"/>
      <c r="AC23" s="74"/>
      <c r="AD23" s="74"/>
    </row>
    <row r="24">
      <c r="A24" s="75">
        <v>46147.0</v>
      </c>
      <c r="B24" s="76" t="s">
        <v>1330</v>
      </c>
      <c r="C24" s="77" t="s">
        <v>1331</v>
      </c>
      <c r="D24" s="76" t="s">
        <v>24</v>
      </c>
      <c r="E24" s="76"/>
      <c r="F24" s="76" t="s">
        <v>8</v>
      </c>
      <c r="G24" s="76">
        <v>1000.0</v>
      </c>
      <c r="H24" s="76">
        <v>500.0</v>
      </c>
      <c r="I24" s="75">
        <v>46149.0</v>
      </c>
      <c r="J24" s="78">
        <v>11.0</v>
      </c>
      <c r="K24" s="76" t="s">
        <v>1190</v>
      </c>
      <c r="L24" s="79" t="b">
        <v>1</v>
      </c>
      <c r="M24" s="80">
        <f t="shared" si="3"/>
        <v>46150.42511</v>
      </c>
      <c r="N24" s="81" t="b">
        <v>1</v>
      </c>
      <c r="O24" s="80">
        <f t="shared" si="4"/>
        <v>46150.42512</v>
      </c>
      <c r="P24" s="76" t="s">
        <v>1190</v>
      </c>
      <c r="Q24" s="76" t="s">
        <v>11</v>
      </c>
      <c r="R24" s="76" t="b">
        <v>0</v>
      </c>
      <c r="S24" s="82" t="b">
        <v>0</v>
      </c>
      <c r="T24" s="76">
        <v>508.0</v>
      </c>
      <c r="U24" s="79" t="s">
        <v>96</v>
      </c>
      <c r="V24" s="83"/>
      <c r="W24" s="74"/>
      <c r="X24" s="74"/>
    </row>
    <row r="25">
      <c r="A25" s="75">
        <v>46147.0</v>
      </c>
      <c r="B25" s="76" t="s">
        <v>1332</v>
      </c>
      <c r="C25" s="133" t="s">
        <v>1333</v>
      </c>
      <c r="D25" s="76" t="s">
        <v>57</v>
      </c>
      <c r="E25" s="76" t="s">
        <v>57</v>
      </c>
      <c r="F25" s="76" t="s">
        <v>8</v>
      </c>
      <c r="G25" s="76" t="s">
        <v>1334</v>
      </c>
      <c r="H25" s="76" t="s">
        <v>1335</v>
      </c>
      <c r="I25" s="75">
        <v>46155.0</v>
      </c>
      <c r="J25" s="78">
        <v>11.0</v>
      </c>
      <c r="K25" s="76" t="s">
        <v>1190</v>
      </c>
      <c r="L25" s="79" t="b">
        <v>0</v>
      </c>
      <c r="M25" s="80" t="str">
        <f t="shared" si="3"/>
        <v/>
      </c>
      <c r="N25" s="131" t="b">
        <v>0</v>
      </c>
      <c r="O25" s="80" t="str">
        <f t="shared" si="4"/>
        <v/>
      </c>
      <c r="P25" s="76" t="s">
        <v>1190</v>
      </c>
      <c r="Q25" s="76" t="s">
        <v>38</v>
      </c>
      <c r="R25" s="76" t="b">
        <v>0</v>
      </c>
      <c r="S25" s="82" t="b">
        <v>0</v>
      </c>
      <c r="T25" s="76" t="s">
        <v>1336</v>
      </c>
      <c r="U25" s="79"/>
      <c r="V25" s="83"/>
      <c r="W25" s="74"/>
      <c r="X25" s="74"/>
    </row>
    <row r="26">
      <c r="A26" s="75">
        <v>46147.0</v>
      </c>
      <c r="B26" s="76" t="s">
        <v>1337</v>
      </c>
      <c r="C26" s="77" t="s">
        <v>1338</v>
      </c>
      <c r="D26" s="76" t="s">
        <v>57</v>
      </c>
      <c r="E26" s="76"/>
      <c r="F26" s="76" t="s">
        <v>8</v>
      </c>
      <c r="G26" s="134">
        <v>100000.0</v>
      </c>
      <c r="H26" s="76">
        <v>209.0</v>
      </c>
      <c r="I26" s="75">
        <v>46155.0</v>
      </c>
      <c r="J26" s="78">
        <v>11.0</v>
      </c>
      <c r="K26" s="76" t="s">
        <v>1190</v>
      </c>
      <c r="L26" s="79" t="b">
        <v>0</v>
      </c>
      <c r="M26" s="80" t="str">
        <f t="shared" si="3"/>
        <v/>
      </c>
      <c r="N26" s="131" t="b">
        <v>0</v>
      </c>
      <c r="O26" s="80" t="str">
        <f t="shared" si="4"/>
        <v/>
      </c>
      <c r="P26" s="76" t="s">
        <v>1190</v>
      </c>
      <c r="Q26" s="76" t="s">
        <v>38</v>
      </c>
      <c r="R26" s="76" t="b">
        <v>0</v>
      </c>
      <c r="S26" s="82" t="b">
        <v>0</v>
      </c>
      <c r="T26" s="76">
        <v>214.0</v>
      </c>
      <c r="U26" s="79"/>
      <c r="V26" s="83"/>
      <c r="W26" s="74"/>
      <c r="X26" s="74"/>
    </row>
    <row r="27">
      <c r="A27" s="75">
        <v>46147.0</v>
      </c>
      <c r="B27" s="76" t="s">
        <v>1339</v>
      </c>
      <c r="C27" s="77" t="s">
        <v>1340</v>
      </c>
      <c r="D27" s="76" t="s">
        <v>23</v>
      </c>
      <c r="E27" s="76"/>
      <c r="F27" s="76" t="s">
        <v>8</v>
      </c>
      <c r="G27" s="76">
        <v>500.0</v>
      </c>
      <c r="H27" s="76">
        <v>100.0</v>
      </c>
      <c r="I27" s="75">
        <v>46148.0</v>
      </c>
      <c r="J27" s="78">
        <v>16.3</v>
      </c>
      <c r="K27" s="76" t="s">
        <v>1190</v>
      </c>
      <c r="L27" s="79" t="b">
        <v>1</v>
      </c>
      <c r="M27" s="80">
        <f t="shared" si="3"/>
        <v>46148.32898</v>
      </c>
      <c r="N27" s="81" t="b">
        <v>1</v>
      </c>
      <c r="O27" s="80">
        <f t="shared" si="4"/>
        <v>46148.32901</v>
      </c>
      <c r="P27" s="76" t="s">
        <v>1190</v>
      </c>
      <c r="Q27" s="76" t="s">
        <v>11</v>
      </c>
      <c r="R27" s="76" t="b">
        <v>0</v>
      </c>
      <c r="S27" s="82" t="b">
        <v>0</v>
      </c>
      <c r="T27" s="76">
        <v>116.0</v>
      </c>
      <c r="U27" s="79" t="s">
        <v>96</v>
      </c>
      <c r="V27" s="83"/>
      <c r="W27" s="74"/>
      <c r="X27" s="86"/>
    </row>
    <row r="28">
      <c r="A28" s="75">
        <v>46147.0</v>
      </c>
      <c r="B28" s="76" t="s">
        <v>1341</v>
      </c>
      <c r="C28" s="77" t="s">
        <v>1342</v>
      </c>
      <c r="D28" s="76" t="s">
        <v>23</v>
      </c>
      <c r="E28" s="76"/>
      <c r="F28" s="76" t="s">
        <v>8</v>
      </c>
      <c r="G28" s="76">
        <v>500.0</v>
      </c>
      <c r="H28" s="76">
        <v>125.0</v>
      </c>
      <c r="I28" s="75">
        <v>46148.0</v>
      </c>
      <c r="J28" s="78">
        <v>16.3</v>
      </c>
      <c r="K28" s="76" t="s">
        <v>1190</v>
      </c>
      <c r="L28" s="79" t="b">
        <v>1</v>
      </c>
      <c r="M28" s="80">
        <f t="shared" si="3"/>
        <v>46148.32883</v>
      </c>
      <c r="N28" s="81" t="b">
        <v>1</v>
      </c>
      <c r="O28" s="80">
        <f t="shared" si="4"/>
        <v>46148.32884</v>
      </c>
      <c r="P28" s="76" t="s">
        <v>1190</v>
      </c>
      <c r="Q28" s="76" t="s">
        <v>11</v>
      </c>
      <c r="R28" s="76" t="b">
        <v>0</v>
      </c>
      <c r="S28" s="82" t="b">
        <v>0</v>
      </c>
      <c r="T28" s="76">
        <v>132.0</v>
      </c>
      <c r="U28" s="79" t="s">
        <v>96</v>
      </c>
      <c r="V28" s="83"/>
      <c r="W28" s="74"/>
      <c r="X28" s="86"/>
    </row>
    <row r="29">
      <c r="A29" s="75">
        <v>46147.0</v>
      </c>
      <c r="B29" s="76" t="s">
        <v>1343</v>
      </c>
      <c r="C29" s="77" t="s">
        <v>1344</v>
      </c>
      <c r="D29" s="76" t="s">
        <v>23</v>
      </c>
      <c r="E29" s="76"/>
      <c r="F29" s="76" t="s">
        <v>8</v>
      </c>
      <c r="G29" s="76">
        <v>100.0</v>
      </c>
      <c r="H29" s="76">
        <v>50.0</v>
      </c>
      <c r="I29" s="75">
        <v>46148.0</v>
      </c>
      <c r="J29" s="78">
        <v>17.0</v>
      </c>
      <c r="K29" s="76" t="s">
        <v>1190</v>
      </c>
      <c r="L29" s="79" t="b">
        <v>1</v>
      </c>
      <c r="M29" s="80">
        <f t="shared" si="3"/>
        <v>46147.82142</v>
      </c>
      <c r="N29" s="81" t="b">
        <v>1</v>
      </c>
      <c r="O29" s="80">
        <f t="shared" si="4"/>
        <v>46148.32868</v>
      </c>
      <c r="P29" s="76" t="s">
        <v>1190</v>
      </c>
      <c r="Q29" s="76" t="s">
        <v>11</v>
      </c>
      <c r="R29" s="76" t="b">
        <v>0</v>
      </c>
      <c r="S29" s="82" t="b">
        <v>0</v>
      </c>
      <c r="T29" s="76">
        <v>56.0</v>
      </c>
      <c r="U29" s="79" t="s">
        <v>96</v>
      </c>
      <c r="V29" s="83"/>
      <c r="W29" s="74"/>
      <c r="X29" s="86"/>
      <c r="AE29" s="87"/>
      <c r="AF29" s="87"/>
      <c r="AG29" s="87"/>
      <c r="AH29" s="87"/>
    </row>
    <row r="30">
      <c r="A30" s="75">
        <v>46149.0</v>
      </c>
      <c r="B30" s="76" t="s">
        <v>1345</v>
      </c>
      <c r="C30" s="77" t="s">
        <v>1346</v>
      </c>
      <c r="D30" s="76" t="s">
        <v>13</v>
      </c>
      <c r="E30" s="76"/>
      <c r="F30" s="76" t="s">
        <v>8</v>
      </c>
      <c r="G30" s="76">
        <v>100.0</v>
      </c>
      <c r="H30" s="76">
        <v>25.0</v>
      </c>
      <c r="I30" s="75">
        <v>46154.0</v>
      </c>
      <c r="J30" s="78">
        <v>17.0</v>
      </c>
      <c r="K30" s="76" t="s">
        <v>1190</v>
      </c>
      <c r="L30" s="79" t="b">
        <v>0</v>
      </c>
      <c r="M30" s="80" t="str">
        <f t="shared" si="3"/>
        <v/>
      </c>
      <c r="N30" s="131" t="b">
        <v>0</v>
      </c>
      <c r="O30" s="80" t="str">
        <f t="shared" si="4"/>
        <v/>
      </c>
      <c r="P30" s="76" t="s">
        <v>1190</v>
      </c>
      <c r="Q30" s="76" t="s">
        <v>11</v>
      </c>
      <c r="R30" s="76" t="b">
        <v>0</v>
      </c>
      <c r="S30" s="82" t="b">
        <v>0</v>
      </c>
      <c r="T30" s="76">
        <v>32.0</v>
      </c>
      <c r="U30" s="79"/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>
        <v>46149.0</v>
      </c>
      <c r="B31" s="76" t="s">
        <v>1347</v>
      </c>
      <c r="C31" s="77" t="s">
        <v>1348</v>
      </c>
      <c r="D31" s="76" t="s">
        <v>16</v>
      </c>
      <c r="E31" s="76"/>
      <c r="F31" s="76" t="s">
        <v>8</v>
      </c>
      <c r="G31" s="76">
        <v>200.0</v>
      </c>
      <c r="H31" s="76">
        <v>10.0</v>
      </c>
      <c r="I31" s="75">
        <v>46154.0</v>
      </c>
      <c r="J31" s="78">
        <v>17.0</v>
      </c>
      <c r="K31" s="76" t="s">
        <v>1190</v>
      </c>
      <c r="L31" s="79" t="b">
        <v>0</v>
      </c>
      <c r="M31" s="80" t="str">
        <f t="shared" si="3"/>
        <v/>
      </c>
      <c r="N31" s="131" t="b">
        <v>0</v>
      </c>
      <c r="O31" s="80" t="str">
        <f t="shared" si="4"/>
        <v/>
      </c>
      <c r="P31" s="76" t="s">
        <v>1190</v>
      </c>
      <c r="Q31" s="76" t="s">
        <v>11</v>
      </c>
      <c r="R31" s="76" t="b">
        <v>0</v>
      </c>
      <c r="S31" s="82" t="b">
        <v>0</v>
      </c>
      <c r="T31" s="76">
        <v>20.0</v>
      </c>
      <c r="U31" s="79"/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>
        <v>46149.0</v>
      </c>
      <c r="B32" s="76" t="s">
        <v>1349</v>
      </c>
      <c r="C32" s="77" t="s">
        <v>1350</v>
      </c>
      <c r="D32" s="76" t="s">
        <v>16</v>
      </c>
      <c r="E32" s="76"/>
      <c r="F32" s="76" t="s">
        <v>8</v>
      </c>
      <c r="G32" s="76">
        <v>100.0</v>
      </c>
      <c r="H32" s="76">
        <v>5.0</v>
      </c>
      <c r="I32" s="75">
        <v>46154.0</v>
      </c>
      <c r="J32" s="78">
        <v>17.0</v>
      </c>
      <c r="K32" s="76" t="s">
        <v>1190</v>
      </c>
      <c r="L32" s="79" t="b">
        <v>0</v>
      </c>
      <c r="M32" s="80" t="str">
        <f t="shared" si="3"/>
        <v/>
      </c>
      <c r="N32" s="131" t="b">
        <v>0</v>
      </c>
      <c r="O32" s="80" t="str">
        <f t="shared" si="4"/>
        <v/>
      </c>
      <c r="P32" s="76" t="s">
        <v>1190</v>
      </c>
      <c r="Q32" s="76" t="s">
        <v>11</v>
      </c>
      <c r="R32" s="76" t="b">
        <v>0</v>
      </c>
      <c r="S32" s="82" t="b">
        <v>0</v>
      </c>
      <c r="T32" s="76">
        <v>12.0</v>
      </c>
      <c r="U32" s="79"/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>
        <v>46149.0</v>
      </c>
      <c r="B33" s="76" t="s">
        <v>1351</v>
      </c>
      <c r="C33" s="77" t="s">
        <v>1352</v>
      </c>
      <c r="D33" s="76" t="s">
        <v>23</v>
      </c>
      <c r="E33" s="76"/>
      <c r="F33" s="76" t="s">
        <v>8</v>
      </c>
      <c r="G33" s="76">
        <v>200.0</v>
      </c>
      <c r="H33" s="76">
        <v>200.0</v>
      </c>
      <c r="I33" s="75">
        <v>46153.0</v>
      </c>
      <c r="J33" s="78">
        <v>17.0</v>
      </c>
      <c r="K33" s="76" t="s">
        <v>1190</v>
      </c>
      <c r="L33" s="79" t="b">
        <v>0</v>
      </c>
      <c r="M33" s="80" t="str">
        <f t="shared" si="3"/>
        <v/>
      </c>
      <c r="N33" s="131" t="b">
        <v>0</v>
      </c>
      <c r="O33" s="80" t="str">
        <f t="shared" si="4"/>
        <v/>
      </c>
      <c r="P33" s="76" t="s">
        <v>1190</v>
      </c>
      <c r="Q33" s="76" t="s">
        <v>11</v>
      </c>
      <c r="R33" s="76" t="b">
        <v>0</v>
      </c>
      <c r="S33" s="82" t="b">
        <v>0</v>
      </c>
      <c r="T33" s="76">
        <v>212.0</v>
      </c>
      <c r="U33" s="79"/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>
        <v>46149.0</v>
      </c>
      <c r="B34" s="76" t="s">
        <v>1353</v>
      </c>
      <c r="C34" s="77" t="s">
        <v>1354</v>
      </c>
      <c r="D34" s="76" t="s">
        <v>23</v>
      </c>
      <c r="E34" s="76"/>
      <c r="F34" s="76" t="s">
        <v>8</v>
      </c>
      <c r="G34" s="76">
        <v>500.0</v>
      </c>
      <c r="H34" s="76">
        <v>100.0</v>
      </c>
      <c r="I34" s="75">
        <v>46150.0</v>
      </c>
      <c r="J34" s="78">
        <v>17.0</v>
      </c>
      <c r="K34" s="76" t="s">
        <v>1190</v>
      </c>
      <c r="L34" s="79" t="b">
        <v>1</v>
      </c>
      <c r="M34" s="80">
        <f t="shared" si="3"/>
        <v>46150.44162</v>
      </c>
      <c r="N34" s="81" t="b">
        <v>1</v>
      </c>
      <c r="O34" s="80">
        <f t="shared" si="4"/>
        <v>46150.44164</v>
      </c>
      <c r="P34" s="76" t="s">
        <v>1190</v>
      </c>
      <c r="Q34" s="76" t="s">
        <v>11</v>
      </c>
      <c r="R34" s="76" t="b">
        <v>0</v>
      </c>
      <c r="S34" s="82" t="b">
        <v>0</v>
      </c>
      <c r="T34" s="76">
        <v>108.0</v>
      </c>
      <c r="U34" s="79" t="s">
        <v>96</v>
      </c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>
        <v>46149.0</v>
      </c>
      <c r="B35" s="76" t="s">
        <v>1355</v>
      </c>
      <c r="C35" s="77" t="s">
        <v>1356</v>
      </c>
      <c r="D35" s="76" t="s">
        <v>34</v>
      </c>
      <c r="E35" s="76"/>
      <c r="F35" s="76" t="s">
        <v>8</v>
      </c>
      <c r="G35" s="76">
        <v>500.0</v>
      </c>
      <c r="H35" s="76">
        <v>15.0</v>
      </c>
      <c r="I35" s="75">
        <v>46150.0</v>
      </c>
      <c r="J35" s="78">
        <v>17.0</v>
      </c>
      <c r="K35" s="76" t="s">
        <v>1190</v>
      </c>
      <c r="L35" s="79" t="b">
        <v>1</v>
      </c>
      <c r="M35" s="80">
        <f t="shared" si="3"/>
        <v>46151.35578</v>
      </c>
      <c r="N35" s="81" t="b">
        <v>1</v>
      </c>
      <c r="O35" s="80">
        <f t="shared" si="4"/>
        <v>46151.35579</v>
      </c>
      <c r="P35" s="76" t="s">
        <v>1190</v>
      </c>
      <c r="Q35" s="76" t="s">
        <v>38</v>
      </c>
      <c r="R35" s="76" t="b">
        <v>0</v>
      </c>
      <c r="S35" s="82" t="b">
        <v>0</v>
      </c>
      <c r="T35" s="76">
        <v>16.0</v>
      </c>
      <c r="U35" s="79" t="s">
        <v>96</v>
      </c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>
        <v>46149.0</v>
      </c>
      <c r="B36" s="76" t="s">
        <v>1357</v>
      </c>
      <c r="C36" s="77" t="s">
        <v>1358</v>
      </c>
      <c r="D36" s="76" t="s">
        <v>47</v>
      </c>
      <c r="E36" s="76"/>
      <c r="F36" s="76" t="s">
        <v>8</v>
      </c>
      <c r="G36" s="76">
        <v>300.0</v>
      </c>
      <c r="H36" s="76">
        <v>50.0</v>
      </c>
      <c r="I36" s="75">
        <v>46154.0</v>
      </c>
      <c r="J36" s="78">
        <v>17.0</v>
      </c>
      <c r="K36" s="76" t="s">
        <v>1190</v>
      </c>
      <c r="L36" s="79" t="b">
        <v>0</v>
      </c>
      <c r="M36" s="80" t="str">
        <f t="shared" si="3"/>
        <v/>
      </c>
      <c r="N36" s="131" t="b">
        <v>0</v>
      </c>
      <c r="O36" s="80" t="str">
        <f t="shared" si="4"/>
        <v/>
      </c>
      <c r="P36" s="76" t="s">
        <v>1190</v>
      </c>
      <c r="Q36" s="76" t="s">
        <v>11</v>
      </c>
      <c r="R36" s="76" t="b">
        <v>0</v>
      </c>
      <c r="S36" s="82" t="b">
        <v>0</v>
      </c>
      <c r="T36" s="76">
        <v>60.0</v>
      </c>
      <c r="U36" s="79"/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>
        <v>46149.0</v>
      </c>
      <c r="B37" s="76" t="s">
        <v>1359</v>
      </c>
      <c r="C37" s="77" t="s">
        <v>1360</v>
      </c>
      <c r="D37" s="76" t="s">
        <v>23</v>
      </c>
      <c r="E37" s="76"/>
      <c r="F37" s="76" t="s">
        <v>8</v>
      </c>
      <c r="G37" s="76">
        <v>100.0</v>
      </c>
      <c r="H37" s="76">
        <v>800.0</v>
      </c>
      <c r="I37" s="75">
        <v>46150.0</v>
      </c>
      <c r="J37" s="78">
        <v>17.0</v>
      </c>
      <c r="K37" s="76" t="s">
        <v>1190</v>
      </c>
      <c r="L37" s="79" t="b">
        <v>1</v>
      </c>
      <c r="M37" s="80">
        <f t="shared" si="3"/>
        <v>46150.35313</v>
      </c>
      <c r="N37" s="81" t="b">
        <v>1</v>
      </c>
      <c r="O37" s="80">
        <f t="shared" si="4"/>
        <v>46150.35314</v>
      </c>
      <c r="P37" s="76" t="s">
        <v>1190</v>
      </c>
      <c r="Q37" s="76" t="s">
        <v>11</v>
      </c>
      <c r="R37" s="76" t="b">
        <v>0</v>
      </c>
      <c r="S37" s="82" t="b">
        <v>0</v>
      </c>
      <c r="T37" s="76">
        <v>960.0</v>
      </c>
      <c r="U37" s="79" t="s">
        <v>96</v>
      </c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>
        <v>46149.0</v>
      </c>
      <c r="B38" s="76" t="s">
        <v>1361</v>
      </c>
      <c r="C38" s="77" t="s">
        <v>1362</v>
      </c>
      <c r="D38" s="76" t="s">
        <v>23</v>
      </c>
      <c r="E38" s="76"/>
      <c r="F38" s="76" t="s">
        <v>8</v>
      </c>
      <c r="G38" s="76">
        <v>200.0</v>
      </c>
      <c r="H38" s="76">
        <v>1200.0</v>
      </c>
      <c r="I38" s="75">
        <v>46157.0</v>
      </c>
      <c r="J38" s="78">
        <v>17.0</v>
      </c>
      <c r="K38" s="76" t="s">
        <v>1190</v>
      </c>
      <c r="L38" s="79" t="b">
        <v>0</v>
      </c>
      <c r="M38" s="80" t="str">
        <f t="shared" si="3"/>
        <v/>
      </c>
      <c r="N38" s="131" t="b">
        <v>0</v>
      </c>
      <c r="O38" s="80" t="str">
        <f t="shared" si="4"/>
        <v/>
      </c>
      <c r="P38" s="76" t="s">
        <v>1190</v>
      </c>
      <c r="Q38" s="76" t="s">
        <v>11</v>
      </c>
      <c r="R38" s="76" t="b">
        <v>0</v>
      </c>
      <c r="S38" s="82" t="b">
        <v>0</v>
      </c>
      <c r="T38" s="76">
        <v>1260.0</v>
      </c>
      <c r="U38" s="79"/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>
        <v>46149.0</v>
      </c>
      <c r="B39" s="76" t="s">
        <v>1363</v>
      </c>
      <c r="C39" s="77" t="s">
        <v>1364</v>
      </c>
      <c r="D39" s="76" t="s">
        <v>23</v>
      </c>
      <c r="E39" s="76"/>
      <c r="F39" s="76" t="s">
        <v>8</v>
      </c>
      <c r="G39" s="76">
        <v>200.0</v>
      </c>
      <c r="H39" s="76">
        <v>1200.0</v>
      </c>
      <c r="I39" s="75">
        <v>46156.0</v>
      </c>
      <c r="J39" s="78">
        <v>17.0</v>
      </c>
      <c r="K39" s="76" t="s">
        <v>1190</v>
      </c>
      <c r="L39" s="79" t="b">
        <v>0</v>
      </c>
      <c r="M39" s="80" t="str">
        <f t="shared" si="3"/>
        <v/>
      </c>
      <c r="N39" s="131" t="b">
        <v>0</v>
      </c>
      <c r="O39" s="80" t="str">
        <f t="shared" si="4"/>
        <v/>
      </c>
      <c r="P39" s="76" t="s">
        <v>1190</v>
      </c>
      <c r="Q39" s="76" t="s">
        <v>11</v>
      </c>
      <c r="R39" s="76" t="b">
        <v>0</v>
      </c>
      <c r="S39" s="82" t="b">
        <v>0</v>
      </c>
      <c r="T39" s="76">
        <v>1260.0</v>
      </c>
      <c r="U39" s="79"/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>
        <v>46149.0</v>
      </c>
      <c r="B40" s="76" t="s">
        <v>1365</v>
      </c>
      <c r="C40" s="77" t="s">
        <v>1366</v>
      </c>
      <c r="D40" s="76" t="s">
        <v>43</v>
      </c>
      <c r="E40" s="76"/>
      <c r="F40" s="76" t="s">
        <v>8</v>
      </c>
      <c r="G40" s="76">
        <v>500.0</v>
      </c>
      <c r="H40" s="76">
        <v>500.0</v>
      </c>
      <c r="I40" s="75">
        <v>46162.0</v>
      </c>
      <c r="J40" s="78">
        <v>17.0</v>
      </c>
      <c r="K40" s="76" t="s">
        <v>1190</v>
      </c>
      <c r="L40" s="79" t="b">
        <v>0</v>
      </c>
      <c r="M40" s="80" t="str">
        <f t="shared" si="3"/>
        <v/>
      </c>
      <c r="N40" s="131" t="b">
        <v>0</v>
      </c>
      <c r="O40" s="80" t="str">
        <f t="shared" si="4"/>
        <v/>
      </c>
      <c r="P40" s="76" t="s">
        <v>1190</v>
      </c>
      <c r="Q40" s="76" t="s">
        <v>38</v>
      </c>
      <c r="R40" s="76" t="b">
        <v>0</v>
      </c>
      <c r="S40" s="82" t="b">
        <v>0</v>
      </c>
      <c r="T40" s="76">
        <v>502.0</v>
      </c>
      <c r="U40" s="79"/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>
        <v>46149.0</v>
      </c>
      <c r="B41" s="76" t="s">
        <v>1367</v>
      </c>
      <c r="C41" s="77" t="s">
        <v>1368</v>
      </c>
      <c r="D41" s="76" t="s">
        <v>43</v>
      </c>
      <c r="E41" s="76"/>
      <c r="F41" s="76" t="s">
        <v>8</v>
      </c>
      <c r="G41" s="76">
        <v>10.0</v>
      </c>
      <c r="H41" s="76">
        <v>10.0</v>
      </c>
      <c r="I41" s="75">
        <v>46151.0</v>
      </c>
      <c r="J41" s="78">
        <v>17.0</v>
      </c>
      <c r="K41" s="76" t="s">
        <v>1190</v>
      </c>
      <c r="L41" s="79" t="b">
        <v>1</v>
      </c>
      <c r="M41" s="80">
        <f t="shared" si="3"/>
        <v>46153.44121</v>
      </c>
      <c r="N41" s="81" t="b">
        <v>1</v>
      </c>
      <c r="O41" s="80">
        <f t="shared" si="4"/>
        <v>46153.44121</v>
      </c>
      <c r="P41" s="76" t="s">
        <v>1190</v>
      </c>
      <c r="Q41" s="76" t="s">
        <v>38</v>
      </c>
      <c r="R41" s="76" t="b">
        <v>0</v>
      </c>
      <c r="S41" s="82" t="b">
        <v>0</v>
      </c>
      <c r="T41" s="76">
        <v>14.0</v>
      </c>
      <c r="U41" s="79" t="s">
        <v>96</v>
      </c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>
        <v>46149.0</v>
      </c>
      <c r="B42" s="76" t="s">
        <v>1369</v>
      </c>
      <c r="C42" s="77" t="s">
        <v>1370</v>
      </c>
      <c r="D42" s="76" t="s">
        <v>34</v>
      </c>
      <c r="E42" s="76"/>
      <c r="F42" s="76" t="s">
        <v>8</v>
      </c>
      <c r="G42" s="76">
        <v>5000.0</v>
      </c>
      <c r="H42" s="76">
        <v>55.0</v>
      </c>
      <c r="I42" s="75">
        <v>46156.0</v>
      </c>
      <c r="J42" s="78">
        <v>17.0</v>
      </c>
      <c r="K42" s="76" t="s">
        <v>1190</v>
      </c>
      <c r="L42" s="79" t="b">
        <v>0</v>
      </c>
      <c r="M42" s="80" t="str">
        <f t="shared" si="3"/>
        <v/>
      </c>
      <c r="N42" s="131" t="b">
        <v>0</v>
      </c>
      <c r="O42" s="80" t="str">
        <f t="shared" si="4"/>
        <v/>
      </c>
      <c r="P42" s="76" t="s">
        <v>1190</v>
      </c>
      <c r="Q42" s="76" t="s">
        <v>38</v>
      </c>
      <c r="R42" s="76" t="b">
        <v>0</v>
      </c>
      <c r="S42" s="82" t="b">
        <v>0</v>
      </c>
      <c r="T42" s="76">
        <v>56.0</v>
      </c>
      <c r="U42" s="79"/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>
        <v>46149.0</v>
      </c>
      <c r="B43" s="76" t="s">
        <v>1371</v>
      </c>
      <c r="C43" s="77" t="s">
        <v>1372</v>
      </c>
      <c r="D43" s="76" t="s">
        <v>34</v>
      </c>
      <c r="E43" s="76"/>
      <c r="F43" s="76" t="s">
        <v>8</v>
      </c>
      <c r="G43" s="76">
        <v>3000.0</v>
      </c>
      <c r="H43" s="76">
        <v>750.0</v>
      </c>
      <c r="I43" s="75">
        <v>46153.0</v>
      </c>
      <c r="J43" s="78">
        <v>17.0</v>
      </c>
      <c r="K43" s="76" t="s">
        <v>1190</v>
      </c>
      <c r="L43" s="79" t="b">
        <v>0</v>
      </c>
      <c r="M43" s="80" t="str">
        <f t="shared" si="3"/>
        <v/>
      </c>
      <c r="N43" s="131" t="b">
        <v>0</v>
      </c>
      <c r="O43" s="80" t="str">
        <f t="shared" si="4"/>
        <v/>
      </c>
      <c r="P43" s="76" t="s">
        <v>1190</v>
      </c>
      <c r="Q43" s="76" t="s">
        <v>38</v>
      </c>
      <c r="R43" s="76" t="b">
        <v>0</v>
      </c>
      <c r="S43" s="82" t="b">
        <v>0</v>
      </c>
      <c r="T43" s="76">
        <v>753.0</v>
      </c>
      <c r="U43" s="79"/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>
        <v>46149.0</v>
      </c>
      <c r="B44" s="76" t="s">
        <v>1332</v>
      </c>
      <c r="C44" s="77" t="s">
        <v>1373</v>
      </c>
      <c r="D44" s="76" t="s">
        <v>57</v>
      </c>
      <c r="E44" s="76"/>
      <c r="F44" s="76" t="s">
        <v>8</v>
      </c>
      <c r="G44" s="76">
        <v>9800.0</v>
      </c>
      <c r="H44" s="76">
        <v>32.0</v>
      </c>
      <c r="I44" s="75">
        <v>46155.0</v>
      </c>
      <c r="J44" s="78">
        <v>17.0</v>
      </c>
      <c r="K44" s="76" t="s">
        <v>1190</v>
      </c>
      <c r="L44" s="79" t="b">
        <v>0</v>
      </c>
      <c r="M44" s="80" t="str">
        <f t="shared" si="3"/>
        <v/>
      </c>
      <c r="N44" s="131" t="b">
        <v>0</v>
      </c>
      <c r="O44" s="80" t="str">
        <f t="shared" si="4"/>
        <v/>
      </c>
      <c r="P44" s="76" t="s">
        <v>1190</v>
      </c>
      <c r="Q44" s="76" t="s">
        <v>38</v>
      </c>
      <c r="R44" s="76" t="b">
        <v>0</v>
      </c>
      <c r="S44" s="82" t="b">
        <v>0</v>
      </c>
      <c r="T44" s="76">
        <v>40.0</v>
      </c>
      <c r="U44" s="79"/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>
        <v>46149.0</v>
      </c>
      <c r="B45" s="76" t="s">
        <v>1337</v>
      </c>
      <c r="C45" s="77" t="s">
        <v>1374</v>
      </c>
      <c r="D45" s="76" t="s">
        <v>57</v>
      </c>
      <c r="E45" s="76"/>
      <c r="F45" s="76" t="s">
        <v>8</v>
      </c>
      <c r="G45" s="76">
        <v>100000.0</v>
      </c>
      <c r="H45" s="76">
        <v>209.0</v>
      </c>
      <c r="I45" s="75">
        <v>46155.0</v>
      </c>
      <c r="J45" s="78">
        <v>17.0</v>
      </c>
      <c r="K45" s="76" t="s">
        <v>1190</v>
      </c>
      <c r="L45" s="79" t="b">
        <v>0</v>
      </c>
      <c r="M45" s="80" t="str">
        <f t="shared" si="3"/>
        <v/>
      </c>
      <c r="N45" s="131" t="b">
        <v>0</v>
      </c>
      <c r="O45" s="80" t="str">
        <f t="shared" si="4"/>
        <v/>
      </c>
      <c r="P45" s="76" t="s">
        <v>1190</v>
      </c>
      <c r="Q45" s="76" t="s">
        <v>38</v>
      </c>
      <c r="R45" s="76" t="b">
        <v>0</v>
      </c>
      <c r="S45" s="82" t="b">
        <v>0</v>
      </c>
      <c r="T45" s="76">
        <v>214.0</v>
      </c>
      <c r="U45" s="79"/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>
        <v>46149.0</v>
      </c>
      <c r="B46" s="76" t="s">
        <v>1375</v>
      </c>
      <c r="C46" s="77" t="s">
        <v>1376</v>
      </c>
      <c r="D46" s="76" t="s">
        <v>16</v>
      </c>
      <c r="E46" s="76"/>
      <c r="F46" s="76" t="s">
        <v>8</v>
      </c>
      <c r="G46" s="76">
        <v>100.0</v>
      </c>
      <c r="H46" s="76">
        <v>5.0</v>
      </c>
      <c r="I46" s="75">
        <v>46151.0</v>
      </c>
      <c r="J46" s="78">
        <v>17.0</v>
      </c>
      <c r="K46" s="76" t="s">
        <v>1190</v>
      </c>
      <c r="L46" s="79" t="b">
        <v>0</v>
      </c>
      <c r="M46" s="80" t="str">
        <f t="shared" si="3"/>
        <v/>
      </c>
      <c r="N46" s="131" t="b">
        <v>0</v>
      </c>
      <c r="O46" s="80" t="str">
        <f t="shared" si="4"/>
        <v/>
      </c>
      <c r="P46" s="76" t="s">
        <v>1190</v>
      </c>
      <c r="Q46" s="76" t="s">
        <v>11</v>
      </c>
      <c r="R46" s="76" t="b">
        <v>0</v>
      </c>
      <c r="S46" s="82" t="b">
        <v>0</v>
      </c>
      <c r="T46" s="76">
        <v>16.0</v>
      </c>
      <c r="U46" s="79"/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>
        <v>46149.0</v>
      </c>
      <c r="B47" s="76" t="s">
        <v>1377</v>
      </c>
      <c r="C47" s="77" t="s">
        <v>1378</v>
      </c>
      <c r="D47" s="76" t="s">
        <v>16</v>
      </c>
      <c r="E47" s="76"/>
      <c r="F47" s="76" t="s">
        <v>8</v>
      </c>
      <c r="G47" s="76">
        <v>400.0</v>
      </c>
      <c r="H47" s="76">
        <v>20.0</v>
      </c>
      <c r="I47" s="75">
        <v>46151.0</v>
      </c>
      <c r="J47" s="78">
        <v>17.0</v>
      </c>
      <c r="K47" s="76" t="s">
        <v>1190</v>
      </c>
      <c r="L47" s="79" t="b">
        <v>0</v>
      </c>
      <c r="M47" s="80" t="str">
        <f t="shared" si="3"/>
        <v/>
      </c>
      <c r="N47" s="131" t="b">
        <v>0</v>
      </c>
      <c r="O47" s="80" t="str">
        <f t="shared" si="4"/>
        <v/>
      </c>
      <c r="P47" s="76" t="s">
        <v>1190</v>
      </c>
      <c r="Q47" s="76" t="s">
        <v>11</v>
      </c>
      <c r="R47" s="76" t="b">
        <v>0</v>
      </c>
      <c r="S47" s="82" t="b">
        <v>0</v>
      </c>
      <c r="T47" s="76">
        <v>48.0</v>
      </c>
      <c r="U47" s="79"/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>
        <v>46150.0</v>
      </c>
      <c r="B48" s="76" t="s">
        <v>1379</v>
      </c>
      <c r="C48" s="77" t="s">
        <v>1380</v>
      </c>
      <c r="D48" s="76" t="s">
        <v>13</v>
      </c>
      <c r="E48" s="76"/>
      <c r="F48" s="76" t="s">
        <v>8</v>
      </c>
      <c r="G48" s="76">
        <v>50.0</v>
      </c>
      <c r="H48" s="76">
        <v>834.0</v>
      </c>
      <c r="I48" s="75">
        <v>46156.0</v>
      </c>
      <c r="J48" s="78">
        <v>10.0</v>
      </c>
      <c r="K48" s="76" t="s">
        <v>1190</v>
      </c>
      <c r="L48" s="79" t="b">
        <v>0</v>
      </c>
      <c r="M48" s="80" t="str">
        <f t="shared" si="3"/>
        <v/>
      </c>
      <c r="N48" s="131" t="b">
        <v>0</v>
      </c>
      <c r="O48" s="80" t="str">
        <f t="shared" si="4"/>
        <v/>
      </c>
      <c r="P48" s="76" t="s">
        <v>1190</v>
      </c>
      <c r="Q48" s="76" t="s">
        <v>11</v>
      </c>
      <c r="R48" s="76" t="b">
        <v>0</v>
      </c>
      <c r="S48" s="82" t="b">
        <v>0</v>
      </c>
      <c r="T48" s="76">
        <v>836.0</v>
      </c>
      <c r="U48" s="79"/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>
        <v>46150.0</v>
      </c>
      <c r="B49" s="76" t="s">
        <v>1381</v>
      </c>
      <c r="C49" s="77" t="s">
        <v>1382</v>
      </c>
      <c r="D49" s="76" t="s">
        <v>16</v>
      </c>
      <c r="E49" s="76"/>
      <c r="F49" s="76" t="s">
        <v>8</v>
      </c>
      <c r="G49" s="76">
        <v>400.0</v>
      </c>
      <c r="H49" s="76">
        <v>20.0</v>
      </c>
      <c r="I49" s="75">
        <v>46160.0</v>
      </c>
      <c r="J49" s="78">
        <v>15.0</v>
      </c>
      <c r="K49" s="76" t="s">
        <v>1190</v>
      </c>
      <c r="L49" s="79" t="b">
        <v>0</v>
      </c>
      <c r="M49" s="80" t="str">
        <f t="shared" si="3"/>
        <v/>
      </c>
      <c r="N49" s="131" t="b">
        <v>0</v>
      </c>
      <c r="O49" s="80" t="str">
        <f t="shared" si="4"/>
        <v/>
      </c>
      <c r="P49" s="76" t="s">
        <v>1190</v>
      </c>
      <c r="Q49" s="76" t="s">
        <v>11</v>
      </c>
      <c r="R49" s="76" t="b">
        <v>0</v>
      </c>
      <c r="S49" s="82" t="b">
        <v>0</v>
      </c>
      <c r="T49" s="76">
        <v>40.0</v>
      </c>
      <c r="U49" s="79"/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>
        <v>46150.0</v>
      </c>
      <c r="B50" s="76" t="s">
        <v>1383</v>
      </c>
      <c r="C50" s="77" t="s">
        <v>1384</v>
      </c>
      <c r="D50" s="76" t="s">
        <v>23</v>
      </c>
      <c r="E50" s="76"/>
      <c r="F50" s="76" t="s">
        <v>8</v>
      </c>
      <c r="G50" s="76">
        <v>200.0</v>
      </c>
      <c r="H50" s="76">
        <v>50.0</v>
      </c>
      <c r="I50" s="75">
        <v>46151.0</v>
      </c>
      <c r="J50" s="78">
        <v>15.0</v>
      </c>
      <c r="K50" s="76" t="s">
        <v>1190</v>
      </c>
      <c r="L50" s="79" t="b">
        <v>0</v>
      </c>
      <c r="M50" s="80" t="str">
        <f t="shared" si="3"/>
        <v/>
      </c>
      <c r="N50" s="131" t="b">
        <v>0</v>
      </c>
      <c r="O50" s="80" t="str">
        <f t="shared" si="4"/>
        <v/>
      </c>
      <c r="P50" s="76" t="s">
        <v>1190</v>
      </c>
      <c r="Q50" s="76" t="s">
        <v>11</v>
      </c>
      <c r="R50" s="76" t="b">
        <v>0</v>
      </c>
      <c r="S50" s="82" t="b">
        <v>0</v>
      </c>
      <c r="T50" s="76">
        <v>56.0</v>
      </c>
      <c r="U50" s="79"/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>
        <v>46150.0</v>
      </c>
      <c r="B51" s="76" t="s">
        <v>1385</v>
      </c>
      <c r="C51" s="77" t="s">
        <v>1386</v>
      </c>
      <c r="D51" s="76" t="s">
        <v>60</v>
      </c>
      <c r="E51" s="76"/>
      <c r="F51" s="76" t="s">
        <v>8</v>
      </c>
      <c r="G51" s="76">
        <v>8.0</v>
      </c>
      <c r="H51" s="76">
        <v>8.0</v>
      </c>
      <c r="I51" s="75">
        <v>46155.0</v>
      </c>
      <c r="J51" s="78">
        <v>15.0</v>
      </c>
      <c r="K51" s="76" t="s">
        <v>1190</v>
      </c>
      <c r="L51" s="79" t="b">
        <v>0</v>
      </c>
      <c r="M51" s="80" t="str">
        <f t="shared" si="3"/>
        <v/>
      </c>
      <c r="N51" s="131" t="b">
        <v>0</v>
      </c>
      <c r="O51" s="80" t="str">
        <f t="shared" si="4"/>
        <v/>
      </c>
      <c r="P51" s="76" t="s">
        <v>1190</v>
      </c>
      <c r="Q51" s="76" t="s">
        <v>11</v>
      </c>
      <c r="R51" s="76" t="b">
        <v>0</v>
      </c>
      <c r="S51" s="82" t="b">
        <v>0</v>
      </c>
      <c r="T51" s="76">
        <v>16.0</v>
      </c>
      <c r="U51" s="79"/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>
        <v>46150.0</v>
      </c>
      <c r="B52" s="76" t="s">
        <v>1345</v>
      </c>
      <c r="C52" s="77" t="s">
        <v>1387</v>
      </c>
      <c r="D52" s="76" t="s">
        <v>13</v>
      </c>
      <c r="E52" s="78"/>
      <c r="F52" s="76" t="s">
        <v>8</v>
      </c>
      <c r="G52" s="76">
        <v>100.0</v>
      </c>
      <c r="H52" s="76">
        <v>25.0</v>
      </c>
      <c r="I52" s="75">
        <v>46154.0</v>
      </c>
      <c r="J52" s="135">
        <v>15.0</v>
      </c>
      <c r="K52" s="76" t="s">
        <v>1190</v>
      </c>
      <c r="L52" s="79" t="b">
        <v>1</v>
      </c>
      <c r="M52" s="80">
        <f t="shared" si="3"/>
        <v>46151.46031</v>
      </c>
      <c r="N52" s="81" t="b">
        <v>1</v>
      </c>
      <c r="O52" s="80">
        <f t="shared" si="4"/>
        <v>46151.46032</v>
      </c>
      <c r="P52" s="76" t="s">
        <v>1190</v>
      </c>
      <c r="Q52" s="76" t="s">
        <v>11</v>
      </c>
      <c r="R52" s="76" t="b">
        <v>0</v>
      </c>
      <c r="S52" s="82" t="b">
        <v>0</v>
      </c>
      <c r="T52" s="76">
        <v>32.0</v>
      </c>
      <c r="U52" s="79" t="s">
        <v>96</v>
      </c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>
        <v>46144.0</v>
      </c>
      <c r="B53" s="76" t="s">
        <v>1388</v>
      </c>
      <c r="C53" s="77" t="s">
        <v>1389</v>
      </c>
      <c r="D53" s="76" t="s">
        <v>43</v>
      </c>
      <c r="E53" s="76"/>
      <c r="F53" s="76" t="s">
        <v>8</v>
      </c>
      <c r="G53" s="76">
        <v>51.0</v>
      </c>
      <c r="H53" s="76">
        <v>51.0</v>
      </c>
      <c r="I53" s="75">
        <v>46148.0</v>
      </c>
      <c r="J53" s="78">
        <v>10.0</v>
      </c>
      <c r="K53" s="76" t="s">
        <v>1190</v>
      </c>
      <c r="L53" s="79" t="b">
        <v>1</v>
      </c>
      <c r="M53" s="80">
        <f t="shared" si="3"/>
        <v>46151.45747</v>
      </c>
      <c r="N53" s="81" t="b">
        <v>1</v>
      </c>
      <c r="O53" s="80">
        <f t="shared" si="4"/>
        <v>46151.45748</v>
      </c>
      <c r="P53" s="76" t="s">
        <v>1190</v>
      </c>
      <c r="Q53" s="76" t="s">
        <v>38</v>
      </c>
      <c r="R53" s="76" t="b">
        <v>0</v>
      </c>
      <c r="S53" s="82" t="b">
        <v>0</v>
      </c>
      <c r="T53" s="76">
        <v>51.0</v>
      </c>
      <c r="U53" s="79" t="s">
        <v>96</v>
      </c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>
        <v>46151.0</v>
      </c>
      <c r="B54" s="76" t="s">
        <v>1390</v>
      </c>
      <c r="C54" s="77" t="s">
        <v>1391</v>
      </c>
      <c r="D54" s="76" t="s">
        <v>23</v>
      </c>
      <c r="E54" s="76"/>
      <c r="F54" s="76" t="s">
        <v>8</v>
      </c>
      <c r="G54" s="76">
        <v>1000.0</v>
      </c>
      <c r="H54" s="76">
        <v>500.0</v>
      </c>
      <c r="I54" s="75">
        <v>46153.0</v>
      </c>
      <c r="J54" s="78">
        <v>11.03</v>
      </c>
      <c r="K54" s="76" t="s">
        <v>1190</v>
      </c>
      <c r="L54" s="79" t="b">
        <v>0</v>
      </c>
      <c r="M54" s="80" t="str">
        <f t="shared" si="3"/>
        <v/>
      </c>
      <c r="N54" s="131" t="b">
        <v>0</v>
      </c>
      <c r="O54" s="80" t="str">
        <f t="shared" si="4"/>
        <v/>
      </c>
      <c r="P54" s="76" t="s">
        <v>1190</v>
      </c>
      <c r="Q54" s="76" t="s">
        <v>11</v>
      </c>
      <c r="R54" s="76" t="b">
        <v>0</v>
      </c>
      <c r="S54" s="82" t="b">
        <v>0</v>
      </c>
      <c r="T54" s="76">
        <v>508.0</v>
      </c>
      <c r="U54" s="79"/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>
        <v>46151.0</v>
      </c>
      <c r="B55" s="76" t="s">
        <v>1392</v>
      </c>
      <c r="C55" s="77" t="s">
        <v>1393</v>
      </c>
      <c r="D55" s="76" t="s">
        <v>23</v>
      </c>
      <c r="E55" s="76"/>
      <c r="F55" s="76" t="s">
        <v>8</v>
      </c>
      <c r="G55" s="76">
        <v>100.0</v>
      </c>
      <c r="H55" s="76">
        <v>50.0</v>
      </c>
      <c r="I55" s="75">
        <v>46154.0</v>
      </c>
      <c r="J55" s="78">
        <v>11.03</v>
      </c>
      <c r="K55" s="76" t="s">
        <v>1190</v>
      </c>
      <c r="L55" s="79" t="b">
        <v>0</v>
      </c>
      <c r="M55" s="80" t="str">
        <f t="shared" si="3"/>
        <v/>
      </c>
      <c r="N55" s="131" t="b">
        <v>0</v>
      </c>
      <c r="O55" s="80" t="str">
        <f t="shared" si="4"/>
        <v/>
      </c>
      <c r="P55" s="76" t="s">
        <v>1190</v>
      </c>
      <c r="Q55" s="76" t="s">
        <v>11</v>
      </c>
      <c r="R55" s="76" t="b">
        <v>0</v>
      </c>
      <c r="S55" s="82" t="b">
        <v>0</v>
      </c>
      <c r="T55" s="76">
        <v>60.0</v>
      </c>
      <c r="U55" s="79"/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>
        <v>46151.0</v>
      </c>
      <c r="B56" s="76" t="s">
        <v>1394</v>
      </c>
      <c r="C56" s="77" t="s">
        <v>1395</v>
      </c>
      <c r="D56" s="76" t="s">
        <v>23</v>
      </c>
      <c r="E56" s="76"/>
      <c r="F56" s="76" t="s">
        <v>8</v>
      </c>
      <c r="G56" s="76">
        <v>200.0</v>
      </c>
      <c r="H56" s="76">
        <v>100.0</v>
      </c>
      <c r="I56" s="75">
        <v>46154.0</v>
      </c>
      <c r="J56" s="78">
        <v>11.03</v>
      </c>
      <c r="K56" s="76" t="s">
        <v>1190</v>
      </c>
      <c r="L56" s="79" t="b">
        <v>0</v>
      </c>
      <c r="M56" s="80" t="str">
        <f t="shared" si="3"/>
        <v/>
      </c>
      <c r="N56" s="131" t="b">
        <v>0</v>
      </c>
      <c r="O56" s="80" t="str">
        <f t="shared" si="4"/>
        <v/>
      </c>
      <c r="P56" s="76" t="s">
        <v>1190</v>
      </c>
      <c r="Q56" s="76" t="s">
        <v>11</v>
      </c>
      <c r="R56" s="76" t="b">
        <v>0</v>
      </c>
      <c r="S56" s="82" t="b">
        <v>0</v>
      </c>
      <c r="T56" s="76">
        <v>108.0</v>
      </c>
      <c r="U56" s="79"/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>
        <v>46151.0</v>
      </c>
      <c r="B57" s="76" t="s">
        <v>1396</v>
      </c>
      <c r="C57" s="77"/>
      <c r="D57" s="76"/>
      <c r="E57" s="76"/>
      <c r="F57" s="76"/>
      <c r="G57" s="76"/>
      <c r="H57" s="76"/>
      <c r="I57" s="75"/>
      <c r="J57" s="78">
        <v>15.44</v>
      </c>
      <c r="K57" s="76"/>
      <c r="L57" s="79" t="b">
        <v>0</v>
      </c>
      <c r="M57" s="80" t="str">
        <f t="shared" si="3"/>
        <v/>
      </c>
      <c r="N57" s="131" t="b">
        <v>0</v>
      </c>
      <c r="O57" s="80" t="str">
        <f t="shared" si="4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>
        <v>46151.0</v>
      </c>
      <c r="B58" s="76" t="s">
        <v>1397</v>
      </c>
      <c r="C58" s="77"/>
      <c r="D58" s="76"/>
      <c r="E58" s="76"/>
      <c r="F58" s="76"/>
      <c r="G58" s="76"/>
      <c r="H58" s="76"/>
      <c r="I58" s="75"/>
      <c r="J58" s="78">
        <v>15.44</v>
      </c>
      <c r="K58" s="76"/>
      <c r="L58" s="79" t="b">
        <v>0</v>
      </c>
      <c r="M58" s="80" t="str">
        <f t="shared" si="3"/>
        <v/>
      </c>
      <c r="N58" s="131" t="b">
        <v>0</v>
      </c>
      <c r="O58" s="80" t="str">
        <f t="shared" si="4"/>
        <v/>
      </c>
      <c r="P58" s="76"/>
      <c r="Q58" s="76"/>
      <c r="R58" s="76" t="b">
        <v>0</v>
      </c>
      <c r="S58" s="82" t="b">
        <v>0</v>
      </c>
      <c r="T58" s="76"/>
      <c r="U58" s="79"/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>
        <v>46153.0</v>
      </c>
      <c r="B59" s="76" t="s">
        <v>1398</v>
      </c>
      <c r="C59" s="77"/>
      <c r="D59" s="76"/>
      <c r="E59" s="76"/>
      <c r="F59" s="76"/>
      <c r="G59" s="76"/>
      <c r="H59" s="76"/>
      <c r="I59" s="75"/>
      <c r="J59" s="78">
        <v>8.47</v>
      </c>
      <c r="K59" s="76"/>
      <c r="L59" s="79" t="b">
        <v>0</v>
      </c>
      <c r="M59" s="80" t="str">
        <f t="shared" si="3"/>
        <v/>
      </c>
      <c r="N59" s="131" t="b">
        <v>0</v>
      </c>
      <c r="O59" s="80" t="str">
        <f t="shared" si="4"/>
        <v/>
      </c>
      <c r="P59" s="76"/>
      <c r="Q59" s="76"/>
      <c r="R59" s="76" t="b">
        <v>0</v>
      </c>
      <c r="S59" s="82" t="b">
        <v>0</v>
      </c>
      <c r="T59" s="76"/>
      <c r="U59" s="79"/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>
        <v>46151.0</v>
      </c>
      <c r="B60" s="76" t="s">
        <v>1399</v>
      </c>
      <c r="C60" s="77" t="s">
        <v>1400</v>
      </c>
      <c r="D60" s="76" t="s">
        <v>33</v>
      </c>
      <c r="E60" s="76"/>
      <c r="F60" s="76" t="s">
        <v>8</v>
      </c>
      <c r="G60" s="76">
        <v>1080.0</v>
      </c>
      <c r="H60" s="76">
        <v>180.0</v>
      </c>
      <c r="I60" s="75">
        <v>46151.0</v>
      </c>
      <c r="J60" s="78">
        <v>10.0</v>
      </c>
      <c r="K60" s="76" t="s">
        <v>1190</v>
      </c>
      <c r="L60" s="79" t="b">
        <v>1</v>
      </c>
      <c r="M60" s="80">
        <f t="shared" si="3"/>
        <v>46154.55993</v>
      </c>
      <c r="N60" s="81" t="b">
        <v>1</v>
      </c>
      <c r="O60" s="80">
        <f t="shared" si="4"/>
        <v>46154.55994</v>
      </c>
      <c r="P60" s="76" t="s">
        <v>1190</v>
      </c>
      <c r="Q60" s="76" t="s">
        <v>11</v>
      </c>
      <c r="R60" s="76" t="b">
        <v>0</v>
      </c>
      <c r="S60" s="82" t="b">
        <v>0</v>
      </c>
      <c r="T60" s="76">
        <v>188.0</v>
      </c>
      <c r="U60" s="79" t="s">
        <v>96</v>
      </c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>
        <v>46153.0</v>
      </c>
      <c r="B61" s="76" t="s">
        <v>1401</v>
      </c>
      <c r="C61" s="77"/>
      <c r="D61" s="76"/>
      <c r="E61" s="76"/>
      <c r="F61" s="76"/>
      <c r="G61" s="76"/>
      <c r="H61" s="76"/>
      <c r="I61" s="75">
        <v>46154.0</v>
      </c>
      <c r="J61" s="78">
        <v>16.0</v>
      </c>
      <c r="K61" s="76"/>
      <c r="L61" s="79" t="b">
        <v>0</v>
      </c>
      <c r="M61" s="80" t="str">
        <f t="shared" si="3"/>
        <v/>
      </c>
      <c r="N61" s="131" t="b">
        <v>0</v>
      </c>
      <c r="O61" s="80" t="str">
        <f t="shared" si="4"/>
        <v/>
      </c>
      <c r="P61" s="76"/>
      <c r="Q61" s="76"/>
      <c r="R61" s="76" t="b">
        <v>0</v>
      </c>
      <c r="S61" s="82" t="b">
        <v>0</v>
      </c>
      <c r="T61" s="76"/>
      <c r="U61" s="79"/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>
        <v>46153.0</v>
      </c>
      <c r="B62" s="76" t="s">
        <v>1402</v>
      </c>
      <c r="C62" s="77" t="s">
        <v>1403</v>
      </c>
      <c r="D62" s="76" t="s">
        <v>23</v>
      </c>
      <c r="E62" s="76"/>
      <c r="F62" s="76" t="s">
        <v>8</v>
      </c>
      <c r="G62" s="76">
        <v>100.0</v>
      </c>
      <c r="H62" s="76">
        <v>25.0</v>
      </c>
      <c r="I62" s="75">
        <v>46156.0</v>
      </c>
      <c r="J62" s="78">
        <v>17.0</v>
      </c>
      <c r="K62" s="76" t="s">
        <v>1190</v>
      </c>
      <c r="L62" s="79" t="b">
        <v>1</v>
      </c>
      <c r="M62" s="80">
        <f t="shared" si="3"/>
        <v>46154.39392</v>
      </c>
      <c r="N62" s="81" t="b">
        <v>1</v>
      </c>
      <c r="O62" s="80">
        <f t="shared" si="4"/>
        <v>46154.39394</v>
      </c>
      <c r="P62" s="76" t="s">
        <v>1190</v>
      </c>
      <c r="Q62" s="76" t="s">
        <v>11</v>
      </c>
      <c r="R62" s="76" t="b">
        <v>0</v>
      </c>
      <c r="S62" s="82" t="b">
        <v>0</v>
      </c>
      <c r="T62" s="76">
        <v>32.0</v>
      </c>
      <c r="U62" s="79" t="s">
        <v>96</v>
      </c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>
        <v>46153.0</v>
      </c>
      <c r="B63" s="76" t="s">
        <v>1398</v>
      </c>
      <c r="C63" s="77"/>
      <c r="D63" s="76"/>
      <c r="E63" s="76"/>
      <c r="F63" s="76"/>
      <c r="G63" s="76"/>
      <c r="H63" s="76"/>
      <c r="I63" s="75"/>
      <c r="J63" s="78">
        <v>17.0</v>
      </c>
      <c r="K63" s="76" t="s">
        <v>1190</v>
      </c>
      <c r="L63" s="79" t="b">
        <v>1</v>
      </c>
      <c r="M63" s="80">
        <f t="shared" si="3"/>
        <v>46154.79618</v>
      </c>
      <c r="N63" s="81" t="b">
        <v>1</v>
      </c>
      <c r="O63" s="80">
        <f t="shared" si="4"/>
        <v>46154.79902</v>
      </c>
      <c r="P63" s="76" t="s">
        <v>1190</v>
      </c>
      <c r="Q63" s="76" t="s">
        <v>11</v>
      </c>
      <c r="R63" s="76" t="b">
        <v>0</v>
      </c>
      <c r="S63" s="82" t="b">
        <v>0</v>
      </c>
      <c r="T63" s="76">
        <v>32.0</v>
      </c>
      <c r="U63" s="79" t="s">
        <v>96</v>
      </c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>
        <v>46153.0</v>
      </c>
      <c r="B64" s="76" t="s">
        <v>1404</v>
      </c>
      <c r="C64" s="77" t="s">
        <v>1405</v>
      </c>
      <c r="D64" s="76" t="s">
        <v>47</v>
      </c>
      <c r="E64" s="76"/>
      <c r="F64" s="76" t="s">
        <v>8</v>
      </c>
      <c r="G64" s="76">
        <v>1600.0</v>
      </c>
      <c r="H64" s="76">
        <v>134.0</v>
      </c>
      <c r="I64" s="75">
        <v>46154.0</v>
      </c>
      <c r="J64" s="78">
        <v>17.0</v>
      </c>
      <c r="K64" s="76" t="s">
        <v>1190</v>
      </c>
      <c r="L64" s="79" t="b">
        <v>1</v>
      </c>
      <c r="M64" s="80">
        <f t="shared" si="3"/>
        <v>46155.6728</v>
      </c>
      <c r="N64" s="81" t="b">
        <v>1</v>
      </c>
      <c r="O64" s="80">
        <f t="shared" si="4"/>
        <v>46155.67282</v>
      </c>
      <c r="P64" s="76" t="s">
        <v>1190</v>
      </c>
      <c r="Q64" s="76" t="s">
        <v>11</v>
      </c>
      <c r="R64" s="76" t="b">
        <v>0</v>
      </c>
      <c r="S64" s="82" t="b">
        <v>0</v>
      </c>
      <c r="T64" s="76">
        <v>144.0</v>
      </c>
      <c r="U64" s="79"/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>
        <v>46153.0</v>
      </c>
      <c r="B65" s="76" t="s">
        <v>1406</v>
      </c>
      <c r="C65" s="77"/>
      <c r="D65" s="76"/>
      <c r="E65" s="76"/>
      <c r="F65" s="76"/>
      <c r="G65" s="76"/>
      <c r="H65" s="76"/>
      <c r="I65" s="75">
        <v>46165.0</v>
      </c>
      <c r="J65" s="78">
        <v>17.0</v>
      </c>
      <c r="K65" s="76"/>
      <c r="L65" s="79" t="b">
        <v>0</v>
      </c>
      <c r="M65" s="80" t="str">
        <f t="shared" si="3"/>
        <v/>
      </c>
      <c r="N65" s="131" t="b">
        <v>0</v>
      </c>
      <c r="O65" s="80" t="str">
        <f t="shared" si="4"/>
        <v/>
      </c>
      <c r="P65" s="76"/>
      <c r="Q65" s="76"/>
      <c r="R65" s="76" t="b">
        <v>0</v>
      </c>
      <c r="S65" s="82" t="b">
        <v>0</v>
      </c>
      <c r="T65" s="76"/>
      <c r="U65" s="79"/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>
        <v>46153.0</v>
      </c>
      <c r="B66" s="76" t="s">
        <v>1407</v>
      </c>
      <c r="C66" s="77"/>
      <c r="D66" s="76"/>
      <c r="E66" s="76"/>
      <c r="F66" s="76"/>
      <c r="G66" s="76"/>
      <c r="H66" s="76"/>
      <c r="I66" s="75">
        <v>46155.0</v>
      </c>
      <c r="J66" s="78">
        <v>17.0</v>
      </c>
      <c r="K66" s="76"/>
      <c r="L66" s="79" t="b">
        <v>0</v>
      </c>
      <c r="M66" s="80" t="str">
        <f t="shared" si="3"/>
        <v/>
      </c>
      <c r="N66" s="131" t="b">
        <v>0</v>
      </c>
      <c r="O66" s="80" t="str">
        <f t="shared" si="4"/>
        <v/>
      </c>
      <c r="P66" s="76"/>
      <c r="Q66" s="76"/>
      <c r="R66" s="76" t="b">
        <v>0</v>
      </c>
      <c r="S66" s="82" t="b">
        <v>0</v>
      </c>
      <c r="T66" s="76"/>
      <c r="U66" s="79"/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>
        <v>46153.0</v>
      </c>
      <c r="B67" s="76" t="s">
        <v>1357</v>
      </c>
      <c r="C67" s="77" t="s">
        <v>1358</v>
      </c>
      <c r="D67" s="76" t="s">
        <v>15</v>
      </c>
      <c r="E67" s="76"/>
      <c r="F67" s="76" t="s">
        <v>8</v>
      </c>
      <c r="G67" s="76">
        <v>300.0</v>
      </c>
      <c r="H67" s="76">
        <v>37.0</v>
      </c>
      <c r="I67" s="75">
        <v>46154.0</v>
      </c>
      <c r="J67" s="78">
        <v>17.0</v>
      </c>
      <c r="K67" s="76" t="s">
        <v>1190</v>
      </c>
      <c r="L67" s="79" t="b">
        <v>1</v>
      </c>
      <c r="M67" s="80">
        <f t="shared" si="3"/>
        <v>46155.45169</v>
      </c>
      <c r="N67" s="81" t="b">
        <v>1</v>
      </c>
      <c r="O67" s="80">
        <f t="shared" si="4"/>
        <v>46155.45171</v>
      </c>
      <c r="P67" s="76" t="s">
        <v>1190</v>
      </c>
      <c r="Q67" s="76" t="s">
        <v>11</v>
      </c>
      <c r="R67" s="76" t="b">
        <v>0</v>
      </c>
      <c r="S67" s="82" t="b">
        <v>0</v>
      </c>
      <c r="T67" s="76">
        <v>42.0</v>
      </c>
      <c r="U67" s="79"/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>
        <v>46154.0</v>
      </c>
      <c r="B68" s="76" t="s">
        <v>1408</v>
      </c>
      <c r="C68" s="77" t="s">
        <v>1409</v>
      </c>
      <c r="D68" s="76" t="s">
        <v>23</v>
      </c>
      <c r="E68" s="76"/>
      <c r="F68" s="76" t="s">
        <v>8</v>
      </c>
      <c r="G68" s="76">
        <v>300.0</v>
      </c>
      <c r="H68" s="76">
        <v>150.0</v>
      </c>
      <c r="I68" s="75">
        <v>46155.0</v>
      </c>
      <c r="J68" s="78">
        <v>17.0</v>
      </c>
      <c r="K68" s="76" t="s">
        <v>1190</v>
      </c>
      <c r="L68" s="79" t="b">
        <v>1</v>
      </c>
      <c r="M68" s="80">
        <f t="shared" si="3"/>
        <v>46154.78502</v>
      </c>
      <c r="N68" s="81" t="b">
        <v>1</v>
      </c>
      <c r="O68" s="80">
        <f t="shared" si="4"/>
        <v>46154.79</v>
      </c>
      <c r="P68" s="76" t="s">
        <v>1190</v>
      </c>
      <c r="Q68" s="76" t="s">
        <v>11</v>
      </c>
      <c r="R68" s="76" t="b">
        <v>0</v>
      </c>
      <c r="S68" s="82" t="b">
        <v>0</v>
      </c>
      <c r="T68" s="76">
        <v>168.0</v>
      </c>
      <c r="U68" s="79" t="s">
        <v>96</v>
      </c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>
        <v>46153.0</v>
      </c>
      <c r="B69" s="76" t="s">
        <v>1371</v>
      </c>
      <c r="C69" s="77" t="s">
        <v>1372</v>
      </c>
      <c r="D69" s="76" t="s">
        <v>34</v>
      </c>
      <c r="E69" s="76"/>
      <c r="F69" s="76" t="s">
        <v>8</v>
      </c>
      <c r="G69" s="76">
        <v>3000.0</v>
      </c>
      <c r="H69" s="76">
        <v>750.0</v>
      </c>
      <c r="I69" s="75">
        <v>46155.0</v>
      </c>
      <c r="J69" s="78">
        <v>17.0</v>
      </c>
      <c r="K69" s="76" t="s">
        <v>1190</v>
      </c>
      <c r="L69" s="79" t="b">
        <v>1</v>
      </c>
      <c r="M69" s="80">
        <f t="shared" si="3"/>
        <v>46155.37859</v>
      </c>
      <c r="N69" s="81" t="b">
        <v>1</v>
      </c>
      <c r="O69" s="80">
        <f t="shared" si="4"/>
        <v>46155.37863</v>
      </c>
      <c r="P69" s="76" t="s">
        <v>1190</v>
      </c>
      <c r="Q69" s="76" t="s">
        <v>38</v>
      </c>
      <c r="R69" s="76" t="b">
        <v>0</v>
      </c>
      <c r="S69" s="82" t="b">
        <v>0</v>
      </c>
      <c r="T69" s="76">
        <v>753.0</v>
      </c>
      <c r="U69" s="79"/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>
        <v>46151.0</v>
      </c>
      <c r="B70" s="76" t="s">
        <v>1399</v>
      </c>
      <c r="C70" s="77" t="s">
        <v>1400</v>
      </c>
      <c r="D70" s="76" t="s">
        <v>33</v>
      </c>
      <c r="E70" s="76"/>
      <c r="F70" s="76" t="s">
        <v>8</v>
      </c>
      <c r="G70" s="76">
        <v>1080.0</v>
      </c>
      <c r="H70" s="76">
        <v>180.0</v>
      </c>
      <c r="I70" s="75">
        <v>46154.0</v>
      </c>
      <c r="J70" s="78">
        <v>17.0</v>
      </c>
      <c r="K70" s="76" t="s">
        <v>1190</v>
      </c>
      <c r="L70" s="79" t="b">
        <v>1</v>
      </c>
      <c r="M70" s="80">
        <f t="shared" si="3"/>
        <v>46154.73777</v>
      </c>
      <c r="N70" s="81" t="b">
        <v>1</v>
      </c>
      <c r="O70" s="80">
        <f t="shared" si="4"/>
        <v>46154.73778</v>
      </c>
      <c r="P70" s="76" t="s">
        <v>1190</v>
      </c>
      <c r="Q70" s="76" t="s">
        <v>11</v>
      </c>
      <c r="R70" s="76" t="b">
        <v>0</v>
      </c>
      <c r="S70" s="82" t="b">
        <v>0</v>
      </c>
      <c r="T70" s="76">
        <v>188.0</v>
      </c>
      <c r="U70" s="79" t="s">
        <v>96</v>
      </c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>
        <v>46155.0</v>
      </c>
      <c r="B71" s="76" t="s">
        <v>1410</v>
      </c>
      <c r="C71" s="77" t="s">
        <v>1411</v>
      </c>
      <c r="D71" s="76" t="s">
        <v>23</v>
      </c>
      <c r="E71" s="76"/>
      <c r="F71" s="76" t="s">
        <v>8</v>
      </c>
      <c r="G71" s="76">
        <v>300.0</v>
      </c>
      <c r="H71" s="76">
        <v>75.0</v>
      </c>
      <c r="I71" s="75">
        <v>46158.0</v>
      </c>
      <c r="J71" s="78">
        <v>10.0</v>
      </c>
      <c r="K71" s="76" t="s">
        <v>1190</v>
      </c>
      <c r="L71" s="79" t="b">
        <v>1</v>
      </c>
      <c r="M71" s="80">
        <f t="shared" si="3"/>
        <v>46155.52443</v>
      </c>
      <c r="N71" s="81" t="b">
        <v>1</v>
      </c>
      <c r="O71" s="80">
        <f t="shared" si="4"/>
        <v>46155.52444</v>
      </c>
      <c r="P71" s="76" t="s">
        <v>1190</v>
      </c>
      <c r="Q71" s="76" t="s">
        <v>11</v>
      </c>
      <c r="R71" s="76" t="b">
        <v>0</v>
      </c>
      <c r="S71" s="82" t="b">
        <v>0</v>
      </c>
      <c r="T71" s="76">
        <v>80.0</v>
      </c>
      <c r="U71" s="79" t="s">
        <v>96</v>
      </c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>
        <v>46155.0</v>
      </c>
      <c r="B72" s="76" t="s">
        <v>1412</v>
      </c>
      <c r="C72" s="77" t="s">
        <v>1413</v>
      </c>
      <c r="D72" s="76" t="s">
        <v>23</v>
      </c>
      <c r="E72" s="76"/>
      <c r="F72" s="76" t="s">
        <v>8</v>
      </c>
      <c r="G72" s="76">
        <v>200.0</v>
      </c>
      <c r="H72" s="76">
        <v>100.0</v>
      </c>
      <c r="I72" s="75">
        <v>46158.0</v>
      </c>
      <c r="J72" s="78">
        <v>10.0</v>
      </c>
      <c r="K72" s="76" t="s">
        <v>1190</v>
      </c>
      <c r="L72" s="79" t="b">
        <v>1</v>
      </c>
      <c r="M72" s="80">
        <f t="shared" si="3"/>
        <v>46155.55012</v>
      </c>
      <c r="N72" s="81" t="b">
        <v>1</v>
      </c>
      <c r="O72" s="80">
        <f t="shared" si="4"/>
        <v>46155.55013</v>
      </c>
      <c r="P72" s="76" t="s">
        <v>1190</v>
      </c>
      <c r="Q72" s="76" t="s">
        <v>11</v>
      </c>
      <c r="R72" s="76" t="b">
        <v>0</v>
      </c>
      <c r="S72" s="82" t="b">
        <v>0</v>
      </c>
      <c r="T72" s="76">
        <v>108.0</v>
      </c>
      <c r="U72" s="79" t="s">
        <v>96</v>
      </c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>
        <v>46155.0</v>
      </c>
      <c r="B73" s="76" t="s">
        <v>1414</v>
      </c>
      <c r="C73" s="77" t="s">
        <v>1415</v>
      </c>
      <c r="D73" s="76" t="s">
        <v>34</v>
      </c>
      <c r="E73" s="76"/>
      <c r="F73" s="76" t="s">
        <v>8</v>
      </c>
      <c r="G73" s="76">
        <v>8400.0</v>
      </c>
      <c r="H73" s="76">
        <v>72.0</v>
      </c>
      <c r="I73" s="75">
        <v>46161.0</v>
      </c>
      <c r="J73" s="78">
        <v>10.0</v>
      </c>
      <c r="K73" s="76" t="s">
        <v>1190</v>
      </c>
      <c r="L73" s="79" t="b">
        <v>0</v>
      </c>
      <c r="M73" s="80" t="str">
        <f t="shared" si="3"/>
        <v/>
      </c>
      <c r="N73" s="131" t="b">
        <v>0</v>
      </c>
      <c r="O73" s="80" t="str">
        <f t="shared" si="4"/>
        <v/>
      </c>
      <c r="P73" s="76" t="s">
        <v>1190</v>
      </c>
      <c r="Q73" s="76" t="s">
        <v>38</v>
      </c>
      <c r="R73" s="76" t="b">
        <v>0</v>
      </c>
      <c r="S73" s="82" t="b">
        <v>0</v>
      </c>
      <c r="T73" s="76">
        <v>73.0</v>
      </c>
      <c r="U73" s="79"/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>
        <v>46155.0</v>
      </c>
      <c r="B74" s="76" t="s">
        <v>1416</v>
      </c>
      <c r="C74" s="77" t="s">
        <v>1417</v>
      </c>
      <c r="D74" s="76" t="s">
        <v>34</v>
      </c>
      <c r="E74" s="76"/>
      <c r="F74" s="76" t="s">
        <v>8</v>
      </c>
      <c r="G74" s="76">
        <v>2400.0</v>
      </c>
      <c r="H74" s="76">
        <v>172.0</v>
      </c>
      <c r="I74" s="75">
        <v>46158.0</v>
      </c>
      <c r="J74" s="78">
        <v>13.56</v>
      </c>
      <c r="K74" s="76" t="s">
        <v>1190</v>
      </c>
      <c r="L74" s="79" t="b">
        <v>0</v>
      </c>
      <c r="M74" s="80" t="str">
        <f t="shared" si="3"/>
        <v/>
      </c>
      <c r="N74" s="131" t="b">
        <v>0</v>
      </c>
      <c r="O74" s="80" t="str">
        <f t="shared" si="4"/>
        <v/>
      </c>
      <c r="P74" s="76" t="s">
        <v>1190</v>
      </c>
      <c r="Q74" s="76" t="s">
        <v>38</v>
      </c>
      <c r="R74" s="76" t="b">
        <v>0</v>
      </c>
      <c r="S74" s="82" t="b">
        <v>0</v>
      </c>
      <c r="T74" s="76">
        <v>173.0</v>
      </c>
      <c r="U74" s="79"/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>
        <v>46155.0</v>
      </c>
      <c r="B75" s="76" t="s">
        <v>1418</v>
      </c>
      <c r="C75" s="77" t="s">
        <v>1419</v>
      </c>
      <c r="D75" s="76" t="s">
        <v>23</v>
      </c>
      <c r="E75" s="76"/>
      <c r="F75" s="76" t="s">
        <v>8</v>
      </c>
      <c r="G75" s="76">
        <v>200.0</v>
      </c>
      <c r="H75" s="76">
        <v>100.0</v>
      </c>
      <c r="I75" s="75">
        <v>46160.0</v>
      </c>
      <c r="J75" s="78">
        <v>13.56</v>
      </c>
      <c r="K75" s="76" t="s">
        <v>1190</v>
      </c>
      <c r="L75" s="79" t="b">
        <v>0</v>
      </c>
      <c r="M75" s="80" t="str">
        <f t="shared" si="3"/>
        <v/>
      </c>
      <c r="N75" s="131" t="b">
        <v>0</v>
      </c>
      <c r="O75" s="80" t="str">
        <f t="shared" si="4"/>
        <v/>
      </c>
      <c r="P75" s="76" t="s">
        <v>1190</v>
      </c>
      <c r="Q75" s="76" t="s">
        <v>11</v>
      </c>
      <c r="R75" s="76" t="b">
        <v>0</v>
      </c>
      <c r="S75" s="82" t="b">
        <v>0</v>
      </c>
      <c r="T75" s="76">
        <v>108.0</v>
      </c>
      <c r="U75" s="79"/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>
        <v>46155.0</v>
      </c>
      <c r="B76" s="76" t="s">
        <v>1420</v>
      </c>
      <c r="C76" s="77" t="s">
        <v>1421</v>
      </c>
      <c r="D76" s="76" t="s">
        <v>16</v>
      </c>
      <c r="E76" s="76"/>
      <c r="F76" s="76" t="s">
        <v>8</v>
      </c>
      <c r="G76" s="76">
        <v>200.0</v>
      </c>
      <c r="H76" s="76">
        <v>10.0</v>
      </c>
      <c r="I76" s="75">
        <v>46160.0</v>
      </c>
      <c r="J76" s="78">
        <v>15.38</v>
      </c>
      <c r="K76" s="76" t="s">
        <v>1190</v>
      </c>
      <c r="L76" s="79" t="b">
        <v>0</v>
      </c>
      <c r="M76" s="80" t="str">
        <f t="shared" si="3"/>
        <v/>
      </c>
      <c r="N76" s="131" t="b">
        <v>0</v>
      </c>
      <c r="O76" s="80" t="str">
        <f t="shared" si="4"/>
        <v/>
      </c>
      <c r="P76" s="76" t="s">
        <v>1190</v>
      </c>
      <c r="Q76" s="76" t="s">
        <v>11</v>
      </c>
      <c r="R76" s="76" t="b">
        <v>0</v>
      </c>
      <c r="S76" s="82" t="b">
        <v>0</v>
      </c>
      <c r="T76" s="76">
        <v>20.0</v>
      </c>
      <c r="U76" s="79"/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>
        <v>46155.0</v>
      </c>
      <c r="B77" s="76" t="s">
        <v>1422</v>
      </c>
      <c r="C77" s="77" t="s">
        <v>1423</v>
      </c>
      <c r="D77" s="76" t="s">
        <v>47</v>
      </c>
      <c r="E77" s="76"/>
      <c r="F77" s="76" t="s">
        <v>8</v>
      </c>
      <c r="G77" s="76">
        <v>10.0</v>
      </c>
      <c r="H77" s="76">
        <v>40.0</v>
      </c>
      <c r="I77" s="75">
        <v>46164.0</v>
      </c>
      <c r="J77" s="78">
        <v>15.38</v>
      </c>
      <c r="K77" s="76" t="s">
        <v>1190</v>
      </c>
      <c r="L77" s="79" t="b">
        <v>0</v>
      </c>
      <c r="M77" s="80" t="str">
        <f t="shared" si="3"/>
        <v/>
      </c>
      <c r="N77" s="131" t="b">
        <v>0</v>
      </c>
      <c r="O77" s="80" t="str">
        <f t="shared" si="4"/>
        <v/>
      </c>
      <c r="P77" s="76" t="s">
        <v>1190</v>
      </c>
      <c r="Q77" s="76" t="s">
        <v>11</v>
      </c>
      <c r="R77" s="76" t="b">
        <v>0</v>
      </c>
      <c r="S77" s="82" t="b">
        <v>0</v>
      </c>
      <c r="T77" s="76">
        <v>40.0</v>
      </c>
      <c r="U77" s="79"/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>
        <v>46155.0</v>
      </c>
      <c r="B78" s="76" t="s">
        <v>1424</v>
      </c>
      <c r="C78" s="77" t="s">
        <v>1425</v>
      </c>
      <c r="D78" s="76" t="s">
        <v>23</v>
      </c>
      <c r="E78" s="76"/>
      <c r="F78" s="76" t="s">
        <v>8</v>
      </c>
      <c r="G78" s="76">
        <v>200.0</v>
      </c>
      <c r="H78" s="76">
        <v>50.0</v>
      </c>
      <c r="I78" s="75">
        <v>46160.0</v>
      </c>
      <c r="J78" s="78">
        <v>16.07</v>
      </c>
      <c r="K78" s="76" t="s">
        <v>1190</v>
      </c>
      <c r="L78" s="79" t="b">
        <v>0</v>
      </c>
      <c r="M78" s="80" t="str">
        <f t="shared" si="3"/>
        <v/>
      </c>
      <c r="N78" s="131" t="b">
        <v>0</v>
      </c>
      <c r="O78" s="80" t="str">
        <f t="shared" si="4"/>
        <v/>
      </c>
      <c r="P78" s="76" t="s">
        <v>1190</v>
      </c>
      <c r="Q78" s="76" t="s">
        <v>11</v>
      </c>
      <c r="R78" s="76" t="b">
        <v>0</v>
      </c>
      <c r="S78" s="82" t="b">
        <v>0</v>
      </c>
      <c r="T78" s="76">
        <v>56.0</v>
      </c>
      <c r="U78" s="79"/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76"/>
      <c r="C79" s="77"/>
      <c r="D79" s="76"/>
      <c r="E79" s="76"/>
      <c r="F79" s="76"/>
      <c r="G79" s="76"/>
      <c r="H79" s="76"/>
      <c r="I79" s="75"/>
      <c r="J79" s="78"/>
      <c r="K79" s="76"/>
      <c r="L79" s="79" t="b">
        <v>0</v>
      </c>
      <c r="M79" s="80" t="str">
        <f t="shared" si="3"/>
        <v/>
      </c>
      <c r="N79" s="131" t="b">
        <v>0</v>
      </c>
      <c r="O79" s="80" t="str">
        <f t="shared" si="4"/>
        <v/>
      </c>
      <c r="P79" s="76"/>
      <c r="Q79" s="76"/>
      <c r="R79" s="76" t="b">
        <v>0</v>
      </c>
      <c r="S79" s="82" t="b">
        <v>0</v>
      </c>
      <c r="T79" s="76"/>
      <c r="U79" s="79"/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/>
      <c r="B80" s="76"/>
      <c r="C80" s="77"/>
      <c r="D80" s="76"/>
      <c r="E80" s="76"/>
      <c r="F80" s="76"/>
      <c r="G80" s="76"/>
      <c r="H80" s="76"/>
      <c r="I80" s="75"/>
      <c r="J80" s="78"/>
      <c r="K80" s="76"/>
      <c r="L80" s="79" t="b">
        <v>0</v>
      </c>
      <c r="M80" s="80" t="str">
        <f t="shared" si="3"/>
        <v/>
      </c>
      <c r="N80" s="131" t="b">
        <v>0</v>
      </c>
      <c r="O80" s="80" t="str">
        <f t="shared" si="4"/>
        <v/>
      </c>
      <c r="P80" s="76"/>
      <c r="Q80" s="76"/>
      <c r="R80" s="76" t="b">
        <v>0</v>
      </c>
      <c r="S80" s="82" t="b">
        <v>0</v>
      </c>
      <c r="T80" s="76"/>
      <c r="U80" s="79"/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76"/>
      <c r="C81" s="77"/>
      <c r="D81" s="76"/>
      <c r="E81" s="76"/>
      <c r="F81" s="76"/>
      <c r="G81" s="76"/>
      <c r="H81" s="76"/>
      <c r="I81" s="75"/>
      <c r="J81" s="78"/>
      <c r="K81" s="76"/>
      <c r="L81" s="79" t="b">
        <v>0</v>
      </c>
      <c r="M81" s="80" t="str">
        <f t="shared" si="3"/>
        <v/>
      </c>
      <c r="N81" s="131" t="b">
        <v>0</v>
      </c>
      <c r="O81" s="80" t="str">
        <f t="shared" si="4"/>
        <v/>
      </c>
      <c r="P81" s="76"/>
      <c r="Q81" s="76"/>
      <c r="R81" s="76" t="b">
        <v>0</v>
      </c>
      <c r="S81" s="82" t="b">
        <v>0</v>
      </c>
      <c r="T81" s="76"/>
      <c r="U81" s="79"/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/>
      <c r="B82" s="76"/>
      <c r="C82" s="77"/>
      <c r="D82" s="76"/>
      <c r="E82" s="76"/>
      <c r="F82" s="76"/>
      <c r="G82" s="76"/>
      <c r="H82" s="76"/>
      <c r="I82" s="75"/>
      <c r="J82" s="78"/>
      <c r="K82" s="76"/>
      <c r="L82" s="79" t="b">
        <v>0</v>
      </c>
      <c r="M82" s="80" t="str">
        <f t="shared" si="3"/>
        <v/>
      </c>
      <c r="N82" s="131" t="b">
        <v>0</v>
      </c>
      <c r="O82" s="80" t="str">
        <f t="shared" si="4"/>
        <v/>
      </c>
      <c r="P82" s="76"/>
      <c r="Q82" s="76"/>
      <c r="R82" s="76" t="b">
        <v>0</v>
      </c>
      <c r="S82" s="82" t="b">
        <v>0</v>
      </c>
      <c r="T82" s="76"/>
      <c r="U82" s="79"/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/>
      <c r="B83" s="76"/>
      <c r="C83" s="77"/>
      <c r="D83" s="76"/>
      <c r="E83" s="76"/>
      <c r="F83" s="76"/>
      <c r="G83" s="76"/>
      <c r="H83" s="76"/>
      <c r="I83" s="75"/>
      <c r="J83" s="78"/>
      <c r="K83" s="76"/>
      <c r="L83" s="79" t="b">
        <v>0</v>
      </c>
      <c r="M83" s="80" t="str">
        <f t="shared" si="3"/>
        <v/>
      </c>
      <c r="N83" s="79" t="b">
        <v>0</v>
      </c>
      <c r="O83" s="80" t="str">
        <f t="shared" si="4"/>
        <v/>
      </c>
      <c r="P83" s="76"/>
      <c r="Q83" s="76"/>
      <c r="R83" s="76" t="b">
        <v>0</v>
      </c>
      <c r="S83" s="82" t="b">
        <v>0</v>
      </c>
      <c r="T83" s="76"/>
      <c r="U83" s="79"/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/>
      <c r="B84" s="76"/>
      <c r="C84" s="77"/>
      <c r="D84" s="76"/>
      <c r="E84" s="76"/>
      <c r="F84" s="76"/>
      <c r="G84" s="76"/>
      <c r="H84" s="76"/>
      <c r="I84" s="75"/>
      <c r="J84" s="78"/>
      <c r="K84" s="76"/>
      <c r="L84" s="79" t="b">
        <v>0</v>
      </c>
      <c r="M84" s="80" t="str">
        <f t="shared" si="3"/>
        <v/>
      </c>
      <c r="N84" s="79" t="b">
        <v>0</v>
      </c>
      <c r="O84" s="80" t="str">
        <f t="shared" si="4"/>
        <v/>
      </c>
      <c r="P84" s="76"/>
      <c r="Q84" s="76"/>
      <c r="R84" s="76" t="b">
        <v>0</v>
      </c>
      <c r="S84" s="82" t="b">
        <v>0</v>
      </c>
      <c r="T84" s="76"/>
      <c r="U84" s="79"/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/>
      <c r="B85" s="76"/>
      <c r="C85" s="77"/>
      <c r="D85" s="76"/>
      <c r="E85" s="76"/>
      <c r="F85" s="76"/>
      <c r="G85" s="76"/>
      <c r="H85" s="76"/>
      <c r="I85" s="75"/>
      <c r="J85" s="78"/>
      <c r="K85" s="76"/>
      <c r="L85" s="79" t="b">
        <v>0</v>
      </c>
      <c r="M85" s="80" t="str">
        <f t="shared" si="3"/>
        <v/>
      </c>
      <c r="N85" s="79" t="b">
        <v>0</v>
      </c>
      <c r="O85" s="80" t="str">
        <f t="shared" si="4"/>
        <v/>
      </c>
      <c r="P85" s="76"/>
      <c r="Q85" s="76"/>
      <c r="R85" s="76" t="b">
        <v>0</v>
      </c>
      <c r="S85" s="82" t="b">
        <v>0</v>
      </c>
      <c r="T85" s="76"/>
      <c r="U85" s="79"/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/>
      <c r="B86" s="76"/>
      <c r="C86" s="77"/>
      <c r="D86" s="76"/>
      <c r="E86" s="76"/>
      <c r="F86" s="76"/>
      <c r="G86" s="76"/>
      <c r="H86" s="76"/>
      <c r="I86" s="75"/>
      <c r="J86" s="78"/>
      <c r="K86" s="76"/>
      <c r="L86" s="79" t="b">
        <v>0</v>
      </c>
      <c r="M86" s="80" t="str">
        <f t="shared" si="3"/>
        <v/>
      </c>
      <c r="N86" s="79" t="b">
        <v>0</v>
      </c>
      <c r="O86" s="80" t="str">
        <f t="shared" si="4"/>
        <v/>
      </c>
      <c r="P86" s="76"/>
      <c r="Q86" s="76"/>
      <c r="R86" s="76" t="b">
        <v>0</v>
      </c>
      <c r="S86" s="82" t="b">
        <v>0</v>
      </c>
      <c r="T86" s="76"/>
      <c r="U86" s="79"/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76"/>
      <c r="C87" s="77"/>
      <c r="D87" s="76"/>
      <c r="E87" s="76"/>
      <c r="F87" s="76"/>
      <c r="G87" s="76"/>
      <c r="H87" s="76"/>
      <c r="I87" s="75"/>
      <c r="J87" s="78"/>
      <c r="K87" s="76"/>
      <c r="L87" s="79" t="b">
        <v>0</v>
      </c>
      <c r="M87" s="80" t="str">
        <f t="shared" si="3"/>
        <v/>
      </c>
      <c r="N87" s="79" t="b">
        <v>0</v>
      </c>
      <c r="O87" s="80" t="str">
        <f t="shared" si="4"/>
        <v/>
      </c>
      <c r="P87" s="76"/>
      <c r="Q87" s="76"/>
      <c r="R87" s="76" t="b">
        <v>0</v>
      </c>
      <c r="S87" s="82" t="b">
        <v>0</v>
      </c>
      <c r="T87" s="76"/>
      <c r="U87" s="79"/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/>
      <c r="B88" s="76"/>
      <c r="C88" s="77"/>
      <c r="D88" s="76"/>
      <c r="E88" s="76"/>
      <c r="F88" s="76"/>
      <c r="G88" s="76"/>
      <c r="H88" s="76"/>
      <c r="I88" s="75"/>
      <c r="J88" s="78"/>
      <c r="K88" s="76"/>
      <c r="L88" s="79" t="b">
        <v>0</v>
      </c>
      <c r="M88" s="80" t="str">
        <f t="shared" si="3"/>
        <v/>
      </c>
      <c r="N88" s="79" t="b">
        <v>0</v>
      </c>
      <c r="O88" s="80" t="str">
        <f t="shared" si="4"/>
        <v/>
      </c>
      <c r="P88" s="76"/>
      <c r="Q88" s="76"/>
      <c r="R88" s="76" t="b">
        <v>0</v>
      </c>
      <c r="S88" s="82" t="b">
        <v>0</v>
      </c>
      <c r="T88" s="76"/>
      <c r="U88" s="79"/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76"/>
      <c r="C89" s="77"/>
      <c r="D89" s="76"/>
      <c r="E89" s="76"/>
      <c r="F89" s="76"/>
      <c r="G89" s="76"/>
      <c r="H89" s="76"/>
      <c r="I89" s="75"/>
      <c r="J89" s="78"/>
      <c r="K89" s="76"/>
      <c r="L89" s="79" t="b">
        <v>0</v>
      </c>
      <c r="M89" s="80" t="str">
        <f t="shared" si="3"/>
        <v/>
      </c>
      <c r="N89" s="79" t="b">
        <v>0</v>
      </c>
      <c r="O89" s="80" t="str">
        <f t="shared" si="4"/>
        <v/>
      </c>
      <c r="P89" s="76"/>
      <c r="Q89" s="76"/>
      <c r="R89" s="76" t="b">
        <v>0</v>
      </c>
      <c r="S89" s="82" t="b">
        <v>0</v>
      </c>
      <c r="T89" s="76"/>
      <c r="U89" s="79"/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/>
      <c r="B90" s="76"/>
      <c r="C90" s="77"/>
      <c r="D90" s="76"/>
      <c r="E90" s="76"/>
      <c r="F90" s="76"/>
      <c r="G90" s="76"/>
      <c r="H90" s="76"/>
      <c r="I90" s="75"/>
      <c r="J90" s="78"/>
      <c r="K90" s="76"/>
      <c r="L90" s="79" t="b">
        <v>0</v>
      </c>
      <c r="M90" s="80" t="str">
        <f t="shared" si="3"/>
        <v/>
      </c>
      <c r="N90" s="79" t="b">
        <v>0</v>
      </c>
      <c r="O90" s="80" t="str">
        <f t="shared" si="4"/>
        <v/>
      </c>
      <c r="P90" s="76"/>
      <c r="Q90" s="76"/>
      <c r="R90" s="76" t="b">
        <v>0</v>
      </c>
      <c r="S90" s="82" t="b">
        <v>0</v>
      </c>
      <c r="T90" s="76"/>
      <c r="U90" s="79"/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76"/>
      <c r="C91" s="77"/>
      <c r="D91" s="76"/>
      <c r="E91" s="76"/>
      <c r="F91" s="76"/>
      <c r="G91" s="76"/>
      <c r="H91" s="76"/>
      <c r="I91" s="75"/>
      <c r="J91" s="78"/>
      <c r="K91" s="76"/>
      <c r="L91" s="79" t="b">
        <v>0</v>
      </c>
      <c r="M91" s="80" t="str">
        <f t="shared" si="3"/>
        <v/>
      </c>
      <c r="N91" s="79" t="b">
        <v>0</v>
      </c>
      <c r="O91" s="80" t="str">
        <f t="shared" si="4"/>
        <v/>
      </c>
      <c r="P91" s="76"/>
      <c r="Q91" s="76"/>
      <c r="R91" s="76" t="b">
        <v>0</v>
      </c>
      <c r="S91" s="82" t="b">
        <v>0</v>
      </c>
      <c r="T91" s="76"/>
      <c r="U91" s="79"/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76"/>
      <c r="C92" s="77"/>
      <c r="D92" s="76"/>
      <c r="E92" s="76"/>
      <c r="F92" s="76"/>
      <c r="G92" s="76"/>
      <c r="H92" s="76"/>
      <c r="I92" s="75"/>
      <c r="J92" s="78"/>
      <c r="K92" s="76"/>
      <c r="L92" s="79" t="b">
        <v>0</v>
      </c>
      <c r="M92" s="80" t="str">
        <f t="shared" si="3"/>
        <v/>
      </c>
      <c r="N92" s="79" t="b">
        <v>0</v>
      </c>
      <c r="O92" s="80" t="str">
        <f t="shared" si="4"/>
        <v/>
      </c>
      <c r="P92" s="76"/>
      <c r="Q92" s="76"/>
      <c r="R92" s="76" t="b">
        <v>0</v>
      </c>
      <c r="S92" s="82" t="b">
        <v>0</v>
      </c>
      <c r="T92" s="76"/>
      <c r="U92" s="79"/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76"/>
      <c r="C93" s="77"/>
      <c r="D93" s="76"/>
      <c r="E93" s="76"/>
      <c r="F93" s="76"/>
      <c r="G93" s="76"/>
      <c r="H93" s="76"/>
      <c r="I93" s="75"/>
      <c r="J93" s="78"/>
      <c r="K93" s="76"/>
      <c r="L93" s="79" t="b">
        <v>0</v>
      </c>
      <c r="M93" s="80" t="str">
        <f t="shared" si="3"/>
        <v/>
      </c>
      <c r="N93" s="79" t="b">
        <v>0</v>
      </c>
      <c r="O93" s="80" t="str">
        <f t="shared" si="4"/>
        <v/>
      </c>
      <c r="P93" s="76"/>
      <c r="Q93" s="76"/>
      <c r="R93" s="76" t="b">
        <v>0</v>
      </c>
      <c r="S93" s="82" t="b">
        <v>0</v>
      </c>
      <c r="T93" s="76"/>
      <c r="U93" s="79"/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/>
      <c r="B94" s="76"/>
      <c r="C94" s="77"/>
      <c r="D94" s="76"/>
      <c r="E94" s="76"/>
      <c r="F94" s="76"/>
      <c r="G94" s="76"/>
      <c r="H94" s="76"/>
      <c r="I94" s="75"/>
      <c r="J94" s="78"/>
      <c r="K94" s="76"/>
      <c r="L94" s="79" t="b">
        <v>0</v>
      </c>
      <c r="M94" s="80" t="str">
        <f t="shared" si="3"/>
        <v/>
      </c>
      <c r="N94" s="79" t="b">
        <v>0</v>
      </c>
      <c r="O94" s="80" t="str">
        <f t="shared" si="4"/>
        <v/>
      </c>
      <c r="P94" s="76"/>
      <c r="Q94" s="76"/>
      <c r="R94" s="76" t="b">
        <v>0</v>
      </c>
      <c r="S94" s="82" t="b">
        <v>0</v>
      </c>
      <c r="T94" s="76"/>
      <c r="U94" s="79"/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/>
      <c r="B95" s="76"/>
      <c r="C95" s="77"/>
      <c r="D95" s="76"/>
      <c r="E95" s="76"/>
      <c r="F95" s="76"/>
      <c r="G95" s="76"/>
      <c r="H95" s="76"/>
      <c r="I95" s="75"/>
      <c r="J95" s="78"/>
      <c r="K95" s="76"/>
      <c r="L95" s="79" t="b">
        <v>0</v>
      </c>
      <c r="M95" s="80" t="str">
        <f t="shared" si="3"/>
        <v/>
      </c>
      <c r="N95" s="79" t="b">
        <v>0</v>
      </c>
      <c r="O95" s="80" t="str">
        <f t="shared" si="4"/>
        <v/>
      </c>
      <c r="P95" s="76"/>
      <c r="Q95" s="76"/>
      <c r="R95" s="76" t="b">
        <v>0</v>
      </c>
      <c r="S95" s="82" t="b">
        <v>0</v>
      </c>
      <c r="T95" s="76"/>
      <c r="U95" s="79"/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76"/>
      <c r="C96" s="77"/>
      <c r="D96" s="76"/>
      <c r="E96" s="76"/>
      <c r="F96" s="76"/>
      <c r="G96" s="76"/>
      <c r="H96" s="76"/>
      <c r="I96" s="75"/>
      <c r="J96" s="78"/>
      <c r="K96" s="76"/>
      <c r="L96" s="79" t="b">
        <v>0</v>
      </c>
      <c r="M96" s="80" t="str">
        <f t="shared" si="3"/>
        <v/>
      </c>
      <c r="N96" s="79" t="b">
        <v>0</v>
      </c>
      <c r="O96" s="80" t="str">
        <f t="shared" si="4"/>
        <v/>
      </c>
      <c r="P96" s="76"/>
      <c r="Q96" s="76"/>
      <c r="R96" s="76" t="b">
        <v>0</v>
      </c>
      <c r="S96" s="82" t="b">
        <v>0</v>
      </c>
      <c r="T96" s="76"/>
      <c r="U96" s="79"/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76"/>
      <c r="C97" s="77"/>
      <c r="D97" s="76"/>
      <c r="E97" s="76"/>
      <c r="F97" s="76"/>
      <c r="G97" s="76"/>
      <c r="H97" s="76"/>
      <c r="I97" s="75"/>
      <c r="J97" s="78"/>
      <c r="K97" s="76"/>
      <c r="L97" s="79" t="b">
        <v>0</v>
      </c>
      <c r="M97" s="80" t="str">
        <f t="shared" si="3"/>
        <v/>
      </c>
      <c r="N97" s="79" t="b">
        <v>0</v>
      </c>
      <c r="O97" s="80" t="str">
        <f t="shared" si="4"/>
        <v/>
      </c>
      <c r="P97" s="76"/>
      <c r="Q97" s="76"/>
      <c r="R97" s="76" t="b">
        <v>0</v>
      </c>
      <c r="S97" s="82" t="b">
        <v>0</v>
      </c>
      <c r="T97" s="76"/>
      <c r="U97" s="79"/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76"/>
      <c r="C98" s="77"/>
      <c r="D98" s="76"/>
      <c r="E98" s="76"/>
      <c r="F98" s="76"/>
      <c r="G98" s="76"/>
      <c r="H98" s="76"/>
      <c r="I98" s="75"/>
      <c r="J98" s="78"/>
      <c r="K98" s="76"/>
      <c r="L98" s="79" t="b">
        <v>0</v>
      </c>
      <c r="M98" s="80" t="str">
        <f t="shared" si="3"/>
        <v/>
      </c>
      <c r="N98" s="79" t="b">
        <v>0</v>
      </c>
      <c r="O98" s="80" t="str">
        <f t="shared" si="4"/>
        <v/>
      </c>
      <c r="P98" s="76"/>
      <c r="Q98" s="76"/>
      <c r="R98" s="76" t="b">
        <v>0</v>
      </c>
      <c r="S98" s="82" t="b">
        <v>0</v>
      </c>
      <c r="T98" s="76"/>
      <c r="U98" s="79"/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76"/>
      <c r="C99" s="77"/>
      <c r="D99" s="76"/>
      <c r="E99" s="76"/>
      <c r="F99" s="76"/>
      <c r="G99" s="76"/>
      <c r="H99" s="76"/>
      <c r="I99" s="75"/>
      <c r="J99" s="78"/>
      <c r="K99" s="76"/>
      <c r="L99" s="79" t="b">
        <v>0</v>
      </c>
      <c r="M99" s="80" t="str">
        <f t="shared" si="3"/>
        <v/>
      </c>
      <c r="N99" s="79" t="b">
        <v>0</v>
      </c>
      <c r="O99" s="80" t="str">
        <f t="shared" si="4"/>
        <v/>
      </c>
      <c r="P99" s="76"/>
      <c r="Q99" s="76"/>
      <c r="R99" s="76" t="b">
        <v>0</v>
      </c>
      <c r="S99" s="82" t="b">
        <v>0</v>
      </c>
      <c r="T99" s="76"/>
      <c r="U99" s="79"/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76"/>
      <c r="C100" s="77"/>
      <c r="D100" s="76"/>
      <c r="E100" s="76"/>
      <c r="F100" s="76"/>
      <c r="G100" s="76"/>
      <c r="H100" s="76"/>
      <c r="I100" s="75"/>
      <c r="J100" s="78"/>
      <c r="K100" s="76"/>
      <c r="L100" s="79" t="b">
        <v>0</v>
      </c>
      <c r="M100" s="80" t="str">
        <f t="shared" si="3"/>
        <v/>
      </c>
      <c r="N100" s="79" t="b">
        <v>0</v>
      </c>
      <c r="O100" s="80" t="str">
        <f t="shared" si="4"/>
        <v/>
      </c>
      <c r="P100" s="76"/>
      <c r="Q100" s="76"/>
      <c r="R100" s="76" t="b">
        <v>0</v>
      </c>
      <c r="S100" s="82" t="b">
        <v>0</v>
      </c>
      <c r="T100" s="76"/>
      <c r="U100" s="79"/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76"/>
      <c r="C101" s="77"/>
      <c r="D101" s="76"/>
      <c r="E101" s="76"/>
      <c r="F101" s="76"/>
      <c r="G101" s="76"/>
      <c r="H101" s="76"/>
      <c r="I101" s="75"/>
      <c r="J101" s="78"/>
      <c r="K101" s="76"/>
      <c r="L101" s="79" t="b">
        <v>0</v>
      </c>
      <c r="M101" s="80" t="str">
        <f t="shared" si="3"/>
        <v/>
      </c>
      <c r="N101" s="79" t="b">
        <v>0</v>
      </c>
      <c r="O101" s="80" t="str">
        <f t="shared" si="4"/>
        <v/>
      </c>
      <c r="P101" s="76"/>
      <c r="Q101" s="76"/>
      <c r="R101" s="76" t="b">
        <v>0</v>
      </c>
      <c r="S101" s="82" t="b">
        <v>0</v>
      </c>
      <c r="T101" s="76"/>
      <c r="U101" s="79"/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76"/>
      <c r="C102" s="77"/>
      <c r="D102" s="76"/>
      <c r="E102" s="76"/>
      <c r="F102" s="76"/>
      <c r="G102" s="76"/>
      <c r="H102" s="76"/>
      <c r="I102" s="75"/>
      <c r="J102" s="78"/>
      <c r="K102" s="76"/>
      <c r="L102" s="79" t="b">
        <v>0</v>
      </c>
      <c r="M102" s="80" t="str">
        <f t="shared" si="3"/>
        <v/>
      </c>
      <c r="N102" s="79" t="b">
        <v>0</v>
      </c>
      <c r="O102" s="80" t="str">
        <f t="shared" si="4"/>
        <v/>
      </c>
      <c r="P102" s="76"/>
      <c r="Q102" s="76"/>
      <c r="R102" s="76" t="b">
        <v>0</v>
      </c>
      <c r="S102" s="82" t="b">
        <v>0</v>
      </c>
      <c r="T102" s="76"/>
      <c r="U102" s="79"/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76"/>
      <c r="C103" s="77"/>
      <c r="D103" s="76"/>
      <c r="E103" s="76"/>
      <c r="F103" s="76"/>
      <c r="G103" s="76"/>
      <c r="H103" s="76"/>
      <c r="I103" s="75"/>
      <c r="J103" s="78"/>
      <c r="K103" s="76"/>
      <c r="L103" s="79" t="b">
        <v>0</v>
      </c>
      <c r="M103" s="80" t="str">
        <f t="shared" si="3"/>
        <v/>
      </c>
      <c r="N103" s="79" t="b">
        <v>0</v>
      </c>
      <c r="O103" s="80" t="str">
        <f t="shared" si="4"/>
        <v/>
      </c>
      <c r="P103" s="76"/>
      <c r="Q103" s="76"/>
      <c r="R103" s="76" t="b">
        <v>0</v>
      </c>
      <c r="S103" s="82" t="b">
        <v>0</v>
      </c>
      <c r="T103" s="76"/>
      <c r="U103" s="79"/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76"/>
      <c r="C104" s="77"/>
      <c r="D104" s="76"/>
      <c r="E104" s="76"/>
      <c r="F104" s="76"/>
      <c r="G104" s="76"/>
      <c r="H104" s="76"/>
      <c r="I104" s="75"/>
      <c r="J104" s="78"/>
      <c r="K104" s="76"/>
      <c r="L104" s="79" t="b">
        <v>0</v>
      </c>
      <c r="M104" s="80" t="str">
        <f t="shared" si="3"/>
        <v/>
      </c>
      <c r="N104" s="79" t="b">
        <v>0</v>
      </c>
      <c r="O104" s="80" t="str">
        <f t="shared" si="4"/>
        <v/>
      </c>
      <c r="P104" s="76"/>
      <c r="Q104" s="76"/>
      <c r="R104" s="76" t="b">
        <v>0</v>
      </c>
      <c r="S104" s="82" t="b">
        <v>0</v>
      </c>
      <c r="T104" s="76"/>
      <c r="U104" s="79"/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76"/>
      <c r="C105" s="77"/>
      <c r="D105" s="76"/>
      <c r="E105" s="76"/>
      <c r="F105" s="76"/>
      <c r="G105" s="76"/>
      <c r="H105" s="76"/>
      <c r="I105" s="75"/>
      <c r="J105" s="78"/>
      <c r="K105" s="76"/>
      <c r="L105" s="79" t="b">
        <v>0</v>
      </c>
      <c r="M105" s="80" t="str">
        <f t="shared" si="3"/>
        <v/>
      </c>
      <c r="N105" s="79" t="b">
        <v>0</v>
      </c>
      <c r="O105" s="80" t="str">
        <f t="shared" si="4"/>
        <v/>
      </c>
      <c r="P105" s="76"/>
      <c r="Q105" s="76"/>
      <c r="R105" s="76" t="b">
        <v>0</v>
      </c>
      <c r="S105" s="82" t="b">
        <v>0</v>
      </c>
      <c r="T105" s="76"/>
      <c r="U105" s="79"/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/>
      <c r="B106" s="76"/>
      <c r="C106" s="77"/>
      <c r="D106" s="76"/>
      <c r="E106" s="76"/>
      <c r="F106" s="76"/>
      <c r="G106" s="76"/>
      <c r="H106" s="76"/>
      <c r="I106" s="75"/>
      <c r="J106" s="78"/>
      <c r="K106" s="76"/>
      <c r="L106" s="79" t="b">
        <v>0</v>
      </c>
      <c r="M106" s="80" t="str">
        <f t="shared" si="3"/>
        <v/>
      </c>
      <c r="N106" s="79" t="b">
        <v>0</v>
      </c>
      <c r="O106" s="80" t="str">
        <f t="shared" si="4"/>
        <v/>
      </c>
      <c r="P106" s="76"/>
      <c r="Q106" s="76"/>
      <c r="R106" s="76" t="b">
        <v>0</v>
      </c>
      <c r="S106" s="82" t="b">
        <v>0</v>
      </c>
      <c r="T106" s="76"/>
      <c r="U106" s="79"/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/>
      <c r="B107" s="76"/>
      <c r="C107" s="77"/>
      <c r="D107" s="76"/>
      <c r="E107" s="76"/>
      <c r="F107" s="76"/>
      <c r="G107" s="76"/>
      <c r="H107" s="76"/>
      <c r="I107" s="75"/>
      <c r="J107" s="78"/>
      <c r="K107" s="76"/>
      <c r="L107" s="79" t="b">
        <v>0</v>
      </c>
      <c r="M107" s="80" t="str">
        <f t="shared" si="3"/>
        <v/>
      </c>
      <c r="N107" s="79" t="b">
        <v>0</v>
      </c>
      <c r="O107" s="80" t="str">
        <f t="shared" si="4"/>
        <v/>
      </c>
      <c r="P107" s="76"/>
      <c r="Q107" s="76"/>
      <c r="R107" s="76" t="b">
        <v>0</v>
      </c>
      <c r="S107" s="82" t="b">
        <v>0</v>
      </c>
      <c r="T107" s="76"/>
      <c r="U107" s="79"/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/>
      <c r="B108" s="76"/>
      <c r="C108" s="77"/>
      <c r="D108" s="76"/>
      <c r="E108" s="76"/>
      <c r="F108" s="76"/>
      <c r="G108" s="76"/>
      <c r="H108" s="76"/>
      <c r="I108" s="75"/>
      <c r="J108" s="78"/>
      <c r="K108" s="76"/>
      <c r="L108" s="79" t="b">
        <v>0</v>
      </c>
      <c r="M108" s="80" t="str">
        <f t="shared" si="3"/>
        <v/>
      </c>
      <c r="N108" s="79" t="b">
        <v>0</v>
      </c>
      <c r="O108" s="80" t="str">
        <f t="shared" si="4"/>
        <v/>
      </c>
      <c r="P108" s="76"/>
      <c r="Q108" s="76"/>
      <c r="R108" s="76" t="b">
        <v>0</v>
      </c>
      <c r="S108" s="82" t="b">
        <v>0</v>
      </c>
      <c r="T108" s="76"/>
      <c r="U108" s="79"/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/>
      <c r="B109" s="76"/>
      <c r="C109" s="77"/>
      <c r="D109" s="76"/>
      <c r="E109" s="76"/>
      <c r="F109" s="76"/>
      <c r="G109" s="76"/>
      <c r="H109" s="76"/>
      <c r="I109" s="75"/>
      <c r="J109" s="78"/>
      <c r="K109" s="76"/>
      <c r="L109" s="79" t="b">
        <v>0</v>
      </c>
      <c r="M109" s="80" t="str">
        <f t="shared" si="3"/>
        <v/>
      </c>
      <c r="N109" s="79" t="b">
        <v>0</v>
      </c>
      <c r="O109" s="80" t="str">
        <f t="shared" si="4"/>
        <v/>
      </c>
      <c r="P109" s="76"/>
      <c r="Q109" s="76"/>
      <c r="R109" s="76" t="b">
        <v>0</v>
      </c>
      <c r="S109" s="82" t="b">
        <v>0</v>
      </c>
      <c r="T109" s="76"/>
      <c r="U109" s="79"/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/>
      <c r="B110" s="76"/>
      <c r="C110" s="77"/>
      <c r="D110" s="76"/>
      <c r="E110" s="76"/>
      <c r="F110" s="76"/>
      <c r="G110" s="76"/>
      <c r="H110" s="76"/>
      <c r="I110" s="75"/>
      <c r="J110" s="78"/>
      <c r="K110" s="76"/>
      <c r="L110" s="79" t="b">
        <v>0</v>
      </c>
      <c r="M110" s="80" t="str">
        <f t="shared" si="3"/>
        <v/>
      </c>
      <c r="N110" s="79" t="b">
        <v>0</v>
      </c>
      <c r="O110" s="80" t="str">
        <f t="shared" si="4"/>
        <v/>
      </c>
      <c r="P110" s="76"/>
      <c r="Q110" s="76"/>
      <c r="R110" s="76" t="b">
        <v>0</v>
      </c>
      <c r="S110" s="82" t="b">
        <v>0</v>
      </c>
      <c r="T110" s="76"/>
      <c r="U110" s="79"/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/>
      <c r="B111" s="76"/>
      <c r="C111" s="77"/>
      <c r="D111" s="76"/>
      <c r="E111" s="76"/>
      <c r="F111" s="76"/>
      <c r="G111" s="76"/>
      <c r="H111" s="76"/>
      <c r="I111" s="75"/>
      <c r="J111" s="78"/>
      <c r="K111" s="76"/>
      <c r="L111" s="79" t="b">
        <v>0</v>
      </c>
      <c r="M111" s="80" t="str">
        <f t="shared" si="3"/>
        <v/>
      </c>
      <c r="N111" s="79" t="b">
        <v>0</v>
      </c>
      <c r="O111" s="80" t="str">
        <f t="shared" si="4"/>
        <v/>
      </c>
      <c r="P111" s="76"/>
      <c r="Q111" s="76"/>
      <c r="R111" s="76" t="b">
        <v>0</v>
      </c>
      <c r="S111" s="82" t="b">
        <v>0</v>
      </c>
      <c r="T111" s="76"/>
      <c r="U111" s="79"/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/>
      <c r="B112" s="76"/>
      <c r="C112" s="77"/>
      <c r="D112" s="76"/>
      <c r="E112" s="76"/>
      <c r="F112" s="76"/>
      <c r="G112" s="76"/>
      <c r="H112" s="76"/>
      <c r="I112" s="75"/>
      <c r="J112" s="78"/>
      <c r="K112" s="76"/>
      <c r="L112" s="79" t="b">
        <v>0</v>
      </c>
      <c r="M112" s="80" t="str">
        <f t="shared" si="3"/>
        <v/>
      </c>
      <c r="N112" s="79" t="b">
        <v>0</v>
      </c>
      <c r="O112" s="80" t="str">
        <f t="shared" si="4"/>
        <v/>
      </c>
      <c r="P112" s="76"/>
      <c r="Q112" s="76"/>
      <c r="R112" s="76" t="b">
        <v>0</v>
      </c>
      <c r="S112" s="82" t="b">
        <v>0</v>
      </c>
      <c r="T112" s="76"/>
      <c r="U112" s="79"/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/>
      <c r="B113" s="76"/>
      <c r="C113" s="77"/>
      <c r="D113" s="76"/>
      <c r="E113" s="76"/>
      <c r="F113" s="76"/>
      <c r="G113" s="76"/>
      <c r="H113" s="76"/>
      <c r="I113" s="75"/>
      <c r="J113" s="78"/>
      <c r="K113" s="76"/>
      <c r="L113" s="79" t="b">
        <v>0</v>
      </c>
      <c r="M113" s="80" t="str">
        <f t="shared" si="3"/>
        <v/>
      </c>
      <c r="N113" s="79" t="b">
        <v>0</v>
      </c>
      <c r="O113" s="80" t="str">
        <f t="shared" si="4"/>
        <v/>
      </c>
      <c r="P113" s="76"/>
      <c r="Q113" s="76"/>
      <c r="R113" s="76" t="b">
        <v>0</v>
      </c>
      <c r="S113" s="82" t="b">
        <v>0</v>
      </c>
      <c r="T113" s="76"/>
      <c r="U113" s="79"/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/>
      <c r="B114" s="91"/>
      <c r="C114" s="92"/>
      <c r="D114" s="136"/>
      <c r="E114" s="94"/>
      <c r="F114" s="136"/>
      <c r="G114" s="137"/>
      <c r="H114" s="91"/>
      <c r="I114" s="75"/>
      <c r="J114" s="78"/>
      <c r="K114" s="76"/>
      <c r="L114" s="79" t="b">
        <v>0</v>
      </c>
      <c r="M114" s="80" t="str">
        <f t="shared" si="3"/>
        <v/>
      </c>
      <c r="N114" s="79" t="b">
        <v>0</v>
      </c>
      <c r="O114" s="80" t="str">
        <f t="shared" si="4"/>
        <v/>
      </c>
      <c r="P114" s="76"/>
      <c r="Q114" s="76"/>
      <c r="R114" s="76" t="b">
        <v>0</v>
      </c>
      <c r="S114" s="82" t="b">
        <v>0</v>
      </c>
      <c r="T114" s="76"/>
      <c r="U114" s="79"/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/>
      <c r="B115" s="76"/>
      <c r="C115" s="77"/>
      <c r="D115" s="76"/>
      <c r="E115" s="76"/>
      <c r="F115" s="76"/>
      <c r="G115" s="76"/>
      <c r="H115" s="76"/>
      <c r="I115" s="75"/>
      <c r="J115" s="78"/>
      <c r="K115" s="76"/>
      <c r="L115" s="79" t="b">
        <v>0</v>
      </c>
      <c r="M115" s="80" t="str">
        <f t="shared" si="3"/>
        <v/>
      </c>
      <c r="N115" s="79" t="b">
        <v>0</v>
      </c>
      <c r="O115" s="80" t="str">
        <f t="shared" si="4"/>
        <v/>
      </c>
      <c r="P115" s="76"/>
      <c r="Q115" s="76"/>
      <c r="R115" s="76" t="b">
        <v>0</v>
      </c>
      <c r="S115" s="82" t="b">
        <v>0</v>
      </c>
      <c r="T115" s="76"/>
      <c r="U115" s="79"/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/>
      <c r="B116" s="76"/>
      <c r="C116" s="77"/>
      <c r="D116" s="76"/>
      <c r="E116" s="76"/>
      <c r="F116" s="76"/>
      <c r="G116" s="76"/>
      <c r="H116" s="76"/>
      <c r="I116" s="75"/>
      <c r="J116" s="78"/>
      <c r="K116" s="76"/>
      <c r="L116" s="79" t="b">
        <v>0</v>
      </c>
      <c r="M116" s="80" t="str">
        <f t="shared" si="3"/>
        <v/>
      </c>
      <c r="N116" s="79" t="b">
        <v>0</v>
      </c>
      <c r="O116" s="80" t="str">
        <f t="shared" si="4"/>
        <v/>
      </c>
      <c r="P116" s="76"/>
      <c r="Q116" s="76"/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/>
      <c r="B117" s="76"/>
      <c r="C117" s="77"/>
      <c r="D117" s="76"/>
      <c r="E117" s="76"/>
      <c r="F117" s="76"/>
      <c r="G117" s="76"/>
      <c r="H117" s="76"/>
      <c r="I117" s="75"/>
      <c r="J117" s="78"/>
      <c r="K117" s="76"/>
      <c r="L117" s="79" t="b">
        <v>0</v>
      </c>
      <c r="M117" s="80" t="str">
        <f t="shared" si="3"/>
        <v/>
      </c>
      <c r="N117" s="79" t="b">
        <v>0</v>
      </c>
      <c r="O117" s="80" t="str">
        <f t="shared" si="4"/>
        <v/>
      </c>
      <c r="P117" s="76"/>
      <c r="Q117" s="76"/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/>
      <c r="B118" s="76"/>
      <c r="C118" s="77"/>
      <c r="D118" s="76"/>
      <c r="E118" s="76"/>
      <c r="F118" s="76"/>
      <c r="G118" s="76"/>
      <c r="H118" s="76"/>
      <c r="I118" s="75"/>
      <c r="J118" s="78"/>
      <c r="K118" s="76"/>
      <c r="L118" s="79" t="b">
        <v>0</v>
      </c>
      <c r="M118" s="80" t="str">
        <f t="shared" si="3"/>
        <v/>
      </c>
      <c r="N118" s="79" t="b">
        <v>0</v>
      </c>
      <c r="O118" s="80" t="str">
        <f t="shared" si="4"/>
        <v/>
      </c>
      <c r="P118" s="76"/>
      <c r="Q118" s="76"/>
      <c r="R118" s="76" t="b">
        <v>0</v>
      </c>
      <c r="S118" s="82" t="b">
        <v>0</v>
      </c>
      <c r="T118" s="76"/>
      <c r="U118" s="79"/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/>
      <c r="B119" s="76"/>
      <c r="C119" s="77"/>
      <c r="D119" s="76"/>
      <c r="E119" s="76"/>
      <c r="F119" s="76"/>
      <c r="G119" s="76"/>
      <c r="H119" s="76"/>
      <c r="I119" s="75"/>
      <c r="J119" s="78"/>
      <c r="K119" s="76"/>
      <c r="L119" s="79" t="b">
        <v>0</v>
      </c>
      <c r="M119" s="80" t="str">
        <f t="shared" si="3"/>
        <v/>
      </c>
      <c r="N119" s="79" t="b">
        <v>0</v>
      </c>
      <c r="O119" s="80" t="str">
        <f t="shared" si="4"/>
        <v/>
      </c>
      <c r="P119" s="76"/>
      <c r="Q119" s="76"/>
      <c r="R119" s="76" t="b">
        <v>0</v>
      </c>
      <c r="S119" s="82" t="b">
        <v>0</v>
      </c>
      <c r="T119" s="76"/>
      <c r="U119" s="79"/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/>
      <c r="B120" s="76"/>
      <c r="C120" s="77"/>
      <c r="D120" s="76"/>
      <c r="E120" s="76"/>
      <c r="F120" s="76"/>
      <c r="G120" s="76"/>
      <c r="H120" s="76"/>
      <c r="I120" s="75"/>
      <c r="J120" s="78"/>
      <c r="K120" s="76"/>
      <c r="L120" s="79" t="b">
        <v>0</v>
      </c>
      <c r="M120" s="80" t="str">
        <f t="shared" si="3"/>
        <v/>
      </c>
      <c r="N120" s="79" t="b">
        <v>0</v>
      </c>
      <c r="O120" s="80" t="str">
        <f t="shared" si="4"/>
        <v/>
      </c>
      <c r="P120" s="76"/>
      <c r="Q120" s="76"/>
      <c r="R120" s="76" t="b">
        <v>0</v>
      </c>
      <c r="S120" s="82" t="b">
        <v>0</v>
      </c>
      <c r="T120" s="76"/>
      <c r="U120" s="79"/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/>
      <c r="B121" s="76"/>
      <c r="C121" s="77"/>
      <c r="D121" s="76"/>
      <c r="E121" s="76"/>
      <c r="F121" s="76"/>
      <c r="G121" s="76"/>
      <c r="H121" s="76"/>
      <c r="I121" s="75"/>
      <c r="J121" s="78"/>
      <c r="K121" s="76"/>
      <c r="L121" s="79" t="b">
        <v>0</v>
      </c>
      <c r="M121" s="80" t="str">
        <f t="shared" si="3"/>
        <v/>
      </c>
      <c r="N121" s="79" t="b">
        <v>0</v>
      </c>
      <c r="O121" s="80" t="str">
        <f t="shared" si="4"/>
        <v/>
      </c>
      <c r="P121" s="76"/>
      <c r="Q121" s="76"/>
      <c r="R121" s="76" t="b">
        <v>0</v>
      </c>
      <c r="S121" s="82" t="b">
        <v>0</v>
      </c>
      <c r="T121" s="76"/>
      <c r="U121" s="79"/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/>
      <c r="B122" s="76"/>
      <c r="C122" s="77"/>
      <c r="D122" s="76"/>
      <c r="E122" s="76"/>
      <c r="F122" s="76"/>
      <c r="G122" s="76"/>
      <c r="H122" s="76"/>
      <c r="I122" s="75"/>
      <c r="J122" s="78"/>
      <c r="K122" s="76"/>
      <c r="L122" s="79" t="b">
        <v>0</v>
      </c>
      <c r="M122" s="80" t="str">
        <f t="shared" si="3"/>
        <v/>
      </c>
      <c r="N122" s="79" t="b">
        <v>0</v>
      </c>
      <c r="O122" s="80" t="str">
        <f t="shared" si="4"/>
        <v/>
      </c>
      <c r="P122" s="76"/>
      <c r="Q122" s="76"/>
      <c r="R122" s="76" t="b">
        <v>0</v>
      </c>
      <c r="S122" s="82" t="b">
        <v>0</v>
      </c>
      <c r="T122" s="76"/>
      <c r="U122" s="79"/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/>
      <c r="B123" s="76"/>
      <c r="C123" s="77"/>
      <c r="D123" s="76"/>
      <c r="E123" s="76"/>
      <c r="F123" s="76"/>
      <c r="G123" s="76"/>
      <c r="H123" s="76"/>
      <c r="I123" s="75"/>
      <c r="J123" s="78"/>
      <c r="K123" s="76"/>
      <c r="L123" s="79" t="b">
        <v>0</v>
      </c>
      <c r="M123" s="80" t="str">
        <f t="shared" si="3"/>
        <v/>
      </c>
      <c r="N123" s="79" t="b">
        <v>0</v>
      </c>
      <c r="O123" s="80" t="str">
        <f t="shared" si="4"/>
        <v/>
      </c>
      <c r="P123" s="76"/>
      <c r="Q123" s="76"/>
      <c r="R123" s="76" t="b">
        <v>0</v>
      </c>
      <c r="S123" s="82" t="b">
        <v>0</v>
      </c>
      <c r="T123" s="76"/>
      <c r="U123" s="79"/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/>
      <c r="B124" s="76"/>
      <c r="C124" s="77"/>
      <c r="D124" s="76"/>
      <c r="E124" s="76"/>
      <c r="F124" s="76"/>
      <c r="G124" s="76"/>
      <c r="H124" s="76"/>
      <c r="I124" s="75"/>
      <c r="J124" s="78"/>
      <c r="K124" s="76"/>
      <c r="L124" s="79" t="b">
        <v>0</v>
      </c>
      <c r="M124" s="80" t="str">
        <f t="shared" si="3"/>
        <v/>
      </c>
      <c r="N124" s="79" t="b">
        <v>0</v>
      </c>
      <c r="O124" s="80" t="str">
        <f t="shared" si="4"/>
        <v/>
      </c>
      <c r="P124" s="76"/>
      <c r="Q124" s="76"/>
      <c r="R124" s="76" t="b">
        <v>0</v>
      </c>
      <c r="S124" s="82" t="b">
        <v>0</v>
      </c>
      <c r="T124" s="76"/>
      <c r="U124" s="79"/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/>
      <c r="B125" s="76"/>
      <c r="C125" s="77"/>
      <c r="D125" s="76"/>
      <c r="E125" s="76"/>
      <c r="F125" s="76"/>
      <c r="G125" s="76"/>
      <c r="H125" s="76"/>
      <c r="I125" s="75"/>
      <c r="J125" s="78"/>
      <c r="K125" s="76"/>
      <c r="L125" s="79" t="b">
        <v>0</v>
      </c>
      <c r="M125" s="80" t="str">
        <f t="shared" si="3"/>
        <v/>
      </c>
      <c r="N125" s="79" t="b">
        <v>0</v>
      </c>
      <c r="O125" s="80" t="str">
        <f t="shared" si="4"/>
        <v/>
      </c>
      <c r="P125" s="76"/>
      <c r="Q125" s="76"/>
      <c r="R125" s="76" t="b">
        <v>0</v>
      </c>
      <c r="S125" s="82" t="b">
        <v>0</v>
      </c>
      <c r="T125" s="76"/>
      <c r="U125" s="79"/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 t="b">
        <v>0</v>
      </c>
      <c r="M126" s="80" t="str">
        <f t="shared" si="3"/>
        <v/>
      </c>
      <c r="N126" s="79" t="b">
        <v>0</v>
      </c>
      <c r="O126" s="80" t="str">
        <f t="shared" si="4"/>
        <v/>
      </c>
      <c r="P126" s="76"/>
      <c r="Q126" s="76"/>
      <c r="R126" s="76" t="b">
        <v>0</v>
      </c>
      <c r="S126" s="82" t="b">
        <v>0</v>
      </c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/>
      <c r="B127" s="76"/>
      <c r="C127" s="77"/>
      <c r="D127" s="76"/>
      <c r="E127" s="76"/>
      <c r="F127" s="76"/>
      <c r="G127" s="76"/>
      <c r="H127" s="76"/>
      <c r="I127" s="75"/>
      <c r="J127" s="78"/>
      <c r="K127" s="76"/>
      <c r="L127" s="79" t="b">
        <v>0</v>
      </c>
      <c r="M127" s="80" t="str">
        <f t="shared" si="3"/>
        <v/>
      </c>
      <c r="N127" s="79" t="b">
        <v>0</v>
      </c>
      <c r="O127" s="80" t="str">
        <f t="shared" si="4"/>
        <v/>
      </c>
      <c r="P127" s="76"/>
      <c r="Q127" s="76"/>
      <c r="R127" s="76" t="b">
        <v>0</v>
      </c>
      <c r="S127" s="82" t="b">
        <v>0</v>
      </c>
      <c r="T127" s="76"/>
      <c r="U127" s="79"/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/>
      <c r="B128" s="76"/>
      <c r="C128" s="77"/>
      <c r="D128" s="76"/>
      <c r="E128" s="76"/>
      <c r="F128" s="76"/>
      <c r="G128" s="76"/>
      <c r="H128" s="76"/>
      <c r="I128" s="75"/>
      <c r="J128" s="78"/>
      <c r="K128" s="76"/>
      <c r="L128" s="79" t="b">
        <v>0</v>
      </c>
      <c r="M128" s="80" t="str">
        <f t="shared" si="3"/>
        <v/>
      </c>
      <c r="N128" s="79" t="b">
        <v>0</v>
      </c>
      <c r="O128" s="80" t="str">
        <f t="shared" si="4"/>
        <v/>
      </c>
      <c r="P128" s="76"/>
      <c r="Q128" s="76"/>
      <c r="R128" s="76" t="b">
        <v>0</v>
      </c>
      <c r="S128" s="82" t="b">
        <v>0</v>
      </c>
      <c r="T128" s="76"/>
      <c r="U128" s="79"/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/>
      <c r="B129" s="76"/>
      <c r="C129" s="77"/>
      <c r="D129" s="76"/>
      <c r="E129" s="76"/>
      <c r="F129" s="76"/>
      <c r="G129" s="76"/>
      <c r="H129" s="76"/>
      <c r="I129" s="75"/>
      <c r="J129" s="78"/>
      <c r="K129" s="76"/>
      <c r="L129" s="79" t="b">
        <v>0</v>
      </c>
      <c r="M129" s="80" t="str">
        <f t="shared" si="3"/>
        <v/>
      </c>
      <c r="N129" s="79" t="b">
        <v>0</v>
      </c>
      <c r="O129" s="80" t="str">
        <f t="shared" si="4"/>
        <v/>
      </c>
      <c r="P129" s="76"/>
      <c r="Q129" s="76"/>
      <c r="R129" s="76" t="b">
        <v>0</v>
      </c>
      <c r="S129" s="82" t="b">
        <v>0</v>
      </c>
      <c r="T129" s="76"/>
      <c r="U129" s="79"/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/>
      <c r="B130" s="76"/>
      <c r="C130" s="77"/>
      <c r="D130" s="76"/>
      <c r="E130" s="76"/>
      <c r="F130" s="76"/>
      <c r="G130" s="76"/>
      <c r="H130" s="76"/>
      <c r="I130" s="75"/>
      <c r="J130" s="78"/>
      <c r="K130" s="76"/>
      <c r="L130" s="79" t="b">
        <v>0</v>
      </c>
      <c r="M130" s="80" t="str">
        <f t="shared" si="3"/>
        <v/>
      </c>
      <c r="N130" s="79" t="b">
        <v>0</v>
      </c>
      <c r="O130" s="80" t="str">
        <f t="shared" si="4"/>
        <v/>
      </c>
      <c r="P130" s="76"/>
      <c r="Q130" s="76"/>
      <c r="R130" s="76" t="b">
        <v>0</v>
      </c>
      <c r="S130" s="82" t="b">
        <v>0</v>
      </c>
      <c r="T130" s="76"/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/>
      <c r="B131" s="76"/>
      <c r="C131" s="77"/>
      <c r="D131" s="76"/>
      <c r="E131" s="76"/>
      <c r="F131" s="76"/>
      <c r="G131" s="76"/>
      <c r="H131" s="76"/>
      <c r="I131" s="75"/>
      <c r="J131" s="78"/>
      <c r="K131" s="76"/>
      <c r="L131" s="79" t="b">
        <v>0</v>
      </c>
      <c r="M131" s="80" t="str">
        <f t="shared" si="3"/>
        <v/>
      </c>
      <c r="N131" s="79" t="b">
        <v>0</v>
      </c>
      <c r="O131" s="80" t="str">
        <f t="shared" si="4"/>
        <v/>
      </c>
      <c r="P131" s="76"/>
      <c r="Q131" s="76"/>
      <c r="R131" s="76" t="b">
        <v>0</v>
      </c>
      <c r="S131" s="82" t="b">
        <v>0</v>
      </c>
      <c r="T131" s="76"/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/>
      <c r="B132" s="76"/>
      <c r="C132" s="77"/>
      <c r="D132" s="76"/>
      <c r="E132" s="76"/>
      <c r="F132" s="76"/>
      <c r="G132" s="76"/>
      <c r="H132" s="76"/>
      <c r="I132" s="75"/>
      <c r="J132" s="78"/>
      <c r="K132" s="76"/>
      <c r="L132" s="79" t="b">
        <v>0</v>
      </c>
      <c r="M132" s="80" t="str">
        <f t="shared" si="3"/>
        <v/>
      </c>
      <c r="N132" s="79" t="b">
        <v>0</v>
      </c>
      <c r="O132" s="80" t="str">
        <f t="shared" si="4"/>
        <v/>
      </c>
      <c r="P132" s="76"/>
      <c r="Q132" s="76"/>
      <c r="R132" s="76" t="b">
        <v>0</v>
      </c>
      <c r="S132" s="82" t="b">
        <v>0</v>
      </c>
      <c r="T132" s="76"/>
      <c r="U132" s="79"/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/>
      <c r="B133" s="76"/>
      <c r="C133" s="77"/>
      <c r="D133" s="76"/>
      <c r="E133" s="76"/>
      <c r="F133" s="76"/>
      <c r="G133" s="76"/>
      <c r="H133" s="76"/>
      <c r="I133" s="75"/>
      <c r="J133" s="78"/>
      <c r="K133" s="76"/>
      <c r="L133" s="79" t="b">
        <v>0</v>
      </c>
      <c r="M133" s="80" t="str">
        <f t="shared" si="3"/>
        <v/>
      </c>
      <c r="N133" s="79" t="b">
        <v>0</v>
      </c>
      <c r="O133" s="80" t="str">
        <f t="shared" si="4"/>
        <v/>
      </c>
      <c r="P133" s="76"/>
      <c r="Q133" s="76"/>
      <c r="R133" s="76" t="b">
        <v>0</v>
      </c>
      <c r="S133" s="82" t="b">
        <v>0</v>
      </c>
      <c r="T133" s="76"/>
      <c r="U133" s="79"/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/>
      <c r="B134" s="76"/>
      <c r="C134" s="77"/>
      <c r="D134" s="76"/>
      <c r="E134" s="76"/>
      <c r="F134" s="76"/>
      <c r="G134" s="76"/>
      <c r="H134" s="76"/>
      <c r="I134" s="75"/>
      <c r="J134" s="78"/>
      <c r="K134" s="76"/>
      <c r="L134" s="79" t="b">
        <v>0</v>
      </c>
      <c r="M134" s="80" t="str">
        <f t="shared" si="3"/>
        <v/>
      </c>
      <c r="N134" s="79" t="b">
        <v>0</v>
      </c>
      <c r="O134" s="80" t="str">
        <f t="shared" si="4"/>
        <v/>
      </c>
      <c r="P134" s="76"/>
      <c r="Q134" s="76"/>
      <c r="R134" s="76" t="b">
        <v>0</v>
      </c>
      <c r="S134" s="82" t="b">
        <v>0</v>
      </c>
      <c r="T134" s="76"/>
      <c r="U134" s="79"/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/>
      <c r="B135" s="76"/>
      <c r="C135" s="77"/>
      <c r="D135" s="76"/>
      <c r="E135" s="76"/>
      <c r="F135" s="76"/>
      <c r="G135" s="76"/>
      <c r="H135" s="76"/>
      <c r="I135" s="75"/>
      <c r="J135" s="78"/>
      <c r="K135" s="76"/>
      <c r="L135" s="79" t="b">
        <v>0</v>
      </c>
      <c r="M135" s="80" t="str">
        <f t="shared" si="3"/>
        <v/>
      </c>
      <c r="N135" s="79" t="b">
        <v>0</v>
      </c>
      <c r="O135" s="80" t="str">
        <f t="shared" si="4"/>
        <v/>
      </c>
      <c r="P135" s="76"/>
      <c r="Q135" s="76"/>
      <c r="R135" s="76" t="b">
        <v>0</v>
      </c>
      <c r="S135" s="82" t="b">
        <v>0</v>
      </c>
      <c r="T135" s="76"/>
      <c r="U135" s="79"/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/>
      <c r="B136" s="76"/>
      <c r="C136" s="77"/>
      <c r="D136" s="76"/>
      <c r="E136" s="76"/>
      <c r="F136" s="76"/>
      <c r="G136" s="76"/>
      <c r="H136" s="76"/>
      <c r="I136" s="75"/>
      <c r="J136" s="78"/>
      <c r="K136" s="76"/>
      <c r="L136" s="79" t="b">
        <v>0</v>
      </c>
      <c r="M136" s="80" t="str">
        <f t="shared" si="3"/>
        <v/>
      </c>
      <c r="N136" s="79" t="b">
        <v>0</v>
      </c>
      <c r="O136" s="80" t="str">
        <f t="shared" si="4"/>
        <v/>
      </c>
      <c r="P136" s="76"/>
      <c r="Q136" s="76"/>
      <c r="R136" s="76" t="b">
        <v>0</v>
      </c>
      <c r="S136" s="82" t="b">
        <v>0</v>
      </c>
      <c r="T136" s="76"/>
      <c r="U136" s="79"/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/>
      <c r="B137" s="76"/>
      <c r="C137" s="77"/>
      <c r="D137" s="76"/>
      <c r="E137" s="76"/>
      <c r="F137" s="76"/>
      <c r="G137" s="76"/>
      <c r="H137" s="76"/>
      <c r="I137" s="75"/>
      <c r="J137" s="78"/>
      <c r="K137" s="76"/>
      <c r="L137" s="79" t="b">
        <v>0</v>
      </c>
      <c r="M137" s="80" t="str">
        <f t="shared" si="3"/>
        <v/>
      </c>
      <c r="N137" s="79" t="b">
        <v>0</v>
      </c>
      <c r="O137" s="80" t="str">
        <f t="shared" si="4"/>
        <v/>
      </c>
      <c r="P137" s="76"/>
      <c r="Q137" s="76"/>
      <c r="R137" s="76" t="b">
        <v>0</v>
      </c>
      <c r="S137" s="82" t="b">
        <v>0</v>
      </c>
      <c r="T137" s="76"/>
      <c r="U137" s="79"/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 t="b">
        <v>0</v>
      </c>
      <c r="M138" s="80" t="str">
        <f t="shared" si="3"/>
        <v/>
      </c>
      <c r="N138" s="79" t="b">
        <v>0</v>
      </c>
      <c r="O138" s="80" t="str">
        <f t="shared" si="4"/>
        <v/>
      </c>
      <c r="P138" s="76"/>
      <c r="Q138" s="76"/>
      <c r="R138" s="76" t="b">
        <v>0</v>
      </c>
      <c r="S138" s="82" t="b">
        <v>0</v>
      </c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 t="b">
        <v>0</v>
      </c>
      <c r="M139" s="80" t="str">
        <f t="shared" si="3"/>
        <v/>
      </c>
      <c r="N139" s="79" t="b">
        <v>0</v>
      </c>
      <c r="O139" s="80" t="str">
        <f t="shared" si="4"/>
        <v/>
      </c>
      <c r="P139" s="76"/>
      <c r="Q139" s="76"/>
      <c r="R139" s="76" t="b">
        <v>0</v>
      </c>
      <c r="S139" s="82" t="b">
        <v>0</v>
      </c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si="3"/>
        <v/>
      </c>
      <c r="N140" s="79" t="b">
        <v>0</v>
      </c>
      <c r="O140" s="80" t="str">
        <f t="shared" si="4"/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3"/>
        <v/>
      </c>
      <c r="N141" s="79" t="b">
        <v>0</v>
      </c>
      <c r="O141" s="80" t="str">
        <f t="shared" si="4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3"/>
        <v/>
      </c>
      <c r="N142" s="79" t="b">
        <v>0</v>
      </c>
      <c r="O142" s="80" t="str">
        <f t="shared" si="4"/>
        <v/>
      </c>
      <c r="P142" s="76"/>
      <c r="Q142" s="76"/>
      <c r="R142" s="76" t="b">
        <v>0</v>
      </c>
      <c r="S142" s="82" t="b">
        <v>0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3"/>
        <v/>
      </c>
      <c r="N143" s="79" t="b">
        <v>0</v>
      </c>
      <c r="O143" s="80" t="str">
        <f t="shared" si="4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3"/>
        <v/>
      </c>
      <c r="N144" s="79" t="b">
        <v>0</v>
      </c>
      <c r="O144" s="80" t="str">
        <f t="shared" si="4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3"/>
        <v/>
      </c>
      <c r="N145" s="79" t="b">
        <v>0</v>
      </c>
      <c r="O145" s="80" t="str">
        <f t="shared" si="4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3"/>
        <v/>
      </c>
      <c r="N146" s="79" t="b">
        <v>0</v>
      </c>
      <c r="O146" s="80" t="str">
        <f t="shared" si="4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3"/>
        <v/>
      </c>
      <c r="N147" s="79" t="b">
        <v>0</v>
      </c>
      <c r="O147" s="80" t="str">
        <f t="shared" si="4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3"/>
        <v/>
      </c>
      <c r="N148" s="79" t="b">
        <v>0</v>
      </c>
      <c r="O148" s="80" t="str">
        <f t="shared" si="4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3"/>
        <v/>
      </c>
      <c r="N149" s="79" t="b">
        <v>0</v>
      </c>
      <c r="O149" s="80" t="str">
        <f t="shared" si="4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3"/>
        <v/>
      </c>
      <c r="N150" s="79" t="b">
        <v>0</v>
      </c>
      <c r="O150" s="80" t="str">
        <f t="shared" si="4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3"/>
        <v/>
      </c>
      <c r="N151" s="79" t="b">
        <v>0</v>
      </c>
      <c r="O151" s="80" t="str">
        <f t="shared" si="4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3"/>
        <v/>
      </c>
      <c r="N152" s="79" t="b">
        <v>0</v>
      </c>
      <c r="O152" s="80" t="str">
        <f t="shared" si="4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3"/>
        <v/>
      </c>
      <c r="N153" s="79" t="b">
        <v>0</v>
      </c>
      <c r="O153" s="80" t="str">
        <f t="shared" si="4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3"/>
        <v/>
      </c>
      <c r="N154" s="79" t="b">
        <v>0</v>
      </c>
      <c r="O154" s="80" t="str">
        <f t="shared" si="4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3"/>
        <v/>
      </c>
      <c r="N155" s="79" t="b">
        <v>0</v>
      </c>
      <c r="O155" s="80" t="str">
        <f t="shared" si="4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3"/>
        <v/>
      </c>
      <c r="N156" s="79" t="b">
        <v>0</v>
      </c>
      <c r="O156" s="80" t="str">
        <f t="shared" si="4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3"/>
        <v/>
      </c>
      <c r="N157" s="79" t="b">
        <v>0</v>
      </c>
      <c r="O157" s="80" t="str">
        <f t="shared" si="4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3"/>
        <v/>
      </c>
      <c r="N158" s="79" t="b">
        <v>0</v>
      </c>
      <c r="O158" s="80" t="str">
        <f t="shared" si="4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3"/>
        <v/>
      </c>
      <c r="N159" s="79" t="b">
        <v>0</v>
      </c>
      <c r="O159" s="80" t="str">
        <f t="shared" si="4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3"/>
        <v/>
      </c>
      <c r="N160" s="79" t="b">
        <v>0</v>
      </c>
      <c r="O160" s="80" t="str">
        <f t="shared" si="4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3"/>
        <v/>
      </c>
      <c r="N161" s="79" t="b">
        <v>0</v>
      </c>
      <c r="O161" s="80" t="str">
        <f t="shared" si="4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3"/>
        <v/>
      </c>
      <c r="N162" s="79" t="b">
        <v>0</v>
      </c>
      <c r="O162" s="80" t="str">
        <f t="shared" si="4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3"/>
        <v/>
      </c>
      <c r="N163" s="79" t="b">
        <v>0</v>
      </c>
      <c r="O163" s="80" t="str">
        <f t="shared" si="4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3"/>
        <v/>
      </c>
      <c r="N164" s="79" t="b">
        <v>0</v>
      </c>
      <c r="O164" s="80" t="str">
        <f t="shared" si="4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3"/>
        <v/>
      </c>
      <c r="N165" s="79" t="b">
        <v>0</v>
      </c>
      <c r="O165" s="80" t="str">
        <f t="shared" si="4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3"/>
        <v/>
      </c>
      <c r="N166" s="79" t="b">
        <v>0</v>
      </c>
      <c r="O166" s="80" t="str">
        <f t="shared" si="4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3"/>
        <v/>
      </c>
      <c r="N167" s="79" t="b">
        <v>0</v>
      </c>
      <c r="O167" s="80" t="str">
        <f t="shared" si="4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3"/>
        <v/>
      </c>
      <c r="N168" s="79" t="b">
        <v>0</v>
      </c>
      <c r="O168" s="80" t="str">
        <f t="shared" si="4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3"/>
        <v/>
      </c>
      <c r="N169" s="79" t="b">
        <v>0</v>
      </c>
      <c r="O169" s="80" t="str">
        <f t="shared" si="4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3"/>
        <v/>
      </c>
      <c r="N170" s="79" t="b">
        <v>0</v>
      </c>
      <c r="O170" s="80" t="str">
        <f t="shared" si="4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3"/>
        <v/>
      </c>
      <c r="N171" s="79" t="b">
        <v>0</v>
      </c>
      <c r="O171" s="80" t="str">
        <f t="shared" si="4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3"/>
        <v/>
      </c>
      <c r="N172" s="79" t="b">
        <v>0</v>
      </c>
      <c r="O172" s="80" t="str">
        <f t="shared" si="4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3"/>
        <v/>
      </c>
      <c r="N173" s="79" t="b">
        <v>0</v>
      </c>
      <c r="O173" s="80" t="str">
        <f t="shared" si="4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3"/>
        <v/>
      </c>
      <c r="N174" s="79" t="b">
        <v>0</v>
      </c>
      <c r="O174" s="80" t="str">
        <f t="shared" si="4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3"/>
        <v/>
      </c>
      <c r="N175" s="79" t="b">
        <v>0</v>
      </c>
      <c r="O175" s="80" t="str">
        <f t="shared" si="4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3"/>
        <v/>
      </c>
      <c r="N176" s="79" t="b">
        <v>0</v>
      </c>
      <c r="O176" s="80" t="str">
        <f t="shared" si="4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3"/>
        <v/>
      </c>
      <c r="N177" s="79" t="b">
        <v>0</v>
      </c>
      <c r="O177" s="80" t="str">
        <f t="shared" si="4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3"/>
        <v/>
      </c>
      <c r="N178" s="79" t="b">
        <v>0</v>
      </c>
      <c r="O178" s="80" t="str">
        <f t="shared" si="4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3"/>
        <v/>
      </c>
      <c r="N179" s="79" t="b">
        <v>0</v>
      </c>
      <c r="O179" s="80" t="str">
        <f t="shared" si="4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3"/>
        <v/>
      </c>
      <c r="N180" s="79" t="b">
        <v>0</v>
      </c>
      <c r="O180" s="80" t="str">
        <f t="shared" si="4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3"/>
        <v/>
      </c>
      <c r="N181" s="79" t="b">
        <v>0</v>
      </c>
      <c r="O181" s="80" t="str">
        <f t="shared" si="4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3"/>
        <v/>
      </c>
      <c r="N182" s="79" t="b">
        <v>0</v>
      </c>
      <c r="O182" s="80" t="str">
        <f t="shared" si="4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3"/>
        <v/>
      </c>
      <c r="N183" s="79" t="b">
        <v>0</v>
      </c>
      <c r="O183" s="80" t="str">
        <f t="shared" si="4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3"/>
        <v/>
      </c>
      <c r="N184" s="79" t="b">
        <v>0</v>
      </c>
      <c r="O184" s="80" t="str">
        <f t="shared" si="4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3"/>
        <v/>
      </c>
      <c r="N185" s="79" t="b">
        <v>0</v>
      </c>
      <c r="O185" s="80" t="str">
        <f t="shared" si="4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3"/>
        <v/>
      </c>
      <c r="N186" s="79" t="b">
        <v>0</v>
      </c>
      <c r="O186" s="80" t="str">
        <f t="shared" si="4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3"/>
        <v/>
      </c>
      <c r="N187" s="79" t="b">
        <v>0</v>
      </c>
      <c r="O187" s="80" t="str">
        <f t="shared" si="4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3"/>
        <v/>
      </c>
      <c r="N188" s="79" t="b">
        <v>0</v>
      </c>
      <c r="O188" s="80" t="str">
        <f t="shared" si="4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3"/>
        <v/>
      </c>
      <c r="N189" s="79" t="b">
        <v>0</v>
      </c>
      <c r="O189" s="80" t="str">
        <f t="shared" si="4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3"/>
        <v/>
      </c>
      <c r="N190" s="79" t="b">
        <v>0</v>
      </c>
      <c r="O190" s="80" t="str">
        <f t="shared" si="4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3"/>
        <v/>
      </c>
      <c r="N191" s="79" t="b">
        <v>0</v>
      </c>
      <c r="O191" s="80" t="str">
        <f t="shared" si="4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3"/>
        <v/>
      </c>
      <c r="N192" s="79" t="b">
        <v>0</v>
      </c>
      <c r="O192" s="80" t="str">
        <f t="shared" si="4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3"/>
        <v/>
      </c>
      <c r="N193" s="79" t="b">
        <v>0</v>
      </c>
      <c r="O193" s="80" t="str">
        <f t="shared" si="4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3"/>
        <v/>
      </c>
      <c r="N194" s="79" t="b">
        <v>0</v>
      </c>
      <c r="O194" s="80" t="str">
        <f t="shared" si="4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3"/>
        <v/>
      </c>
      <c r="N195" s="79" t="b">
        <v>0</v>
      </c>
      <c r="O195" s="80" t="str">
        <f t="shared" si="4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3"/>
        <v/>
      </c>
      <c r="N196" s="79" t="b">
        <v>0</v>
      </c>
      <c r="O196" s="80" t="str">
        <f t="shared" si="4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3"/>
        <v/>
      </c>
      <c r="N197" s="79" t="b">
        <v>0</v>
      </c>
      <c r="O197" s="80" t="str">
        <f t="shared" si="4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3"/>
        <v/>
      </c>
      <c r="N198" s="79" t="b">
        <v>0</v>
      </c>
      <c r="O198" s="80" t="str">
        <f t="shared" si="4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3"/>
        <v/>
      </c>
      <c r="N199" s="79" t="b">
        <v>0</v>
      </c>
      <c r="O199" s="80" t="str">
        <f t="shared" si="4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3"/>
        <v/>
      </c>
      <c r="N200" s="79" t="b">
        <v>0</v>
      </c>
      <c r="O200" s="80" t="str">
        <f t="shared" si="4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3"/>
        <v/>
      </c>
      <c r="N201" s="79" t="b">
        <v>0</v>
      </c>
      <c r="O201" s="80" t="str">
        <f t="shared" si="4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3"/>
        <v/>
      </c>
      <c r="N202" s="79" t="b">
        <v>0</v>
      </c>
      <c r="O202" s="80" t="str">
        <f t="shared" si="4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3"/>
        <v/>
      </c>
      <c r="N203" s="79" t="b">
        <v>0</v>
      </c>
      <c r="O203" s="80" t="str">
        <f t="shared" si="4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3"/>
        <v/>
      </c>
      <c r="N204" s="79" t="b">
        <v>0</v>
      </c>
      <c r="O204" s="80" t="str">
        <f t="shared" si="4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3"/>
        <v/>
      </c>
      <c r="N205" s="79" t="b">
        <v>0</v>
      </c>
      <c r="O205" s="80" t="str">
        <f t="shared" si="4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3"/>
        <v/>
      </c>
      <c r="N206" s="79" t="b">
        <v>0</v>
      </c>
      <c r="O206" s="80" t="str">
        <f t="shared" si="4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3"/>
        <v/>
      </c>
      <c r="N207" s="79" t="b">
        <v>0</v>
      </c>
      <c r="O207" s="80" t="str">
        <f t="shared" si="4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3"/>
        <v/>
      </c>
      <c r="N208" s="79" t="b">
        <v>0</v>
      </c>
      <c r="O208" s="80" t="str">
        <f t="shared" si="4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3"/>
        <v/>
      </c>
      <c r="N209" s="79" t="b">
        <v>0</v>
      </c>
      <c r="O209" s="80" t="str">
        <f t="shared" si="4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3"/>
        <v/>
      </c>
      <c r="N210" s="79" t="b">
        <v>0</v>
      </c>
      <c r="O210" s="80" t="str">
        <f t="shared" si="4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3"/>
        <v/>
      </c>
      <c r="N211" s="79" t="b">
        <v>0</v>
      </c>
      <c r="O211" s="80" t="str">
        <f t="shared" si="4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3"/>
        <v/>
      </c>
      <c r="N212" s="79" t="b">
        <v>0</v>
      </c>
      <c r="O212" s="80" t="str">
        <f t="shared" si="4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3"/>
        <v/>
      </c>
      <c r="N213" s="79" t="b">
        <v>0</v>
      </c>
      <c r="O213" s="80" t="str">
        <f t="shared" si="4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3"/>
        <v/>
      </c>
      <c r="N214" s="79" t="b">
        <v>0</v>
      </c>
      <c r="O214" s="80" t="str">
        <f t="shared" si="4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3"/>
        <v/>
      </c>
      <c r="N215" s="79" t="b">
        <v>0</v>
      </c>
      <c r="O215" s="80" t="str">
        <f t="shared" si="4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3"/>
        <v/>
      </c>
      <c r="N216" s="79" t="b">
        <v>0</v>
      </c>
      <c r="O216" s="80" t="str">
        <f t="shared" si="4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3"/>
        <v/>
      </c>
      <c r="N217" s="79" t="b">
        <v>0</v>
      </c>
      <c r="O217" s="80" t="str">
        <f t="shared" si="4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3"/>
        <v/>
      </c>
      <c r="N218" s="79" t="b">
        <v>0</v>
      </c>
      <c r="O218" s="80" t="str">
        <f t="shared" si="4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3"/>
        <v/>
      </c>
      <c r="N219" s="79" t="b">
        <v>0</v>
      </c>
      <c r="O219" s="80" t="str">
        <f t="shared" si="4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3"/>
        <v/>
      </c>
      <c r="N220" s="79" t="b">
        <v>0</v>
      </c>
      <c r="O220" s="80" t="str">
        <f t="shared" si="4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3"/>
        <v/>
      </c>
      <c r="N221" s="79" t="b">
        <v>0</v>
      </c>
      <c r="O221" s="80" t="str">
        <f t="shared" si="4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3"/>
        <v/>
      </c>
      <c r="N222" s="79" t="b">
        <v>0</v>
      </c>
      <c r="O222" s="80" t="str">
        <f t="shared" si="4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3"/>
        <v/>
      </c>
      <c r="N223" s="79" t="b">
        <v>0</v>
      </c>
      <c r="O223" s="80" t="str">
        <f t="shared" si="4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3"/>
        <v/>
      </c>
      <c r="N224" s="79" t="b">
        <v>0</v>
      </c>
      <c r="O224" s="80" t="str">
        <f t="shared" si="4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3"/>
        <v/>
      </c>
      <c r="N225" s="79" t="b">
        <v>0</v>
      </c>
      <c r="O225" s="80" t="str">
        <f t="shared" si="4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3"/>
        <v/>
      </c>
      <c r="N226" s="79" t="b">
        <v>0</v>
      </c>
      <c r="O226" s="80" t="str">
        <f t="shared" si="4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3"/>
        <v/>
      </c>
      <c r="N227" s="79" t="b">
        <v>0</v>
      </c>
      <c r="O227" s="80" t="str">
        <f t="shared" si="4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3"/>
        <v/>
      </c>
      <c r="N228" s="79" t="b">
        <v>0</v>
      </c>
      <c r="O228" s="80" t="str">
        <f t="shared" si="4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3"/>
        <v/>
      </c>
      <c r="N229" s="79" t="b">
        <v>0</v>
      </c>
      <c r="O229" s="80" t="str">
        <f t="shared" si="4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3"/>
        <v/>
      </c>
      <c r="N230" s="79" t="b">
        <v>0</v>
      </c>
      <c r="O230" s="80" t="str">
        <f t="shared" si="4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3"/>
        <v/>
      </c>
      <c r="N231" s="79" t="b">
        <v>0</v>
      </c>
      <c r="O231" s="80" t="str">
        <f t="shared" si="4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3"/>
        <v/>
      </c>
      <c r="N232" s="79" t="b">
        <v>0</v>
      </c>
      <c r="O232" s="80" t="str">
        <f t="shared" si="4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3"/>
        <v/>
      </c>
      <c r="N233" s="79" t="b">
        <v>0</v>
      </c>
      <c r="O233" s="80" t="str">
        <f t="shared" si="4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3"/>
        <v/>
      </c>
      <c r="N234" s="79" t="b">
        <v>0</v>
      </c>
      <c r="O234" s="80" t="str">
        <f t="shared" si="4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3"/>
        <v/>
      </c>
      <c r="N235" s="79" t="b">
        <v>0</v>
      </c>
      <c r="O235" s="80" t="str">
        <f t="shared" si="4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3"/>
        <v/>
      </c>
      <c r="N236" s="79" t="b">
        <v>0</v>
      </c>
      <c r="O236" s="80" t="str">
        <f t="shared" si="4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3"/>
        <v/>
      </c>
      <c r="N237" s="79" t="b">
        <v>0</v>
      </c>
      <c r="O237" s="80" t="str">
        <f t="shared" si="4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3"/>
        <v/>
      </c>
      <c r="N238" s="79" t="b">
        <v>0</v>
      </c>
      <c r="O238" s="80" t="str">
        <f t="shared" si="4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3"/>
        <v/>
      </c>
      <c r="N239" s="79" t="b">
        <v>0</v>
      </c>
      <c r="O239" s="80" t="str">
        <f t="shared" si="4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3"/>
        <v/>
      </c>
      <c r="N240" s="79" t="b">
        <v>0</v>
      </c>
      <c r="O240" s="80" t="str">
        <f t="shared" si="4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3"/>
        <v/>
      </c>
      <c r="N241" s="79" t="b">
        <v>0</v>
      </c>
      <c r="O241" s="80" t="str">
        <f t="shared" si="4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3"/>
        <v/>
      </c>
      <c r="N242" s="79" t="b">
        <v>0</v>
      </c>
      <c r="O242" s="80" t="str">
        <f t="shared" si="4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3"/>
        <v/>
      </c>
      <c r="N243" s="79" t="b">
        <v>0</v>
      </c>
      <c r="O243" s="80" t="str">
        <f t="shared" si="4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3"/>
        <v/>
      </c>
      <c r="N244" s="79" t="b">
        <v>0</v>
      </c>
      <c r="O244" s="80" t="str">
        <f t="shared" si="4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3"/>
        <v/>
      </c>
      <c r="N245" s="79" t="b">
        <v>0</v>
      </c>
      <c r="O245" s="80" t="str">
        <f t="shared" si="4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3"/>
        <v/>
      </c>
      <c r="N246" s="79" t="b">
        <v>0</v>
      </c>
      <c r="O246" s="80" t="str">
        <f t="shared" si="4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3"/>
        <v/>
      </c>
      <c r="N247" s="79" t="b">
        <v>0</v>
      </c>
      <c r="O247" s="80" t="str">
        <f t="shared" si="4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3"/>
        <v/>
      </c>
      <c r="N248" s="79" t="b">
        <v>0</v>
      </c>
      <c r="O248" s="80" t="str">
        <f t="shared" si="4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3"/>
        <v/>
      </c>
      <c r="N249" s="79" t="b">
        <v>0</v>
      </c>
      <c r="O249" s="80" t="str">
        <f t="shared" si="4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3"/>
        <v/>
      </c>
      <c r="N250" s="79" t="b">
        <v>0</v>
      </c>
      <c r="O250" s="80" t="str">
        <f t="shared" si="4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3"/>
        <v/>
      </c>
      <c r="N251" s="79" t="b">
        <v>0</v>
      </c>
      <c r="O251" s="80" t="str">
        <f t="shared" si="4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3"/>
        <v/>
      </c>
      <c r="N252" s="79" t="b">
        <v>0</v>
      </c>
      <c r="O252" s="80" t="str">
        <f t="shared" si="4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3"/>
        <v/>
      </c>
      <c r="N253" s="79" t="b">
        <v>0</v>
      </c>
      <c r="O253" s="80" t="str">
        <f t="shared" si="4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3"/>
        <v/>
      </c>
      <c r="N254" s="79" t="b">
        <v>0</v>
      </c>
      <c r="O254" s="80" t="str">
        <f t="shared" si="4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3"/>
        <v/>
      </c>
      <c r="N255" s="79" t="b">
        <v>0</v>
      </c>
      <c r="O255" s="80" t="str">
        <f t="shared" si="4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3"/>
        <v/>
      </c>
      <c r="N256" s="79" t="b">
        <v>0</v>
      </c>
      <c r="O256" s="80" t="str">
        <f t="shared" si="4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3"/>
        <v/>
      </c>
      <c r="N257" s="79" t="b">
        <v>0</v>
      </c>
      <c r="O257" s="80" t="str">
        <f t="shared" si="4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3"/>
        <v/>
      </c>
      <c r="N258" s="79" t="b">
        <v>0</v>
      </c>
      <c r="O258" s="80" t="str">
        <f t="shared" si="4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3"/>
        <v/>
      </c>
      <c r="N259" s="79" t="b">
        <v>0</v>
      </c>
      <c r="O259" s="80" t="str">
        <f t="shared" si="4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3"/>
        <v/>
      </c>
      <c r="N260" s="79" t="b">
        <v>0</v>
      </c>
      <c r="O260" s="80" t="str">
        <f t="shared" si="4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3"/>
        <v/>
      </c>
      <c r="N261" s="79" t="b">
        <v>0</v>
      </c>
      <c r="O261" s="80" t="str">
        <f t="shared" si="4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3"/>
        <v/>
      </c>
      <c r="N262" s="79" t="b">
        <v>0</v>
      </c>
      <c r="O262" s="80" t="str">
        <f t="shared" si="4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3"/>
        <v/>
      </c>
      <c r="N263" s="79" t="b">
        <v>0</v>
      </c>
      <c r="O263" s="80" t="str">
        <f t="shared" si="4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3"/>
        <v/>
      </c>
      <c r="N264" s="79" t="b">
        <v>0</v>
      </c>
      <c r="O264" s="80" t="str">
        <f t="shared" si="4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3"/>
        <v/>
      </c>
      <c r="N265" s="79" t="b">
        <v>0</v>
      </c>
      <c r="O265" s="80" t="str">
        <f t="shared" si="4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3"/>
        <v/>
      </c>
      <c r="N266" s="79" t="b">
        <v>0</v>
      </c>
      <c r="O266" s="80" t="str">
        <f t="shared" si="4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3"/>
        <v/>
      </c>
      <c r="N267" s="79" t="b">
        <v>0</v>
      </c>
      <c r="O267" s="80" t="str">
        <f t="shared" si="4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3"/>
        <v/>
      </c>
      <c r="N268" s="79" t="b">
        <v>0</v>
      </c>
      <c r="O268" s="80" t="str">
        <f t="shared" si="4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3"/>
        <v/>
      </c>
      <c r="N269" s="79" t="b">
        <v>0</v>
      </c>
      <c r="O269" s="80" t="str">
        <f t="shared" si="4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3"/>
        <v/>
      </c>
      <c r="N270" s="79" t="b">
        <v>0</v>
      </c>
      <c r="O270" s="80" t="str">
        <f t="shared" si="4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3"/>
        <v/>
      </c>
      <c r="N271" s="79" t="b">
        <v>0</v>
      </c>
      <c r="O271" s="80" t="str">
        <f t="shared" si="4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3"/>
        <v/>
      </c>
      <c r="N272" s="79" t="b">
        <v>0</v>
      </c>
      <c r="O272" s="80" t="str">
        <f t="shared" si="4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3"/>
        <v/>
      </c>
      <c r="N273" s="79" t="b">
        <v>0</v>
      </c>
      <c r="O273" s="80" t="str">
        <f t="shared" si="4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3"/>
        <v/>
      </c>
      <c r="N274" s="79" t="b">
        <v>0</v>
      </c>
      <c r="O274" s="80" t="str">
        <f t="shared" si="4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3"/>
        <v/>
      </c>
      <c r="N275" s="79" t="b">
        <v>0</v>
      </c>
      <c r="O275" s="80" t="str">
        <f t="shared" si="4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3"/>
        <v/>
      </c>
      <c r="N276" s="79" t="b">
        <v>0</v>
      </c>
      <c r="O276" s="80" t="str">
        <f t="shared" si="4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3"/>
        <v/>
      </c>
      <c r="N277" s="79" t="b">
        <v>0</v>
      </c>
      <c r="O277" s="80" t="str">
        <f t="shared" si="4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3"/>
        <v/>
      </c>
      <c r="N278" s="79" t="b">
        <v>0</v>
      </c>
      <c r="O278" s="80" t="str">
        <f t="shared" si="4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3"/>
        <v/>
      </c>
      <c r="N279" s="79" t="b">
        <v>0</v>
      </c>
      <c r="O279" s="80" t="str">
        <f t="shared" si="4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3"/>
        <v/>
      </c>
      <c r="N280" s="79" t="b">
        <v>0</v>
      </c>
      <c r="O280" s="80" t="str">
        <f t="shared" si="4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3"/>
        <v/>
      </c>
      <c r="N281" s="79" t="b">
        <v>0</v>
      </c>
      <c r="O281" s="80" t="str">
        <f t="shared" si="4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3"/>
        <v/>
      </c>
      <c r="N282" s="79" t="b">
        <v>0</v>
      </c>
      <c r="O282" s="80" t="str">
        <f t="shared" si="4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3"/>
        <v/>
      </c>
      <c r="N283" s="79" t="b">
        <v>0</v>
      </c>
      <c r="O283" s="80" t="str">
        <f t="shared" si="4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3"/>
        <v/>
      </c>
      <c r="N284" s="79" t="b">
        <v>0</v>
      </c>
      <c r="O284" s="80" t="str">
        <f t="shared" si="4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3"/>
        <v/>
      </c>
      <c r="N285" s="79" t="b">
        <v>0</v>
      </c>
      <c r="O285" s="80" t="str">
        <f t="shared" si="4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3"/>
        <v/>
      </c>
      <c r="N286" s="79" t="b">
        <v>0</v>
      </c>
      <c r="O286" s="80" t="str">
        <f t="shared" si="4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3"/>
        <v/>
      </c>
      <c r="N287" s="79" t="b">
        <v>0</v>
      </c>
      <c r="O287" s="80" t="str">
        <f t="shared" si="4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3"/>
        <v/>
      </c>
      <c r="N288" s="79" t="b">
        <v>0</v>
      </c>
      <c r="O288" s="80" t="str">
        <f t="shared" si="4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3"/>
        <v/>
      </c>
      <c r="N289" s="79" t="b">
        <v>0</v>
      </c>
      <c r="O289" s="80" t="str">
        <f t="shared" si="4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3"/>
        <v/>
      </c>
      <c r="N290" s="79" t="b">
        <v>0</v>
      </c>
      <c r="O290" s="80" t="str">
        <f t="shared" si="4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3"/>
        <v/>
      </c>
      <c r="N291" s="79" t="b">
        <v>0</v>
      </c>
      <c r="O291" s="80" t="str">
        <f t="shared" si="4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3"/>
        <v/>
      </c>
      <c r="N292" s="79" t="b">
        <v>0</v>
      </c>
      <c r="O292" s="80" t="str">
        <f t="shared" si="4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3"/>
        <v/>
      </c>
      <c r="N293" s="79" t="b">
        <v>0</v>
      </c>
      <c r="O293" s="80" t="str">
        <f t="shared" si="4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3"/>
        <v/>
      </c>
      <c r="N294" s="79" t="b">
        <v>0</v>
      </c>
      <c r="O294" s="80" t="str">
        <f t="shared" si="4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3"/>
        <v/>
      </c>
      <c r="N295" s="79" t="b">
        <v>0</v>
      </c>
      <c r="O295" s="80" t="str">
        <f t="shared" si="4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3"/>
        <v/>
      </c>
      <c r="N296" s="79" t="b">
        <v>0</v>
      </c>
      <c r="O296" s="80" t="str">
        <f t="shared" si="4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3"/>
        <v/>
      </c>
      <c r="N297" s="79" t="b">
        <v>0</v>
      </c>
      <c r="O297" s="80" t="str">
        <f t="shared" si="4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3"/>
        <v/>
      </c>
      <c r="N298" s="79" t="b">
        <v>0</v>
      </c>
      <c r="O298" s="80" t="str">
        <f t="shared" si="4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3"/>
        <v/>
      </c>
      <c r="N299" s="79" t="b">
        <v>0</v>
      </c>
      <c r="O299" s="80" t="str">
        <f t="shared" si="4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3"/>
        <v/>
      </c>
      <c r="N300" s="79" t="b">
        <v>0</v>
      </c>
      <c r="O300" s="80" t="str">
        <f t="shared" si="4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3"/>
        <v/>
      </c>
      <c r="N301" s="79" t="b">
        <v>0</v>
      </c>
      <c r="O301" s="80" t="str">
        <f t="shared" si="4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3"/>
        <v/>
      </c>
      <c r="N302" s="79" t="b">
        <v>0</v>
      </c>
      <c r="O302" s="80" t="str">
        <f t="shared" si="4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3"/>
        <v/>
      </c>
      <c r="N303" s="79" t="b">
        <v>0</v>
      </c>
      <c r="O303" s="80" t="str">
        <f t="shared" si="4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3"/>
        <v/>
      </c>
      <c r="N304" s="79" t="b">
        <v>0</v>
      </c>
      <c r="O304" s="80" t="str">
        <f t="shared" si="4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3"/>
        <v/>
      </c>
      <c r="N305" s="79" t="b">
        <v>0</v>
      </c>
      <c r="O305" s="80" t="str">
        <f t="shared" si="4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3"/>
        <v/>
      </c>
      <c r="N306" s="79" t="b">
        <v>0</v>
      </c>
      <c r="O306" s="80" t="str">
        <f t="shared" si="4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3"/>
        <v/>
      </c>
      <c r="N307" s="79" t="b">
        <v>0</v>
      </c>
      <c r="O307" s="80" t="str">
        <f t="shared" si="4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 maintenance"</formula>
    </cfRule>
  </conditionalFormatting>
  <conditionalFormatting sqref="A11:V307">
    <cfRule type="expression" dxfId="0" priority="9">
      <formula>$U11="รอคอนเฟิร์ม"</formula>
    </cfRule>
  </conditionalFormatting>
  <conditionalFormatting sqref="A11:V307">
    <cfRule type="expression" dxfId="0" priority="10">
      <formula>$U11="รอดูสี"</formula>
    </cfRule>
  </conditionalFormatting>
  <conditionalFormatting sqref="A11:V307">
    <cfRule type="expression" dxfId="0" priority="11">
      <formula>$U11="กระดาษชื้น"</formula>
    </cfRule>
  </conditionalFormatting>
  <conditionalFormatting sqref="A11:V307">
    <cfRule type="expression" dxfId="4" priority="12">
      <formula>$L11=True</formula>
    </cfRule>
  </conditionalFormatting>
  <conditionalFormatting sqref="A11:V307">
    <cfRule type="expression" dxfId="6" priority="13">
      <formula>$F11="ตามคิว"</formula>
    </cfRule>
  </conditionalFormatting>
  <conditionalFormatting sqref="A11:V307">
    <cfRule type="expression" dxfId="7" priority="14">
      <formula>$F11="Same Day"</formula>
    </cfRule>
  </conditionalFormatting>
  <conditionalFormatting sqref="A11:V307">
    <cfRule type="expression" dxfId="6" priority="15">
      <formula>$F11="ตัวอย่าง Mockup"</formula>
    </cfRule>
  </conditionalFormatting>
  <conditionalFormatting sqref="D17:F17">
    <cfRule type="notContainsBlanks" dxfId="8" priority="16">
      <formula>LEN(TRIM(D17))&gt;0</formula>
    </cfRule>
  </conditionalFormatting>
  <conditionalFormatting sqref="A11:V307">
    <cfRule type="expression" dxfId="5" priority="17">
      <formula>$F11="VIP"</formula>
    </cfRule>
  </conditionalFormatting>
  <conditionalFormatting sqref="D17:F17">
    <cfRule type="notContainsBlanks" dxfId="8" priority="18">
      <formula>LEN(TRIM(D17))&gt;0</formula>
    </cfRule>
  </conditionalFormatting>
  <conditionalFormatting sqref="U400:W400">
    <cfRule type="expression" dxfId="9" priority="19">
      <formula>"D11"</formula>
    </cfRule>
  </conditionalFormatting>
  <conditionalFormatting sqref="A1:B1">
    <cfRule type="notContainsBlanks" dxfId="8" priority="20">
      <formula>LEN(TRIM(A1))&gt;0</formula>
    </cfRule>
  </conditionalFormatting>
  <conditionalFormatting sqref="A11:V307">
    <cfRule type="expression" dxfId="10" priority="21">
      <formula>$F11="งานซ่อม"</formula>
    </cfRule>
  </conditionalFormatting>
  <conditionalFormatting sqref="A11:V307">
    <cfRule type="expression" dxfId="10" priority="22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51 D52 D53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K11:K307 P11:P307">
      <formula1>"Fluke,Sunney,Jeab,Nat"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hyperlinks>
    <hyperlink r:id="rId1" ref="C2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0</v>
      </c>
      <c r="D2" s="13" t="s">
        <v>8</v>
      </c>
      <c r="E2" s="14">
        <f>COUNTIFS(F11:F1000,"ตามคิว")</f>
        <v>0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0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0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0</v>
      </c>
      <c r="D3" s="13" t="s">
        <v>18</v>
      </c>
      <c r="E3" s="14">
        <f>COUNTIFS(F11:F1000,"Same Day")</f>
        <v>0</v>
      </c>
      <c r="F3" s="15" t="s">
        <v>9</v>
      </c>
      <c r="G3" s="27" t="s">
        <v>19</v>
      </c>
      <c r="H3" s="28">
        <f>COUNTIFS(U11:U1000,"Dicut Jwei")</f>
        <v>0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0</v>
      </c>
      <c r="Y3" s="25" t="s">
        <v>9</v>
      </c>
      <c r="Z3" s="25" t="s">
        <v>24</v>
      </c>
      <c r="AA3" s="25">
        <f>COUNTIFS(D11:E1000,"ปอนด์ 80g (โกดัง)")</f>
        <v>0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0</v>
      </c>
      <c r="F4" s="15" t="s">
        <v>9</v>
      </c>
      <c r="G4" s="27" t="s">
        <v>28</v>
      </c>
      <c r="H4" s="28">
        <f>COUNTIFS(U11:U1000,"Dicut Graptech")</f>
        <v>0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0</v>
      </c>
      <c r="Y4" s="25" t="s">
        <v>9</v>
      </c>
      <c r="Z4" s="25" t="s">
        <v>32</v>
      </c>
      <c r="AA4" s="25">
        <f>COUNTIFS(D11:E1000,"ปอนด์ 100g (โกดัง)")</f>
        <v>0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0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0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0</v>
      </c>
      <c r="AH5" s="26" t="s">
        <v>9</v>
      </c>
    </row>
    <row r="6" ht="21.75" customHeight="1">
      <c r="A6" s="11">
        <f>COUNTIFS(N11:N1000,True,B11:B1000,"*",K11:K1000,"*")</f>
        <v>0</v>
      </c>
      <c r="B6" s="2"/>
      <c r="C6" s="12" t="s">
        <v>9</v>
      </c>
      <c r="D6" s="13" t="s">
        <v>44</v>
      </c>
      <c r="E6" s="14">
        <f>COUNTIFS(F11:F1000,"ซ่อมไม่มีใบสั่ง")</f>
        <v>0</v>
      </c>
      <c r="F6" s="15" t="s">
        <v>9</v>
      </c>
      <c r="G6" s="42" t="s">
        <v>11</v>
      </c>
      <c r="H6" s="19">
        <f>COUNTIFS(Q11:Q1000,"C12000")</f>
        <v>0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0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0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0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0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0</v>
      </c>
      <c r="I8" s="51" t="s">
        <v>59</v>
      </c>
      <c r="J8" s="2"/>
      <c r="K8" s="53">
        <f>SUM(H3+H4)</f>
        <v>0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0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/>
      <c r="B11" s="76"/>
      <c r="C11" s="77"/>
      <c r="D11" s="76"/>
      <c r="E11" s="76"/>
      <c r="F11" s="76"/>
      <c r="G11" s="76"/>
      <c r="H11" s="76"/>
      <c r="I11" s="75"/>
      <c r="J11" s="78"/>
      <c r="K11" s="76"/>
      <c r="L11" s="79" t="b">
        <v>0</v>
      </c>
      <c r="M11" s="80" t="str">
        <f t="shared" ref="M11:M307" si="1">IFS(L11=FALSE,"",M11="",NOW(),TRUE,M11)</f>
        <v/>
      </c>
      <c r="N11" s="131" t="b">
        <v>0</v>
      </c>
      <c r="O11" s="80" t="str">
        <f t="shared" ref="O11:O307" si="2">IFS(N11=FALSE,"",O11="",NOW(),TRUE,O11)</f>
        <v/>
      </c>
      <c r="P11" s="76"/>
      <c r="Q11" s="76"/>
      <c r="R11" s="76" t="b">
        <v>0</v>
      </c>
      <c r="S11" s="82" t="b">
        <v>0</v>
      </c>
      <c r="T11" s="76"/>
      <c r="U11" s="79"/>
      <c r="V11" s="83"/>
      <c r="W11" s="118"/>
    </row>
    <row r="12">
      <c r="A12" s="75"/>
      <c r="B12" s="76"/>
      <c r="C12" s="77"/>
      <c r="D12" s="76"/>
      <c r="E12" s="76"/>
      <c r="F12" s="76"/>
      <c r="G12" s="76"/>
      <c r="H12" s="76"/>
      <c r="I12" s="75"/>
      <c r="J12" s="78"/>
      <c r="K12" s="76"/>
      <c r="L12" s="79" t="b">
        <v>0</v>
      </c>
      <c r="M12" s="80" t="str">
        <f t="shared" si="1"/>
        <v/>
      </c>
      <c r="N12" s="131" t="b">
        <v>0</v>
      </c>
      <c r="O12" s="80" t="str">
        <f t="shared" si="2"/>
        <v/>
      </c>
      <c r="P12" s="76"/>
      <c r="Q12" s="76"/>
      <c r="R12" s="76" t="b">
        <v>0</v>
      </c>
      <c r="S12" s="82" t="b">
        <v>0</v>
      </c>
      <c r="T12" s="76"/>
      <c r="U12" s="79"/>
      <c r="V12" s="83"/>
      <c r="W12" s="74"/>
    </row>
    <row r="13">
      <c r="A13" s="75"/>
      <c r="B13" s="76"/>
      <c r="C13" s="77"/>
      <c r="D13" s="76"/>
      <c r="E13" s="76"/>
      <c r="F13" s="76"/>
      <c r="G13" s="76"/>
      <c r="H13" s="76"/>
      <c r="I13" s="75"/>
      <c r="J13" s="78"/>
      <c r="K13" s="76"/>
      <c r="L13" s="79" t="b">
        <v>0</v>
      </c>
      <c r="M13" s="80" t="str">
        <f t="shared" si="1"/>
        <v/>
      </c>
      <c r="N13" s="131" t="b">
        <v>0</v>
      </c>
      <c r="O13" s="80" t="str">
        <f t="shared" si="2"/>
        <v/>
      </c>
      <c r="P13" s="76"/>
      <c r="Q13" s="76"/>
      <c r="R13" s="76" t="b">
        <v>0</v>
      </c>
      <c r="S13" s="82" t="b">
        <v>0</v>
      </c>
      <c r="T13" s="76"/>
      <c r="U13" s="79"/>
      <c r="V13" s="83"/>
      <c r="W13" s="74"/>
    </row>
    <row r="14">
      <c r="A14" s="75"/>
      <c r="B14" s="76"/>
      <c r="C14" s="77"/>
      <c r="D14" s="76"/>
      <c r="E14" s="76"/>
      <c r="F14" s="76"/>
      <c r="G14" s="76"/>
      <c r="H14" s="76"/>
      <c r="I14" s="75"/>
      <c r="J14" s="78"/>
      <c r="K14" s="76"/>
      <c r="L14" s="79" t="b">
        <v>0</v>
      </c>
      <c r="M14" s="80" t="str">
        <f t="shared" si="1"/>
        <v/>
      </c>
      <c r="N14" s="131" t="b">
        <v>0</v>
      </c>
      <c r="O14" s="80" t="str">
        <f t="shared" si="2"/>
        <v/>
      </c>
      <c r="P14" s="76"/>
      <c r="Q14" s="76"/>
      <c r="R14" s="76" t="b">
        <v>0</v>
      </c>
      <c r="S14" s="82" t="b">
        <v>0</v>
      </c>
      <c r="T14" s="76"/>
      <c r="U14" s="79"/>
      <c r="V14" s="83"/>
      <c r="W14" s="74"/>
    </row>
    <row r="15">
      <c r="A15" s="75"/>
      <c r="B15" s="76"/>
      <c r="C15" s="77"/>
      <c r="D15" s="76"/>
      <c r="E15" s="76"/>
      <c r="F15" s="76"/>
      <c r="G15" s="76"/>
      <c r="H15" s="76"/>
      <c r="I15" s="75"/>
      <c r="J15" s="78"/>
      <c r="K15" s="76"/>
      <c r="L15" s="79" t="b">
        <v>0</v>
      </c>
      <c r="M15" s="80" t="str">
        <f t="shared" si="1"/>
        <v/>
      </c>
      <c r="N15" s="131" t="b">
        <v>0</v>
      </c>
      <c r="O15" s="80" t="str">
        <f t="shared" si="2"/>
        <v/>
      </c>
      <c r="P15" s="76"/>
      <c r="Q15" s="76"/>
      <c r="R15" s="76" t="b">
        <v>0</v>
      </c>
      <c r="S15" s="82" t="b">
        <v>0</v>
      </c>
      <c r="T15" s="76"/>
      <c r="U15" s="79"/>
      <c r="V15" s="83"/>
      <c r="W15" s="118"/>
    </row>
    <row r="16">
      <c r="A16" s="75"/>
      <c r="B16" s="76"/>
      <c r="C16" s="77"/>
      <c r="D16" s="76"/>
      <c r="E16" s="76"/>
      <c r="F16" s="76"/>
      <c r="G16" s="76"/>
      <c r="H16" s="76"/>
      <c r="I16" s="75"/>
      <c r="J16" s="78"/>
      <c r="K16" s="76"/>
      <c r="L16" s="79" t="b">
        <v>0</v>
      </c>
      <c r="M16" s="80" t="str">
        <f t="shared" si="1"/>
        <v/>
      </c>
      <c r="N16" s="131" t="b">
        <v>0</v>
      </c>
      <c r="O16" s="80" t="str">
        <f t="shared" si="2"/>
        <v/>
      </c>
      <c r="P16" s="76"/>
      <c r="Q16" s="76"/>
      <c r="R16" s="76" t="b">
        <v>0</v>
      </c>
      <c r="S16" s="82" t="b">
        <v>0</v>
      </c>
      <c r="T16" s="76"/>
      <c r="U16" s="79"/>
      <c r="V16" s="83"/>
      <c r="W16" s="118"/>
    </row>
    <row r="17">
      <c r="A17" s="75"/>
      <c r="B17" s="76"/>
      <c r="C17" s="77"/>
      <c r="D17" s="76"/>
      <c r="E17" s="76"/>
      <c r="F17" s="76"/>
      <c r="G17" s="76"/>
      <c r="H17" s="76"/>
      <c r="I17" s="75"/>
      <c r="J17" s="78"/>
      <c r="K17" s="76"/>
      <c r="L17" s="79" t="b">
        <v>0</v>
      </c>
      <c r="M17" s="80" t="str">
        <f t="shared" si="1"/>
        <v/>
      </c>
      <c r="N17" s="131" t="b">
        <v>0</v>
      </c>
      <c r="O17" s="80" t="str">
        <f t="shared" si="2"/>
        <v/>
      </c>
      <c r="P17" s="76"/>
      <c r="Q17" s="76"/>
      <c r="R17" s="76" t="b">
        <v>0</v>
      </c>
      <c r="S17" s="82" t="b">
        <v>0</v>
      </c>
      <c r="T17" s="76"/>
      <c r="U17" s="79"/>
      <c r="V17" s="83"/>
      <c r="W17" s="74"/>
    </row>
    <row r="18">
      <c r="A18" s="75"/>
      <c r="B18" s="76"/>
      <c r="C18" s="77"/>
      <c r="D18" s="76"/>
      <c r="E18" s="76"/>
      <c r="F18" s="76"/>
      <c r="G18" s="76"/>
      <c r="H18" s="76"/>
      <c r="I18" s="75"/>
      <c r="J18" s="78"/>
      <c r="K18" s="76"/>
      <c r="L18" s="79" t="b">
        <v>0</v>
      </c>
      <c r="M18" s="80" t="str">
        <f t="shared" si="1"/>
        <v/>
      </c>
      <c r="N18" s="131" t="b">
        <v>0</v>
      </c>
      <c r="O18" s="80" t="str">
        <f t="shared" si="2"/>
        <v/>
      </c>
      <c r="P18" s="76"/>
      <c r="Q18" s="76"/>
      <c r="R18" s="76" t="b">
        <v>0</v>
      </c>
      <c r="S18" s="82" t="b">
        <v>0</v>
      </c>
      <c r="T18" s="76"/>
      <c r="U18" s="79"/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/>
      <c r="B19" s="76"/>
      <c r="C19" s="77"/>
      <c r="D19" s="76"/>
      <c r="E19" s="76"/>
      <c r="F19" s="76"/>
      <c r="G19" s="76"/>
      <c r="H19" s="76"/>
      <c r="I19" s="75"/>
      <c r="J19" s="78"/>
      <c r="K19" s="76"/>
      <c r="L19" s="79" t="b">
        <v>0</v>
      </c>
      <c r="M19" s="80" t="str">
        <f t="shared" si="1"/>
        <v/>
      </c>
      <c r="N19" s="131" t="b">
        <v>0</v>
      </c>
      <c r="O19" s="80" t="str">
        <f t="shared" si="2"/>
        <v/>
      </c>
      <c r="P19" s="76"/>
      <c r="Q19" s="76"/>
      <c r="R19" s="76" t="b">
        <v>0</v>
      </c>
      <c r="S19" s="82" t="b">
        <v>0</v>
      </c>
      <c r="T19" s="76"/>
      <c r="U19" s="79"/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/>
      <c r="B20" s="76"/>
      <c r="C20" s="77"/>
      <c r="D20" s="76"/>
      <c r="E20" s="76"/>
      <c r="F20" s="76"/>
      <c r="G20" s="76"/>
      <c r="H20" s="76"/>
      <c r="I20" s="75"/>
      <c r="J20" s="78"/>
      <c r="K20" s="76"/>
      <c r="L20" s="79" t="b">
        <v>0</v>
      </c>
      <c r="M20" s="80" t="str">
        <f t="shared" si="1"/>
        <v/>
      </c>
      <c r="N20" s="131" t="b">
        <v>0</v>
      </c>
      <c r="O20" s="80" t="str">
        <f t="shared" si="2"/>
        <v/>
      </c>
      <c r="P20" s="76"/>
      <c r="Q20" s="76"/>
      <c r="R20" s="76" t="b">
        <v>0</v>
      </c>
      <c r="S20" s="82" t="b">
        <v>0</v>
      </c>
      <c r="T20" s="76"/>
      <c r="U20" s="79"/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/>
      <c r="B21" s="76"/>
      <c r="C21" s="77"/>
      <c r="D21" s="76"/>
      <c r="E21" s="76"/>
      <c r="F21" s="76"/>
      <c r="G21" s="76"/>
      <c r="H21" s="76"/>
      <c r="I21" s="75"/>
      <c r="J21" s="78"/>
      <c r="K21" s="76"/>
      <c r="L21" s="79" t="b">
        <v>0</v>
      </c>
      <c r="M21" s="80" t="str">
        <f t="shared" si="1"/>
        <v/>
      </c>
      <c r="N21" s="131" t="b">
        <v>0</v>
      </c>
      <c r="O21" s="80" t="str">
        <f t="shared" si="2"/>
        <v/>
      </c>
      <c r="P21" s="76"/>
      <c r="Q21" s="76"/>
      <c r="R21" s="76" t="b">
        <v>0</v>
      </c>
      <c r="S21" s="82" t="b">
        <v>0</v>
      </c>
      <c r="T21" s="76"/>
      <c r="U21" s="79"/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/>
      <c r="B22" s="76"/>
      <c r="C22" s="77"/>
      <c r="D22" s="76"/>
      <c r="E22" s="76"/>
      <c r="F22" s="76"/>
      <c r="G22" s="76"/>
      <c r="H22" s="76"/>
      <c r="I22" s="75"/>
      <c r="J22" s="78"/>
      <c r="K22" s="76"/>
      <c r="L22" s="79" t="b">
        <v>0</v>
      </c>
      <c r="M22" s="80" t="str">
        <f t="shared" si="1"/>
        <v/>
      </c>
      <c r="N22" s="131" t="b">
        <v>0</v>
      </c>
      <c r="O22" s="80" t="str">
        <f t="shared" si="2"/>
        <v/>
      </c>
      <c r="P22" s="76"/>
      <c r="Q22" s="76"/>
      <c r="R22" s="76" t="b">
        <v>0</v>
      </c>
      <c r="S22" s="82" t="b">
        <v>0</v>
      </c>
      <c r="T22" s="76"/>
      <c r="U22" s="79"/>
      <c r="V22" s="83"/>
      <c r="W22" s="74"/>
      <c r="X22" s="74"/>
      <c r="AB22" s="74"/>
      <c r="AC22" s="74"/>
      <c r="AD22" s="74"/>
    </row>
    <row r="23">
      <c r="A23" s="75"/>
      <c r="B23" s="76"/>
      <c r="C23" s="77"/>
      <c r="D23" s="76"/>
      <c r="E23" s="76"/>
      <c r="F23" s="76"/>
      <c r="G23" s="76"/>
      <c r="H23" s="76"/>
      <c r="I23" s="75"/>
      <c r="J23" s="78"/>
      <c r="K23" s="76"/>
      <c r="L23" s="79" t="b">
        <v>0</v>
      </c>
      <c r="M23" s="80" t="str">
        <f t="shared" si="1"/>
        <v/>
      </c>
      <c r="N23" s="131" t="b">
        <v>0</v>
      </c>
      <c r="O23" s="80" t="str">
        <f t="shared" si="2"/>
        <v/>
      </c>
      <c r="P23" s="76"/>
      <c r="Q23" s="76"/>
      <c r="R23" s="76" t="b">
        <v>0</v>
      </c>
      <c r="S23" s="82" t="b">
        <v>0</v>
      </c>
      <c r="T23" s="76"/>
      <c r="U23" s="79"/>
      <c r="V23" s="83"/>
      <c r="W23" s="74"/>
      <c r="X23" s="74"/>
      <c r="AB23" s="74"/>
      <c r="AC23" s="74"/>
      <c r="AD23" s="74"/>
    </row>
    <row r="24">
      <c r="A24" s="75"/>
      <c r="B24" s="76"/>
      <c r="C24" s="77"/>
      <c r="D24" s="76"/>
      <c r="E24" s="76"/>
      <c r="F24" s="76"/>
      <c r="G24" s="76"/>
      <c r="H24" s="76"/>
      <c r="I24" s="75"/>
      <c r="J24" s="78"/>
      <c r="K24" s="76"/>
      <c r="L24" s="79" t="b">
        <v>0</v>
      </c>
      <c r="M24" s="80" t="str">
        <f t="shared" si="1"/>
        <v/>
      </c>
      <c r="N24" s="131" t="b">
        <v>0</v>
      </c>
      <c r="O24" s="80" t="str">
        <f t="shared" si="2"/>
        <v/>
      </c>
      <c r="P24" s="76"/>
      <c r="Q24" s="76"/>
      <c r="R24" s="76" t="b">
        <v>0</v>
      </c>
      <c r="S24" s="82" t="b">
        <v>0</v>
      </c>
      <c r="T24" s="76"/>
      <c r="U24" s="79"/>
      <c r="V24" s="83"/>
      <c r="W24" s="74"/>
      <c r="X24" s="74"/>
    </row>
    <row r="25">
      <c r="A25" s="75"/>
      <c r="B25" s="76"/>
      <c r="C25" s="77"/>
      <c r="D25" s="76"/>
      <c r="E25" s="76"/>
      <c r="F25" s="76"/>
      <c r="G25" s="76"/>
      <c r="H25" s="76"/>
      <c r="I25" s="75"/>
      <c r="J25" s="78"/>
      <c r="K25" s="76"/>
      <c r="L25" s="79" t="b">
        <v>0</v>
      </c>
      <c r="M25" s="80" t="str">
        <f t="shared" si="1"/>
        <v/>
      </c>
      <c r="N25" s="131" t="b">
        <v>0</v>
      </c>
      <c r="O25" s="80" t="str">
        <f t="shared" si="2"/>
        <v/>
      </c>
      <c r="P25" s="76"/>
      <c r="Q25" s="76"/>
      <c r="R25" s="76" t="b">
        <v>0</v>
      </c>
      <c r="S25" s="82" t="b">
        <v>0</v>
      </c>
      <c r="T25" s="76"/>
      <c r="U25" s="79"/>
      <c r="V25" s="83"/>
      <c r="W25" s="74"/>
      <c r="X25" s="74"/>
    </row>
    <row r="26">
      <c r="A26" s="75"/>
      <c r="B26" s="76"/>
      <c r="C26" s="77"/>
      <c r="D26" s="76"/>
      <c r="E26" s="76"/>
      <c r="F26" s="76"/>
      <c r="G26" s="76"/>
      <c r="H26" s="76"/>
      <c r="I26" s="75"/>
      <c r="J26" s="78"/>
      <c r="K26" s="76"/>
      <c r="L26" s="79" t="b">
        <v>0</v>
      </c>
      <c r="M26" s="80" t="str">
        <f t="shared" si="1"/>
        <v/>
      </c>
      <c r="N26" s="131" t="b">
        <v>0</v>
      </c>
      <c r="O26" s="80" t="str">
        <f t="shared" si="2"/>
        <v/>
      </c>
      <c r="P26" s="76"/>
      <c r="Q26" s="76"/>
      <c r="R26" s="76" t="b">
        <v>0</v>
      </c>
      <c r="S26" s="82" t="b">
        <v>0</v>
      </c>
      <c r="T26" s="76"/>
      <c r="U26" s="79"/>
      <c r="V26" s="83"/>
      <c r="W26" s="74"/>
      <c r="X26" s="74"/>
    </row>
    <row r="27">
      <c r="A27" s="75"/>
      <c r="B27" s="76"/>
      <c r="C27" s="77"/>
      <c r="D27" s="76"/>
      <c r="E27" s="76"/>
      <c r="F27" s="76"/>
      <c r="G27" s="76"/>
      <c r="H27" s="76"/>
      <c r="I27" s="75"/>
      <c r="J27" s="78"/>
      <c r="K27" s="76"/>
      <c r="L27" s="79" t="b">
        <v>0</v>
      </c>
      <c r="M27" s="80" t="str">
        <f t="shared" si="1"/>
        <v/>
      </c>
      <c r="N27" s="131" t="b">
        <v>0</v>
      </c>
      <c r="O27" s="80" t="str">
        <f t="shared" si="2"/>
        <v/>
      </c>
      <c r="P27" s="76"/>
      <c r="Q27" s="76"/>
      <c r="R27" s="76" t="b">
        <v>0</v>
      </c>
      <c r="S27" s="82" t="b">
        <v>0</v>
      </c>
      <c r="T27" s="76"/>
      <c r="U27" s="79"/>
      <c r="V27" s="83"/>
      <c r="W27" s="74"/>
      <c r="X27" s="86"/>
    </row>
    <row r="28">
      <c r="A28" s="75"/>
      <c r="B28" s="76"/>
      <c r="C28" s="77"/>
      <c r="D28" s="76"/>
      <c r="E28" s="76"/>
      <c r="F28" s="76"/>
      <c r="G28" s="76"/>
      <c r="H28" s="76"/>
      <c r="I28" s="75"/>
      <c r="J28" s="78"/>
      <c r="K28" s="76"/>
      <c r="L28" s="79" t="b">
        <v>0</v>
      </c>
      <c r="M28" s="80" t="str">
        <f t="shared" si="1"/>
        <v/>
      </c>
      <c r="N28" s="131" t="b">
        <v>0</v>
      </c>
      <c r="O28" s="80" t="str">
        <f t="shared" si="2"/>
        <v/>
      </c>
      <c r="P28" s="76"/>
      <c r="Q28" s="76"/>
      <c r="R28" s="76" t="b">
        <v>0</v>
      </c>
      <c r="S28" s="82" t="b">
        <v>0</v>
      </c>
      <c r="T28" s="76"/>
      <c r="U28" s="79"/>
      <c r="V28" s="83"/>
      <c r="W28" s="74"/>
      <c r="X28" s="86"/>
    </row>
    <row r="29">
      <c r="A29" s="75"/>
      <c r="B29" s="76"/>
      <c r="C29" s="77"/>
      <c r="D29" s="76"/>
      <c r="E29" s="76"/>
      <c r="F29" s="76"/>
      <c r="G29" s="76"/>
      <c r="H29" s="76"/>
      <c r="I29" s="75"/>
      <c r="J29" s="78"/>
      <c r="K29" s="76"/>
      <c r="L29" s="79" t="b">
        <v>0</v>
      </c>
      <c r="M29" s="80" t="str">
        <f t="shared" si="1"/>
        <v/>
      </c>
      <c r="N29" s="131" t="b">
        <v>0</v>
      </c>
      <c r="O29" s="80" t="str">
        <f t="shared" si="2"/>
        <v/>
      </c>
      <c r="P29" s="76"/>
      <c r="Q29" s="76"/>
      <c r="R29" s="76" t="b">
        <v>0</v>
      </c>
      <c r="S29" s="82" t="b">
        <v>0</v>
      </c>
      <c r="T29" s="76"/>
      <c r="U29" s="79"/>
      <c r="V29" s="83"/>
      <c r="W29" s="74"/>
      <c r="X29" s="86"/>
      <c r="AE29" s="87"/>
      <c r="AF29" s="87"/>
      <c r="AG29" s="87"/>
      <c r="AH29" s="87"/>
    </row>
    <row r="30">
      <c r="A30" s="75"/>
      <c r="B30" s="76"/>
      <c r="C30" s="77"/>
      <c r="D30" s="76"/>
      <c r="E30" s="76"/>
      <c r="F30" s="76"/>
      <c r="G30" s="76"/>
      <c r="H30" s="76"/>
      <c r="I30" s="75"/>
      <c r="J30" s="78"/>
      <c r="K30" s="76"/>
      <c r="L30" s="79" t="b">
        <v>0</v>
      </c>
      <c r="M30" s="80" t="str">
        <f t="shared" si="1"/>
        <v/>
      </c>
      <c r="N30" s="131" t="b">
        <v>0</v>
      </c>
      <c r="O30" s="80" t="str">
        <f t="shared" si="2"/>
        <v/>
      </c>
      <c r="P30" s="76"/>
      <c r="Q30" s="76"/>
      <c r="R30" s="76" t="b">
        <v>0</v>
      </c>
      <c r="S30" s="82" t="b">
        <v>0</v>
      </c>
      <c r="T30" s="76"/>
      <c r="U30" s="79"/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/>
      <c r="B31" s="76"/>
      <c r="C31" s="77"/>
      <c r="D31" s="76"/>
      <c r="E31" s="76"/>
      <c r="F31" s="76"/>
      <c r="G31" s="76"/>
      <c r="H31" s="76"/>
      <c r="I31" s="75"/>
      <c r="J31" s="78"/>
      <c r="K31" s="76"/>
      <c r="L31" s="79" t="b">
        <v>0</v>
      </c>
      <c r="M31" s="80" t="str">
        <f t="shared" si="1"/>
        <v/>
      </c>
      <c r="N31" s="131" t="b">
        <v>0</v>
      </c>
      <c r="O31" s="80" t="str">
        <f t="shared" si="2"/>
        <v/>
      </c>
      <c r="P31" s="76"/>
      <c r="Q31" s="76"/>
      <c r="R31" s="76" t="b">
        <v>0</v>
      </c>
      <c r="S31" s="82" t="b">
        <v>0</v>
      </c>
      <c r="T31" s="76"/>
      <c r="U31" s="79"/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/>
      <c r="B32" s="76"/>
      <c r="C32" s="77"/>
      <c r="D32" s="76"/>
      <c r="E32" s="76"/>
      <c r="F32" s="76"/>
      <c r="G32" s="76"/>
      <c r="H32" s="76"/>
      <c r="I32" s="75"/>
      <c r="J32" s="78"/>
      <c r="K32" s="76"/>
      <c r="L32" s="79" t="b">
        <v>0</v>
      </c>
      <c r="M32" s="80" t="str">
        <f t="shared" si="1"/>
        <v/>
      </c>
      <c r="N32" s="131" t="b">
        <v>0</v>
      </c>
      <c r="O32" s="80" t="str">
        <f t="shared" si="2"/>
        <v/>
      </c>
      <c r="P32" s="76"/>
      <c r="Q32" s="76"/>
      <c r="R32" s="76" t="b">
        <v>0</v>
      </c>
      <c r="S32" s="82" t="b">
        <v>0</v>
      </c>
      <c r="T32" s="76"/>
      <c r="U32" s="79"/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/>
      <c r="B33" s="76"/>
      <c r="C33" s="77"/>
      <c r="D33" s="76"/>
      <c r="E33" s="76"/>
      <c r="F33" s="76"/>
      <c r="G33" s="76"/>
      <c r="H33" s="76"/>
      <c r="I33" s="75"/>
      <c r="J33" s="78"/>
      <c r="K33" s="76"/>
      <c r="L33" s="79" t="b">
        <v>0</v>
      </c>
      <c r="M33" s="80" t="str">
        <f t="shared" si="1"/>
        <v/>
      </c>
      <c r="N33" s="131" t="b">
        <v>0</v>
      </c>
      <c r="O33" s="80" t="str">
        <f t="shared" si="2"/>
        <v/>
      </c>
      <c r="P33" s="76"/>
      <c r="Q33" s="76"/>
      <c r="R33" s="76" t="b">
        <v>0</v>
      </c>
      <c r="S33" s="82" t="b">
        <v>0</v>
      </c>
      <c r="T33" s="76"/>
      <c r="U33" s="79"/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/>
      <c r="B34" s="76"/>
      <c r="C34" s="77"/>
      <c r="D34" s="76"/>
      <c r="E34" s="76"/>
      <c r="F34" s="76"/>
      <c r="G34" s="76"/>
      <c r="H34" s="76"/>
      <c r="I34" s="75"/>
      <c r="J34" s="78"/>
      <c r="K34" s="76"/>
      <c r="L34" s="79" t="b">
        <v>0</v>
      </c>
      <c r="M34" s="80" t="str">
        <f t="shared" si="1"/>
        <v/>
      </c>
      <c r="N34" s="131" t="b">
        <v>0</v>
      </c>
      <c r="O34" s="80" t="str">
        <f t="shared" si="2"/>
        <v/>
      </c>
      <c r="P34" s="76"/>
      <c r="Q34" s="76"/>
      <c r="R34" s="76" t="b">
        <v>0</v>
      </c>
      <c r="S34" s="82" t="b">
        <v>0</v>
      </c>
      <c r="T34" s="76"/>
      <c r="U34" s="79"/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/>
      <c r="B35" s="76"/>
      <c r="C35" s="77"/>
      <c r="D35" s="76"/>
      <c r="E35" s="76"/>
      <c r="F35" s="76"/>
      <c r="G35" s="76"/>
      <c r="H35" s="76"/>
      <c r="I35" s="75"/>
      <c r="J35" s="78"/>
      <c r="K35" s="76"/>
      <c r="L35" s="79" t="b">
        <v>0</v>
      </c>
      <c r="M35" s="80" t="str">
        <f t="shared" si="1"/>
        <v/>
      </c>
      <c r="N35" s="131" t="b">
        <v>0</v>
      </c>
      <c r="O35" s="80" t="str">
        <f t="shared" si="2"/>
        <v/>
      </c>
      <c r="P35" s="76"/>
      <c r="Q35" s="76"/>
      <c r="R35" s="76" t="b">
        <v>0</v>
      </c>
      <c r="S35" s="82" t="b">
        <v>0</v>
      </c>
      <c r="T35" s="76"/>
      <c r="U35" s="79"/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/>
      <c r="B36" s="76"/>
      <c r="C36" s="77"/>
      <c r="D36" s="76"/>
      <c r="E36" s="76"/>
      <c r="F36" s="76"/>
      <c r="G36" s="76"/>
      <c r="H36" s="76"/>
      <c r="I36" s="75"/>
      <c r="J36" s="78"/>
      <c r="K36" s="76"/>
      <c r="L36" s="79" t="b">
        <v>0</v>
      </c>
      <c r="M36" s="80" t="str">
        <f t="shared" si="1"/>
        <v/>
      </c>
      <c r="N36" s="131" t="b">
        <v>0</v>
      </c>
      <c r="O36" s="80" t="str">
        <f t="shared" si="2"/>
        <v/>
      </c>
      <c r="P36" s="76"/>
      <c r="Q36" s="76"/>
      <c r="R36" s="76" t="b">
        <v>0</v>
      </c>
      <c r="S36" s="82" t="b">
        <v>0</v>
      </c>
      <c r="T36" s="76"/>
      <c r="U36" s="79"/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/>
      <c r="B37" s="76"/>
      <c r="C37" s="77"/>
      <c r="D37" s="76"/>
      <c r="E37" s="76"/>
      <c r="F37" s="76"/>
      <c r="G37" s="76"/>
      <c r="H37" s="76"/>
      <c r="I37" s="75"/>
      <c r="J37" s="78"/>
      <c r="K37" s="76"/>
      <c r="L37" s="79" t="b">
        <v>0</v>
      </c>
      <c r="M37" s="80" t="str">
        <f t="shared" si="1"/>
        <v/>
      </c>
      <c r="N37" s="131" t="b">
        <v>0</v>
      </c>
      <c r="O37" s="80" t="str">
        <f t="shared" si="2"/>
        <v/>
      </c>
      <c r="P37" s="76"/>
      <c r="Q37" s="76"/>
      <c r="R37" s="76" t="b">
        <v>0</v>
      </c>
      <c r="S37" s="82" t="b">
        <v>0</v>
      </c>
      <c r="T37" s="76"/>
      <c r="U37" s="79"/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/>
      <c r="B38" s="76"/>
      <c r="C38" s="77"/>
      <c r="D38" s="76"/>
      <c r="E38" s="76"/>
      <c r="F38" s="76"/>
      <c r="G38" s="76"/>
      <c r="H38" s="76"/>
      <c r="I38" s="75"/>
      <c r="J38" s="78"/>
      <c r="K38" s="76"/>
      <c r="L38" s="79" t="b">
        <v>0</v>
      </c>
      <c r="M38" s="80" t="str">
        <f t="shared" si="1"/>
        <v/>
      </c>
      <c r="N38" s="131" t="b">
        <v>0</v>
      </c>
      <c r="O38" s="80" t="str">
        <f t="shared" si="2"/>
        <v/>
      </c>
      <c r="P38" s="76"/>
      <c r="Q38" s="76"/>
      <c r="R38" s="76" t="b">
        <v>0</v>
      </c>
      <c r="S38" s="82" t="b">
        <v>0</v>
      </c>
      <c r="T38" s="76"/>
      <c r="U38" s="79"/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/>
      <c r="B39" s="76"/>
      <c r="C39" s="77"/>
      <c r="D39" s="76"/>
      <c r="E39" s="76"/>
      <c r="F39" s="76"/>
      <c r="G39" s="76"/>
      <c r="H39" s="76"/>
      <c r="I39" s="75"/>
      <c r="J39" s="78"/>
      <c r="K39" s="76"/>
      <c r="L39" s="79" t="b">
        <v>0</v>
      </c>
      <c r="M39" s="80" t="str">
        <f t="shared" si="1"/>
        <v/>
      </c>
      <c r="N39" s="131" t="b">
        <v>0</v>
      </c>
      <c r="O39" s="80" t="str">
        <f t="shared" si="2"/>
        <v/>
      </c>
      <c r="P39" s="76"/>
      <c r="Q39" s="76"/>
      <c r="R39" s="76" t="b">
        <v>0</v>
      </c>
      <c r="S39" s="82" t="b">
        <v>0</v>
      </c>
      <c r="T39" s="76"/>
      <c r="U39" s="79"/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/>
      <c r="B40" s="76"/>
      <c r="C40" s="77"/>
      <c r="D40" s="76"/>
      <c r="E40" s="76"/>
      <c r="F40" s="76"/>
      <c r="G40" s="76"/>
      <c r="H40" s="76"/>
      <c r="I40" s="75"/>
      <c r="J40" s="78"/>
      <c r="K40" s="76"/>
      <c r="L40" s="79" t="b">
        <v>0</v>
      </c>
      <c r="M40" s="80" t="str">
        <f t="shared" si="1"/>
        <v/>
      </c>
      <c r="N40" s="131" t="b">
        <v>0</v>
      </c>
      <c r="O40" s="80" t="str">
        <f t="shared" si="2"/>
        <v/>
      </c>
      <c r="P40" s="76"/>
      <c r="Q40" s="76"/>
      <c r="R40" s="76" t="b">
        <v>0</v>
      </c>
      <c r="S40" s="82" t="b">
        <v>0</v>
      </c>
      <c r="T40" s="76"/>
      <c r="U40" s="79"/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/>
      <c r="B41" s="76"/>
      <c r="C41" s="77"/>
      <c r="D41" s="76"/>
      <c r="E41" s="76"/>
      <c r="F41" s="76"/>
      <c r="G41" s="76"/>
      <c r="H41" s="76"/>
      <c r="I41" s="75"/>
      <c r="J41" s="78"/>
      <c r="K41" s="76"/>
      <c r="L41" s="79" t="b">
        <v>0</v>
      </c>
      <c r="M41" s="80" t="str">
        <f t="shared" si="1"/>
        <v/>
      </c>
      <c r="N41" s="131" t="b">
        <v>0</v>
      </c>
      <c r="O41" s="80" t="str">
        <f t="shared" si="2"/>
        <v/>
      </c>
      <c r="P41" s="76"/>
      <c r="Q41" s="76"/>
      <c r="R41" s="76" t="b">
        <v>0</v>
      </c>
      <c r="S41" s="82" t="b">
        <v>0</v>
      </c>
      <c r="T41" s="76"/>
      <c r="U41" s="79"/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/>
      <c r="B42" s="76"/>
      <c r="C42" s="77"/>
      <c r="D42" s="76"/>
      <c r="E42" s="76"/>
      <c r="F42" s="76"/>
      <c r="G42" s="76"/>
      <c r="H42" s="76"/>
      <c r="I42" s="75"/>
      <c r="J42" s="78"/>
      <c r="K42" s="76"/>
      <c r="L42" s="79" t="b">
        <v>0</v>
      </c>
      <c r="M42" s="80" t="str">
        <f t="shared" si="1"/>
        <v/>
      </c>
      <c r="N42" s="131" t="b">
        <v>0</v>
      </c>
      <c r="O42" s="80" t="str">
        <f t="shared" si="2"/>
        <v/>
      </c>
      <c r="P42" s="76"/>
      <c r="Q42" s="76"/>
      <c r="R42" s="76" t="b">
        <v>0</v>
      </c>
      <c r="S42" s="82" t="b">
        <v>0</v>
      </c>
      <c r="T42" s="76"/>
      <c r="U42" s="79"/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/>
      <c r="B43" s="76"/>
      <c r="C43" s="77"/>
      <c r="D43" s="76"/>
      <c r="E43" s="76"/>
      <c r="F43" s="76"/>
      <c r="G43" s="76"/>
      <c r="H43" s="76"/>
      <c r="I43" s="75"/>
      <c r="J43" s="78"/>
      <c r="K43" s="76"/>
      <c r="L43" s="79" t="b">
        <v>0</v>
      </c>
      <c r="M43" s="80" t="str">
        <f t="shared" si="1"/>
        <v/>
      </c>
      <c r="N43" s="131" t="b">
        <v>0</v>
      </c>
      <c r="O43" s="80" t="str">
        <f t="shared" si="2"/>
        <v/>
      </c>
      <c r="P43" s="76"/>
      <c r="Q43" s="76"/>
      <c r="R43" s="76" t="b">
        <v>0</v>
      </c>
      <c r="S43" s="82" t="b">
        <v>0</v>
      </c>
      <c r="T43" s="76"/>
      <c r="U43" s="79"/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/>
      <c r="B44" s="76"/>
      <c r="C44" s="77"/>
      <c r="D44" s="76"/>
      <c r="E44" s="76"/>
      <c r="F44" s="76"/>
      <c r="G44" s="76"/>
      <c r="H44" s="76"/>
      <c r="I44" s="75"/>
      <c r="J44" s="78"/>
      <c r="K44" s="76"/>
      <c r="L44" s="79" t="b">
        <v>0</v>
      </c>
      <c r="M44" s="80" t="str">
        <f t="shared" si="1"/>
        <v/>
      </c>
      <c r="N44" s="131" t="b">
        <v>0</v>
      </c>
      <c r="O44" s="80" t="str">
        <f t="shared" si="2"/>
        <v/>
      </c>
      <c r="P44" s="76"/>
      <c r="Q44" s="76"/>
      <c r="R44" s="76" t="b">
        <v>0</v>
      </c>
      <c r="S44" s="82" t="b">
        <v>0</v>
      </c>
      <c r="T44" s="76"/>
      <c r="U44" s="79"/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/>
      <c r="B45" s="76"/>
      <c r="C45" s="77"/>
      <c r="D45" s="76"/>
      <c r="E45" s="76"/>
      <c r="F45" s="76"/>
      <c r="G45" s="76"/>
      <c r="H45" s="76"/>
      <c r="I45" s="75"/>
      <c r="J45" s="78"/>
      <c r="K45" s="76"/>
      <c r="L45" s="79" t="b">
        <v>0</v>
      </c>
      <c r="M45" s="80" t="str">
        <f t="shared" si="1"/>
        <v/>
      </c>
      <c r="N45" s="131" t="b">
        <v>0</v>
      </c>
      <c r="O45" s="80" t="str">
        <f t="shared" si="2"/>
        <v/>
      </c>
      <c r="P45" s="76"/>
      <c r="Q45" s="76"/>
      <c r="R45" s="76" t="b">
        <v>0</v>
      </c>
      <c r="S45" s="82" t="b">
        <v>0</v>
      </c>
      <c r="T45" s="76"/>
      <c r="U45" s="79"/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/>
      <c r="B46" s="76"/>
      <c r="C46" s="77"/>
      <c r="D46" s="76"/>
      <c r="E46" s="76"/>
      <c r="F46" s="76"/>
      <c r="G46" s="76"/>
      <c r="H46" s="76"/>
      <c r="I46" s="75"/>
      <c r="J46" s="78"/>
      <c r="K46" s="76"/>
      <c r="L46" s="79" t="b">
        <v>0</v>
      </c>
      <c r="M46" s="80" t="str">
        <f t="shared" si="1"/>
        <v/>
      </c>
      <c r="N46" s="131" t="b">
        <v>0</v>
      </c>
      <c r="O46" s="80" t="str">
        <f t="shared" si="2"/>
        <v/>
      </c>
      <c r="P46" s="76"/>
      <c r="Q46" s="76"/>
      <c r="R46" s="76" t="b">
        <v>0</v>
      </c>
      <c r="S46" s="82" t="b">
        <v>0</v>
      </c>
      <c r="T46" s="76"/>
      <c r="U46" s="79"/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/>
      <c r="B47" s="76"/>
      <c r="C47" s="77"/>
      <c r="D47" s="76"/>
      <c r="E47" s="76"/>
      <c r="F47" s="76"/>
      <c r="G47" s="76"/>
      <c r="H47" s="76"/>
      <c r="I47" s="75"/>
      <c r="J47" s="78"/>
      <c r="K47" s="76"/>
      <c r="L47" s="79" t="b">
        <v>0</v>
      </c>
      <c r="M47" s="80" t="str">
        <f t="shared" si="1"/>
        <v/>
      </c>
      <c r="N47" s="131" t="b">
        <v>0</v>
      </c>
      <c r="O47" s="80" t="str">
        <f t="shared" si="2"/>
        <v/>
      </c>
      <c r="P47" s="76"/>
      <c r="Q47" s="76"/>
      <c r="R47" s="76" t="b">
        <v>0</v>
      </c>
      <c r="S47" s="82" t="b">
        <v>0</v>
      </c>
      <c r="T47" s="76"/>
      <c r="U47" s="79"/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/>
      <c r="B48" s="76"/>
      <c r="C48" s="77"/>
      <c r="D48" s="76"/>
      <c r="E48" s="76"/>
      <c r="F48" s="76"/>
      <c r="G48" s="76"/>
      <c r="H48" s="76"/>
      <c r="I48" s="75"/>
      <c r="J48" s="78"/>
      <c r="K48" s="76"/>
      <c r="L48" s="79" t="b">
        <v>0</v>
      </c>
      <c r="M48" s="80" t="str">
        <f t="shared" si="1"/>
        <v/>
      </c>
      <c r="N48" s="131" t="b">
        <v>0</v>
      </c>
      <c r="O48" s="80" t="str">
        <f t="shared" si="2"/>
        <v/>
      </c>
      <c r="P48" s="76"/>
      <c r="Q48" s="76"/>
      <c r="R48" s="76" t="b">
        <v>0</v>
      </c>
      <c r="S48" s="82" t="b">
        <v>0</v>
      </c>
      <c r="T48" s="76"/>
      <c r="U48" s="79"/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/>
      <c r="B49" s="76"/>
      <c r="C49" s="77"/>
      <c r="D49" s="76"/>
      <c r="E49" s="76"/>
      <c r="F49" s="76"/>
      <c r="G49" s="76"/>
      <c r="H49" s="76"/>
      <c r="I49" s="75"/>
      <c r="J49" s="78"/>
      <c r="K49" s="76"/>
      <c r="L49" s="79" t="b">
        <v>0</v>
      </c>
      <c r="M49" s="80" t="str">
        <f t="shared" si="1"/>
        <v/>
      </c>
      <c r="N49" s="131" t="b">
        <v>0</v>
      </c>
      <c r="O49" s="80" t="str">
        <f t="shared" si="2"/>
        <v/>
      </c>
      <c r="P49" s="76"/>
      <c r="Q49" s="76"/>
      <c r="R49" s="76" t="b">
        <v>0</v>
      </c>
      <c r="S49" s="82" t="b">
        <v>0</v>
      </c>
      <c r="T49" s="76"/>
      <c r="U49" s="79"/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/>
      <c r="B50" s="76"/>
      <c r="C50" s="77"/>
      <c r="D50" s="76"/>
      <c r="E50" s="76"/>
      <c r="F50" s="76"/>
      <c r="G50" s="76"/>
      <c r="H50" s="76"/>
      <c r="I50" s="75"/>
      <c r="J50" s="78"/>
      <c r="K50" s="76"/>
      <c r="L50" s="79" t="b">
        <v>0</v>
      </c>
      <c r="M50" s="80" t="str">
        <f t="shared" si="1"/>
        <v/>
      </c>
      <c r="N50" s="131" t="b">
        <v>0</v>
      </c>
      <c r="O50" s="80" t="str">
        <f t="shared" si="2"/>
        <v/>
      </c>
      <c r="P50" s="76"/>
      <c r="Q50" s="76"/>
      <c r="R50" s="76" t="b">
        <v>0</v>
      </c>
      <c r="S50" s="82" t="b">
        <v>0</v>
      </c>
      <c r="T50" s="76"/>
      <c r="U50" s="79"/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/>
      <c r="B51" s="76"/>
      <c r="C51" s="77"/>
      <c r="D51" s="76"/>
      <c r="E51" s="76"/>
      <c r="F51" s="76"/>
      <c r="G51" s="76"/>
      <c r="H51" s="76"/>
      <c r="I51" s="75"/>
      <c r="J51" s="78"/>
      <c r="K51" s="76"/>
      <c r="L51" s="79" t="b">
        <v>0</v>
      </c>
      <c r="M51" s="80" t="str">
        <f t="shared" si="1"/>
        <v/>
      </c>
      <c r="N51" s="131" t="b">
        <v>0</v>
      </c>
      <c r="O51" s="80" t="str">
        <f t="shared" si="2"/>
        <v/>
      </c>
      <c r="P51" s="76"/>
      <c r="Q51" s="76"/>
      <c r="R51" s="76" t="b">
        <v>0</v>
      </c>
      <c r="S51" s="82" t="b">
        <v>0</v>
      </c>
      <c r="T51" s="76"/>
      <c r="U51" s="79"/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/>
      <c r="B52" s="76"/>
      <c r="C52" s="77"/>
      <c r="D52" s="76"/>
      <c r="E52" s="76"/>
      <c r="F52" s="76"/>
      <c r="G52" s="76"/>
      <c r="H52" s="76"/>
      <c r="I52" s="75"/>
      <c r="J52" s="78"/>
      <c r="K52" s="76"/>
      <c r="L52" s="79" t="b">
        <v>0</v>
      </c>
      <c r="M52" s="80" t="str">
        <f t="shared" si="1"/>
        <v/>
      </c>
      <c r="N52" s="131" t="b">
        <v>0</v>
      </c>
      <c r="O52" s="80" t="str">
        <f t="shared" si="2"/>
        <v/>
      </c>
      <c r="P52" s="76"/>
      <c r="Q52" s="76"/>
      <c r="R52" s="76" t="b">
        <v>0</v>
      </c>
      <c r="S52" s="82" t="b">
        <v>0</v>
      </c>
      <c r="T52" s="76"/>
      <c r="U52" s="79"/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/>
      <c r="B53" s="76"/>
      <c r="C53" s="77"/>
      <c r="D53" s="76"/>
      <c r="E53" s="76"/>
      <c r="F53" s="76"/>
      <c r="G53" s="76"/>
      <c r="H53" s="76"/>
      <c r="I53" s="75"/>
      <c r="J53" s="78"/>
      <c r="K53" s="76"/>
      <c r="L53" s="79" t="b">
        <v>0</v>
      </c>
      <c r="M53" s="80" t="str">
        <f t="shared" si="1"/>
        <v/>
      </c>
      <c r="N53" s="131" t="b">
        <v>0</v>
      </c>
      <c r="O53" s="80" t="str">
        <f t="shared" si="2"/>
        <v/>
      </c>
      <c r="P53" s="76"/>
      <c r="Q53" s="76"/>
      <c r="R53" s="76" t="b">
        <v>0</v>
      </c>
      <c r="S53" s="82" t="b">
        <v>0</v>
      </c>
      <c r="T53" s="76"/>
      <c r="U53" s="79"/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/>
      <c r="B54" s="76"/>
      <c r="C54" s="77"/>
      <c r="D54" s="76"/>
      <c r="E54" s="76"/>
      <c r="F54" s="76"/>
      <c r="G54" s="76"/>
      <c r="H54" s="76"/>
      <c r="I54" s="75"/>
      <c r="J54" s="78"/>
      <c r="K54" s="76"/>
      <c r="L54" s="79" t="b">
        <v>0</v>
      </c>
      <c r="M54" s="80" t="str">
        <f t="shared" si="1"/>
        <v/>
      </c>
      <c r="N54" s="131" t="b">
        <v>0</v>
      </c>
      <c r="O54" s="80" t="str">
        <f t="shared" si="2"/>
        <v/>
      </c>
      <c r="P54" s="76"/>
      <c r="Q54" s="76"/>
      <c r="R54" s="76" t="b">
        <v>0</v>
      </c>
      <c r="S54" s="82" t="b">
        <v>0</v>
      </c>
      <c r="T54" s="76"/>
      <c r="U54" s="79"/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/>
      <c r="B55" s="76"/>
      <c r="C55" s="77"/>
      <c r="D55" s="76"/>
      <c r="E55" s="76"/>
      <c r="F55" s="76"/>
      <c r="G55" s="76"/>
      <c r="H55" s="76"/>
      <c r="I55" s="75"/>
      <c r="J55" s="78"/>
      <c r="K55" s="76"/>
      <c r="L55" s="79" t="b">
        <v>0</v>
      </c>
      <c r="M55" s="80" t="str">
        <f t="shared" si="1"/>
        <v/>
      </c>
      <c r="N55" s="131" t="b">
        <v>0</v>
      </c>
      <c r="O55" s="80" t="str">
        <f t="shared" si="2"/>
        <v/>
      </c>
      <c r="P55" s="76"/>
      <c r="Q55" s="76"/>
      <c r="R55" s="76" t="b">
        <v>0</v>
      </c>
      <c r="S55" s="82" t="b">
        <v>0</v>
      </c>
      <c r="T55" s="76"/>
      <c r="U55" s="79"/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/>
      <c r="B56" s="76"/>
      <c r="C56" s="77"/>
      <c r="D56" s="76"/>
      <c r="E56" s="76"/>
      <c r="F56" s="76"/>
      <c r="G56" s="76"/>
      <c r="H56" s="76"/>
      <c r="I56" s="75"/>
      <c r="J56" s="78"/>
      <c r="K56" s="76"/>
      <c r="L56" s="79" t="b">
        <v>0</v>
      </c>
      <c r="M56" s="80" t="str">
        <f t="shared" si="1"/>
        <v/>
      </c>
      <c r="N56" s="131" t="b">
        <v>0</v>
      </c>
      <c r="O56" s="80" t="str">
        <f t="shared" si="2"/>
        <v/>
      </c>
      <c r="P56" s="76"/>
      <c r="Q56" s="76"/>
      <c r="R56" s="76" t="b">
        <v>0</v>
      </c>
      <c r="S56" s="82" t="b">
        <v>0</v>
      </c>
      <c r="T56" s="76"/>
      <c r="U56" s="79"/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/>
      <c r="B57" s="76"/>
      <c r="C57" s="77"/>
      <c r="D57" s="76"/>
      <c r="E57" s="76"/>
      <c r="F57" s="76"/>
      <c r="G57" s="76"/>
      <c r="H57" s="76"/>
      <c r="I57" s="75"/>
      <c r="J57" s="78"/>
      <c r="K57" s="76"/>
      <c r="L57" s="79" t="b">
        <v>0</v>
      </c>
      <c r="M57" s="80" t="str">
        <f t="shared" si="1"/>
        <v/>
      </c>
      <c r="N57" s="131" t="b">
        <v>0</v>
      </c>
      <c r="O57" s="80" t="str">
        <f t="shared" si="2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/>
      <c r="B58" s="76"/>
      <c r="C58" s="77"/>
      <c r="D58" s="76"/>
      <c r="E58" s="76"/>
      <c r="F58" s="76"/>
      <c r="G58" s="76"/>
      <c r="H58" s="76"/>
      <c r="I58" s="75"/>
      <c r="J58" s="78"/>
      <c r="K58" s="76"/>
      <c r="L58" s="79" t="b">
        <v>0</v>
      </c>
      <c r="M58" s="80" t="str">
        <f t="shared" si="1"/>
        <v/>
      </c>
      <c r="N58" s="131" t="b">
        <v>0</v>
      </c>
      <c r="O58" s="80" t="str">
        <f t="shared" si="2"/>
        <v/>
      </c>
      <c r="P58" s="76"/>
      <c r="Q58" s="76"/>
      <c r="R58" s="76" t="b">
        <v>0</v>
      </c>
      <c r="S58" s="82" t="b">
        <v>0</v>
      </c>
      <c r="T58" s="76"/>
      <c r="U58" s="79"/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/>
      <c r="B59" s="76"/>
      <c r="C59" s="77"/>
      <c r="D59" s="76"/>
      <c r="E59" s="76"/>
      <c r="F59" s="76"/>
      <c r="G59" s="76"/>
      <c r="H59" s="76"/>
      <c r="I59" s="75"/>
      <c r="J59" s="78"/>
      <c r="K59" s="76"/>
      <c r="L59" s="79" t="b">
        <v>0</v>
      </c>
      <c r="M59" s="80" t="str">
        <f t="shared" si="1"/>
        <v/>
      </c>
      <c r="N59" s="131" t="b">
        <v>0</v>
      </c>
      <c r="O59" s="80" t="str">
        <f t="shared" si="2"/>
        <v/>
      </c>
      <c r="P59" s="76"/>
      <c r="Q59" s="76"/>
      <c r="R59" s="76" t="b">
        <v>0</v>
      </c>
      <c r="S59" s="82" t="b">
        <v>0</v>
      </c>
      <c r="T59" s="76"/>
      <c r="U59" s="79"/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/>
      <c r="B60" s="76"/>
      <c r="C60" s="77"/>
      <c r="D60" s="76"/>
      <c r="E60" s="76"/>
      <c r="F60" s="76"/>
      <c r="G60" s="76"/>
      <c r="H60" s="76"/>
      <c r="I60" s="75"/>
      <c r="J60" s="78"/>
      <c r="K60" s="76"/>
      <c r="L60" s="79" t="b">
        <v>0</v>
      </c>
      <c r="M60" s="80" t="str">
        <f t="shared" si="1"/>
        <v/>
      </c>
      <c r="N60" s="131" t="b">
        <v>0</v>
      </c>
      <c r="O60" s="80" t="str">
        <f t="shared" si="2"/>
        <v/>
      </c>
      <c r="P60" s="76"/>
      <c r="Q60" s="76"/>
      <c r="R60" s="76" t="b">
        <v>0</v>
      </c>
      <c r="S60" s="82" t="b">
        <v>0</v>
      </c>
      <c r="T60" s="76"/>
      <c r="U60" s="79"/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/>
      <c r="B61" s="76"/>
      <c r="C61" s="77"/>
      <c r="D61" s="76"/>
      <c r="E61" s="76"/>
      <c r="F61" s="76"/>
      <c r="G61" s="76"/>
      <c r="H61" s="76"/>
      <c r="I61" s="75"/>
      <c r="J61" s="78"/>
      <c r="K61" s="76"/>
      <c r="L61" s="79" t="b">
        <v>0</v>
      </c>
      <c r="M61" s="80" t="str">
        <f t="shared" si="1"/>
        <v/>
      </c>
      <c r="N61" s="131" t="b">
        <v>0</v>
      </c>
      <c r="O61" s="80" t="str">
        <f t="shared" si="2"/>
        <v/>
      </c>
      <c r="P61" s="76"/>
      <c r="Q61" s="76"/>
      <c r="R61" s="76" t="b">
        <v>0</v>
      </c>
      <c r="S61" s="82" t="b">
        <v>0</v>
      </c>
      <c r="T61" s="76"/>
      <c r="U61" s="79"/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/>
      <c r="B62" s="76"/>
      <c r="C62" s="77"/>
      <c r="D62" s="76"/>
      <c r="E62" s="76"/>
      <c r="F62" s="76"/>
      <c r="G62" s="76"/>
      <c r="H62" s="76"/>
      <c r="I62" s="75"/>
      <c r="J62" s="78"/>
      <c r="K62" s="76"/>
      <c r="L62" s="79" t="b">
        <v>0</v>
      </c>
      <c r="M62" s="80" t="str">
        <f t="shared" si="1"/>
        <v/>
      </c>
      <c r="N62" s="131" t="b">
        <v>0</v>
      </c>
      <c r="O62" s="80" t="str">
        <f t="shared" si="2"/>
        <v/>
      </c>
      <c r="P62" s="76"/>
      <c r="Q62" s="76"/>
      <c r="R62" s="76" t="b">
        <v>0</v>
      </c>
      <c r="S62" s="82" t="b">
        <v>0</v>
      </c>
      <c r="T62" s="76"/>
      <c r="U62" s="79"/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/>
      <c r="B63" s="76"/>
      <c r="C63" s="77"/>
      <c r="D63" s="76"/>
      <c r="E63" s="76"/>
      <c r="F63" s="76"/>
      <c r="G63" s="76"/>
      <c r="H63" s="76"/>
      <c r="I63" s="75"/>
      <c r="J63" s="78"/>
      <c r="K63" s="76"/>
      <c r="L63" s="79" t="b">
        <v>0</v>
      </c>
      <c r="M63" s="80" t="str">
        <f t="shared" si="1"/>
        <v/>
      </c>
      <c r="N63" s="131" t="b">
        <v>0</v>
      </c>
      <c r="O63" s="80" t="str">
        <f t="shared" si="2"/>
        <v/>
      </c>
      <c r="P63" s="76"/>
      <c r="Q63" s="76"/>
      <c r="R63" s="76" t="b">
        <v>0</v>
      </c>
      <c r="S63" s="82" t="b">
        <v>0</v>
      </c>
      <c r="T63" s="76"/>
      <c r="U63" s="79"/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/>
      <c r="B64" s="76"/>
      <c r="C64" s="77"/>
      <c r="D64" s="76"/>
      <c r="E64" s="76"/>
      <c r="F64" s="76"/>
      <c r="G64" s="76"/>
      <c r="H64" s="76"/>
      <c r="I64" s="75"/>
      <c r="J64" s="78"/>
      <c r="K64" s="76"/>
      <c r="L64" s="79" t="b">
        <v>0</v>
      </c>
      <c r="M64" s="80" t="str">
        <f t="shared" si="1"/>
        <v/>
      </c>
      <c r="N64" s="131" t="b">
        <v>0</v>
      </c>
      <c r="O64" s="80" t="str">
        <f t="shared" si="2"/>
        <v/>
      </c>
      <c r="P64" s="76"/>
      <c r="Q64" s="76"/>
      <c r="R64" s="76" t="b">
        <v>0</v>
      </c>
      <c r="S64" s="82" t="b">
        <v>0</v>
      </c>
      <c r="T64" s="76"/>
      <c r="U64" s="79"/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/>
      <c r="B65" s="76"/>
      <c r="C65" s="77"/>
      <c r="D65" s="76"/>
      <c r="E65" s="76"/>
      <c r="F65" s="76"/>
      <c r="G65" s="76"/>
      <c r="H65" s="76"/>
      <c r="I65" s="75"/>
      <c r="J65" s="78"/>
      <c r="K65" s="76"/>
      <c r="L65" s="79" t="b">
        <v>0</v>
      </c>
      <c r="M65" s="80" t="str">
        <f t="shared" si="1"/>
        <v/>
      </c>
      <c r="N65" s="131" t="b">
        <v>0</v>
      </c>
      <c r="O65" s="80" t="str">
        <f t="shared" si="2"/>
        <v/>
      </c>
      <c r="P65" s="76"/>
      <c r="Q65" s="76"/>
      <c r="R65" s="76" t="b">
        <v>0</v>
      </c>
      <c r="S65" s="82" t="b">
        <v>0</v>
      </c>
      <c r="T65" s="76"/>
      <c r="U65" s="79"/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/>
      <c r="B66" s="76"/>
      <c r="C66" s="77"/>
      <c r="D66" s="76"/>
      <c r="E66" s="76"/>
      <c r="F66" s="76"/>
      <c r="G66" s="76"/>
      <c r="H66" s="76"/>
      <c r="I66" s="75"/>
      <c r="J66" s="78"/>
      <c r="K66" s="76"/>
      <c r="L66" s="79" t="b">
        <v>0</v>
      </c>
      <c r="M66" s="80" t="str">
        <f t="shared" si="1"/>
        <v/>
      </c>
      <c r="N66" s="131" t="b">
        <v>0</v>
      </c>
      <c r="O66" s="80" t="str">
        <f t="shared" si="2"/>
        <v/>
      </c>
      <c r="P66" s="76"/>
      <c r="Q66" s="76"/>
      <c r="R66" s="76" t="b">
        <v>0</v>
      </c>
      <c r="S66" s="82" t="b">
        <v>0</v>
      </c>
      <c r="T66" s="76"/>
      <c r="U66" s="79"/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/>
      <c r="B67" s="76"/>
      <c r="C67" s="77"/>
      <c r="D67" s="76"/>
      <c r="E67" s="76"/>
      <c r="F67" s="76"/>
      <c r="G67" s="76"/>
      <c r="H67" s="76"/>
      <c r="I67" s="75"/>
      <c r="J67" s="78"/>
      <c r="K67" s="76"/>
      <c r="L67" s="79" t="b">
        <v>0</v>
      </c>
      <c r="M67" s="80" t="str">
        <f t="shared" si="1"/>
        <v/>
      </c>
      <c r="N67" s="131" t="b">
        <v>0</v>
      </c>
      <c r="O67" s="80" t="str">
        <f t="shared" si="2"/>
        <v/>
      </c>
      <c r="P67" s="76"/>
      <c r="Q67" s="76"/>
      <c r="R67" s="76" t="b">
        <v>0</v>
      </c>
      <c r="S67" s="82" t="b">
        <v>0</v>
      </c>
      <c r="T67" s="76"/>
      <c r="U67" s="79"/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/>
      <c r="B68" s="76"/>
      <c r="C68" s="77"/>
      <c r="D68" s="76"/>
      <c r="E68" s="76"/>
      <c r="F68" s="76"/>
      <c r="G68" s="76"/>
      <c r="H68" s="76"/>
      <c r="I68" s="75"/>
      <c r="J68" s="78"/>
      <c r="K68" s="76"/>
      <c r="L68" s="79" t="b">
        <v>0</v>
      </c>
      <c r="M68" s="80" t="str">
        <f t="shared" si="1"/>
        <v/>
      </c>
      <c r="N68" s="131" t="b">
        <v>0</v>
      </c>
      <c r="O68" s="80" t="str">
        <f t="shared" si="2"/>
        <v/>
      </c>
      <c r="P68" s="76"/>
      <c r="Q68" s="76"/>
      <c r="R68" s="76" t="b">
        <v>0</v>
      </c>
      <c r="S68" s="82" t="b">
        <v>0</v>
      </c>
      <c r="T68" s="76"/>
      <c r="U68" s="79"/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/>
      <c r="B69" s="76"/>
      <c r="C69" s="77"/>
      <c r="D69" s="76"/>
      <c r="E69" s="76"/>
      <c r="F69" s="76"/>
      <c r="G69" s="76"/>
      <c r="H69" s="76"/>
      <c r="I69" s="75"/>
      <c r="J69" s="78"/>
      <c r="K69" s="76"/>
      <c r="L69" s="79" t="b">
        <v>0</v>
      </c>
      <c r="M69" s="80" t="str">
        <f t="shared" si="1"/>
        <v/>
      </c>
      <c r="N69" s="131" t="b">
        <v>0</v>
      </c>
      <c r="O69" s="80" t="str">
        <f t="shared" si="2"/>
        <v/>
      </c>
      <c r="P69" s="76"/>
      <c r="Q69" s="76"/>
      <c r="R69" s="76" t="b">
        <v>0</v>
      </c>
      <c r="S69" s="82" t="b">
        <v>0</v>
      </c>
      <c r="T69" s="76"/>
      <c r="U69" s="79"/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/>
      <c r="B70" s="76"/>
      <c r="C70" s="77"/>
      <c r="D70" s="76"/>
      <c r="E70" s="76"/>
      <c r="F70" s="76"/>
      <c r="G70" s="76"/>
      <c r="H70" s="76"/>
      <c r="I70" s="75"/>
      <c r="J70" s="78"/>
      <c r="K70" s="76"/>
      <c r="L70" s="79" t="b">
        <v>0</v>
      </c>
      <c r="M70" s="80" t="str">
        <f t="shared" si="1"/>
        <v/>
      </c>
      <c r="N70" s="131" t="b">
        <v>0</v>
      </c>
      <c r="O70" s="80" t="str">
        <f t="shared" si="2"/>
        <v/>
      </c>
      <c r="P70" s="76"/>
      <c r="Q70" s="76"/>
      <c r="R70" s="76" t="b">
        <v>0</v>
      </c>
      <c r="S70" s="82" t="b">
        <v>0</v>
      </c>
      <c r="T70" s="76"/>
      <c r="U70" s="79"/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/>
      <c r="B71" s="76"/>
      <c r="C71" s="77"/>
      <c r="D71" s="76"/>
      <c r="E71" s="76"/>
      <c r="F71" s="76"/>
      <c r="G71" s="76"/>
      <c r="H71" s="76"/>
      <c r="I71" s="75"/>
      <c r="J71" s="78"/>
      <c r="K71" s="76"/>
      <c r="L71" s="79" t="b">
        <v>0</v>
      </c>
      <c r="M71" s="80" t="str">
        <f t="shared" si="1"/>
        <v/>
      </c>
      <c r="N71" s="131" t="b">
        <v>0</v>
      </c>
      <c r="O71" s="80" t="str">
        <f t="shared" si="2"/>
        <v/>
      </c>
      <c r="P71" s="76"/>
      <c r="Q71" s="76"/>
      <c r="R71" s="76" t="b">
        <v>0</v>
      </c>
      <c r="S71" s="82" t="b">
        <v>0</v>
      </c>
      <c r="T71" s="76"/>
      <c r="U71" s="79"/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/>
      <c r="B72" s="76"/>
      <c r="C72" s="77"/>
      <c r="D72" s="76"/>
      <c r="E72" s="76"/>
      <c r="F72" s="76"/>
      <c r="G72" s="76"/>
      <c r="H72" s="76"/>
      <c r="I72" s="75"/>
      <c r="J72" s="78"/>
      <c r="K72" s="76"/>
      <c r="L72" s="79" t="b">
        <v>0</v>
      </c>
      <c r="M72" s="80" t="str">
        <f t="shared" si="1"/>
        <v/>
      </c>
      <c r="N72" s="131" t="b">
        <v>0</v>
      </c>
      <c r="O72" s="80" t="str">
        <f t="shared" si="2"/>
        <v/>
      </c>
      <c r="P72" s="76"/>
      <c r="Q72" s="76"/>
      <c r="R72" s="76" t="b">
        <v>0</v>
      </c>
      <c r="S72" s="82" t="b">
        <v>0</v>
      </c>
      <c r="T72" s="76"/>
      <c r="U72" s="79"/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/>
      <c r="B73" s="76"/>
      <c r="C73" s="77"/>
      <c r="D73" s="76"/>
      <c r="E73" s="76"/>
      <c r="F73" s="76"/>
      <c r="G73" s="76"/>
      <c r="H73" s="76"/>
      <c r="I73" s="75"/>
      <c r="J73" s="78"/>
      <c r="K73" s="76"/>
      <c r="L73" s="79" t="b">
        <v>0</v>
      </c>
      <c r="M73" s="80" t="str">
        <f t="shared" si="1"/>
        <v/>
      </c>
      <c r="N73" s="131" t="b">
        <v>0</v>
      </c>
      <c r="O73" s="80" t="str">
        <f t="shared" si="2"/>
        <v/>
      </c>
      <c r="P73" s="76"/>
      <c r="Q73" s="76"/>
      <c r="R73" s="76" t="b">
        <v>0</v>
      </c>
      <c r="S73" s="82" t="b">
        <v>0</v>
      </c>
      <c r="T73" s="76"/>
      <c r="U73" s="79"/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/>
      <c r="B74" s="76"/>
      <c r="C74" s="77"/>
      <c r="D74" s="76"/>
      <c r="E74" s="76"/>
      <c r="F74" s="76"/>
      <c r="G74" s="76"/>
      <c r="H74" s="76"/>
      <c r="I74" s="75"/>
      <c r="J74" s="78"/>
      <c r="K74" s="76"/>
      <c r="L74" s="79" t="b">
        <v>0</v>
      </c>
      <c r="M74" s="80" t="str">
        <f t="shared" si="1"/>
        <v/>
      </c>
      <c r="N74" s="131" t="b">
        <v>0</v>
      </c>
      <c r="O74" s="80" t="str">
        <f t="shared" si="2"/>
        <v/>
      </c>
      <c r="P74" s="76"/>
      <c r="Q74" s="76"/>
      <c r="R74" s="76" t="b">
        <v>0</v>
      </c>
      <c r="S74" s="82" t="b">
        <v>0</v>
      </c>
      <c r="T74" s="76"/>
      <c r="U74" s="79"/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/>
      <c r="B75" s="76"/>
      <c r="C75" s="77"/>
      <c r="D75" s="76"/>
      <c r="E75" s="76"/>
      <c r="F75" s="76"/>
      <c r="G75" s="76"/>
      <c r="H75" s="76"/>
      <c r="I75" s="75"/>
      <c r="J75" s="78"/>
      <c r="K75" s="76"/>
      <c r="L75" s="79" t="b">
        <v>0</v>
      </c>
      <c r="M75" s="80" t="str">
        <f t="shared" si="1"/>
        <v/>
      </c>
      <c r="N75" s="131" t="b">
        <v>0</v>
      </c>
      <c r="O75" s="80" t="str">
        <f t="shared" si="2"/>
        <v/>
      </c>
      <c r="P75" s="76"/>
      <c r="Q75" s="76"/>
      <c r="R75" s="76" t="b">
        <v>0</v>
      </c>
      <c r="S75" s="82" t="b">
        <v>0</v>
      </c>
      <c r="T75" s="76"/>
      <c r="U75" s="79"/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/>
      <c r="B76" s="76"/>
      <c r="C76" s="77"/>
      <c r="D76" s="76"/>
      <c r="E76" s="76"/>
      <c r="F76" s="76"/>
      <c r="G76" s="76"/>
      <c r="H76" s="76"/>
      <c r="I76" s="75"/>
      <c r="J76" s="78"/>
      <c r="K76" s="76"/>
      <c r="L76" s="79" t="b">
        <v>0</v>
      </c>
      <c r="M76" s="80" t="str">
        <f t="shared" si="1"/>
        <v/>
      </c>
      <c r="N76" s="131" t="b">
        <v>0</v>
      </c>
      <c r="O76" s="80" t="str">
        <f t="shared" si="2"/>
        <v/>
      </c>
      <c r="P76" s="76"/>
      <c r="Q76" s="76"/>
      <c r="R76" s="76" t="b">
        <v>0</v>
      </c>
      <c r="S76" s="82" t="b">
        <v>0</v>
      </c>
      <c r="T76" s="76"/>
      <c r="U76" s="79"/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/>
      <c r="B77" s="76"/>
      <c r="C77" s="77"/>
      <c r="D77" s="76"/>
      <c r="E77" s="76"/>
      <c r="F77" s="76"/>
      <c r="G77" s="76"/>
      <c r="H77" s="76"/>
      <c r="I77" s="75"/>
      <c r="J77" s="78"/>
      <c r="K77" s="76"/>
      <c r="L77" s="79" t="b">
        <v>0</v>
      </c>
      <c r="M77" s="80" t="str">
        <f t="shared" si="1"/>
        <v/>
      </c>
      <c r="N77" s="131" t="b">
        <v>0</v>
      </c>
      <c r="O77" s="80" t="str">
        <f t="shared" si="2"/>
        <v/>
      </c>
      <c r="P77" s="76"/>
      <c r="Q77" s="76"/>
      <c r="R77" s="76" t="b">
        <v>0</v>
      </c>
      <c r="S77" s="82" t="b">
        <v>0</v>
      </c>
      <c r="T77" s="76"/>
      <c r="U77" s="79"/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/>
      <c r="B78" s="76"/>
      <c r="C78" s="77"/>
      <c r="D78" s="76"/>
      <c r="E78" s="76"/>
      <c r="F78" s="76"/>
      <c r="G78" s="76"/>
      <c r="H78" s="76"/>
      <c r="I78" s="75"/>
      <c r="J78" s="78"/>
      <c r="K78" s="76"/>
      <c r="L78" s="79" t="b">
        <v>0</v>
      </c>
      <c r="M78" s="80" t="str">
        <f t="shared" si="1"/>
        <v/>
      </c>
      <c r="N78" s="131" t="b">
        <v>0</v>
      </c>
      <c r="O78" s="80" t="str">
        <f t="shared" si="2"/>
        <v/>
      </c>
      <c r="P78" s="76"/>
      <c r="Q78" s="76"/>
      <c r="R78" s="76" t="b">
        <v>0</v>
      </c>
      <c r="S78" s="82" t="b">
        <v>0</v>
      </c>
      <c r="T78" s="76"/>
      <c r="U78" s="79"/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76"/>
      <c r="C79" s="77"/>
      <c r="D79" s="76"/>
      <c r="E79" s="76"/>
      <c r="F79" s="76"/>
      <c r="G79" s="76"/>
      <c r="H79" s="76"/>
      <c r="I79" s="75"/>
      <c r="J79" s="78"/>
      <c r="K79" s="76"/>
      <c r="L79" s="79" t="b">
        <v>0</v>
      </c>
      <c r="M79" s="80" t="str">
        <f t="shared" si="1"/>
        <v/>
      </c>
      <c r="N79" s="131" t="b">
        <v>0</v>
      </c>
      <c r="O79" s="80" t="str">
        <f t="shared" si="2"/>
        <v/>
      </c>
      <c r="P79" s="76"/>
      <c r="Q79" s="76"/>
      <c r="R79" s="76" t="b">
        <v>0</v>
      </c>
      <c r="S79" s="82" t="b">
        <v>0</v>
      </c>
      <c r="T79" s="76"/>
      <c r="U79" s="79"/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/>
      <c r="B80" s="76"/>
      <c r="C80" s="77"/>
      <c r="D80" s="76"/>
      <c r="E80" s="76"/>
      <c r="F80" s="76"/>
      <c r="G80" s="76"/>
      <c r="H80" s="76"/>
      <c r="I80" s="75"/>
      <c r="J80" s="78"/>
      <c r="K80" s="76"/>
      <c r="L80" s="79" t="b">
        <v>0</v>
      </c>
      <c r="M80" s="80" t="str">
        <f t="shared" si="1"/>
        <v/>
      </c>
      <c r="N80" s="131" t="b">
        <v>0</v>
      </c>
      <c r="O80" s="80" t="str">
        <f t="shared" si="2"/>
        <v/>
      </c>
      <c r="P80" s="76"/>
      <c r="Q80" s="76"/>
      <c r="R80" s="76" t="b">
        <v>0</v>
      </c>
      <c r="S80" s="82" t="b">
        <v>0</v>
      </c>
      <c r="T80" s="76"/>
      <c r="U80" s="79"/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76"/>
      <c r="C81" s="77"/>
      <c r="D81" s="76"/>
      <c r="E81" s="76"/>
      <c r="F81" s="76"/>
      <c r="G81" s="76"/>
      <c r="H81" s="76"/>
      <c r="I81" s="75"/>
      <c r="J81" s="78"/>
      <c r="K81" s="76"/>
      <c r="L81" s="79" t="b">
        <v>0</v>
      </c>
      <c r="M81" s="80" t="str">
        <f t="shared" si="1"/>
        <v/>
      </c>
      <c r="N81" s="131" t="b">
        <v>0</v>
      </c>
      <c r="O81" s="80" t="str">
        <f t="shared" si="2"/>
        <v/>
      </c>
      <c r="P81" s="76"/>
      <c r="Q81" s="76"/>
      <c r="R81" s="76" t="b">
        <v>0</v>
      </c>
      <c r="S81" s="82" t="b">
        <v>0</v>
      </c>
      <c r="T81" s="76"/>
      <c r="U81" s="79"/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/>
      <c r="B82" s="76"/>
      <c r="C82" s="77"/>
      <c r="D82" s="76"/>
      <c r="E82" s="76"/>
      <c r="F82" s="76"/>
      <c r="G82" s="76"/>
      <c r="H82" s="76"/>
      <c r="I82" s="75"/>
      <c r="J82" s="78"/>
      <c r="K82" s="76"/>
      <c r="L82" s="79" t="b">
        <v>0</v>
      </c>
      <c r="M82" s="80" t="str">
        <f t="shared" si="1"/>
        <v/>
      </c>
      <c r="N82" s="131" t="b">
        <v>0</v>
      </c>
      <c r="O82" s="80" t="str">
        <f t="shared" si="2"/>
        <v/>
      </c>
      <c r="P82" s="76"/>
      <c r="Q82" s="76"/>
      <c r="R82" s="76" t="b">
        <v>0</v>
      </c>
      <c r="S82" s="82" t="b">
        <v>0</v>
      </c>
      <c r="T82" s="76"/>
      <c r="U82" s="79"/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/>
      <c r="B83" s="76"/>
      <c r="C83" s="77"/>
      <c r="D83" s="76"/>
      <c r="E83" s="76"/>
      <c r="F83" s="76"/>
      <c r="G83" s="76"/>
      <c r="H83" s="76"/>
      <c r="I83" s="75"/>
      <c r="J83" s="78"/>
      <c r="K83" s="76"/>
      <c r="L83" s="79" t="b">
        <v>0</v>
      </c>
      <c r="M83" s="80" t="str">
        <f t="shared" si="1"/>
        <v/>
      </c>
      <c r="N83" s="79" t="b">
        <v>0</v>
      </c>
      <c r="O83" s="80" t="str">
        <f t="shared" si="2"/>
        <v/>
      </c>
      <c r="P83" s="76"/>
      <c r="Q83" s="76"/>
      <c r="R83" s="76" t="b">
        <v>0</v>
      </c>
      <c r="S83" s="82" t="b">
        <v>0</v>
      </c>
      <c r="T83" s="76"/>
      <c r="U83" s="79"/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/>
      <c r="B84" s="76"/>
      <c r="C84" s="77"/>
      <c r="D84" s="76"/>
      <c r="E84" s="76"/>
      <c r="F84" s="76"/>
      <c r="G84" s="76"/>
      <c r="H84" s="76"/>
      <c r="I84" s="75"/>
      <c r="J84" s="78"/>
      <c r="K84" s="76"/>
      <c r="L84" s="79" t="b">
        <v>0</v>
      </c>
      <c r="M84" s="80" t="str">
        <f t="shared" si="1"/>
        <v/>
      </c>
      <c r="N84" s="79" t="b">
        <v>0</v>
      </c>
      <c r="O84" s="80" t="str">
        <f t="shared" si="2"/>
        <v/>
      </c>
      <c r="P84" s="76"/>
      <c r="Q84" s="76"/>
      <c r="R84" s="76" t="b">
        <v>0</v>
      </c>
      <c r="S84" s="82" t="b">
        <v>0</v>
      </c>
      <c r="T84" s="76"/>
      <c r="U84" s="79"/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/>
      <c r="B85" s="76"/>
      <c r="C85" s="77"/>
      <c r="D85" s="76"/>
      <c r="E85" s="76"/>
      <c r="F85" s="76"/>
      <c r="G85" s="76"/>
      <c r="H85" s="76"/>
      <c r="I85" s="75"/>
      <c r="J85" s="78"/>
      <c r="K85" s="76"/>
      <c r="L85" s="79" t="b">
        <v>0</v>
      </c>
      <c r="M85" s="80" t="str">
        <f t="shared" si="1"/>
        <v/>
      </c>
      <c r="N85" s="79" t="b">
        <v>0</v>
      </c>
      <c r="O85" s="80" t="str">
        <f t="shared" si="2"/>
        <v/>
      </c>
      <c r="P85" s="76"/>
      <c r="Q85" s="76"/>
      <c r="R85" s="76" t="b">
        <v>0</v>
      </c>
      <c r="S85" s="82" t="b">
        <v>0</v>
      </c>
      <c r="T85" s="76"/>
      <c r="U85" s="79"/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/>
      <c r="B86" s="76"/>
      <c r="C86" s="77"/>
      <c r="D86" s="76"/>
      <c r="E86" s="76"/>
      <c r="F86" s="76"/>
      <c r="G86" s="76"/>
      <c r="H86" s="76"/>
      <c r="I86" s="75"/>
      <c r="J86" s="78"/>
      <c r="K86" s="76"/>
      <c r="L86" s="79" t="b">
        <v>0</v>
      </c>
      <c r="M86" s="80" t="str">
        <f t="shared" si="1"/>
        <v/>
      </c>
      <c r="N86" s="79" t="b">
        <v>0</v>
      </c>
      <c r="O86" s="80" t="str">
        <f t="shared" si="2"/>
        <v/>
      </c>
      <c r="P86" s="76"/>
      <c r="Q86" s="76"/>
      <c r="R86" s="76" t="b">
        <v>0</v>
      </c>
      <c r="S86" s="82" t="b">
        <v>0</v>
      </c>
      <c r="T86" s="76"/>
      <c r="U86" s="79"/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76"/>
      <c r="C87" s="77"/>
      <c r="D87" s="76"/>
      <c r="E87" s="76"/>
      <c r="F87" s="76"/>
      <c r="G87" s="76"/>
      <c r="H87" s="76"/>
      <c r="I87" s="75"/>
      <c r="J87" s="78"/>
      <c r="K87" s="76"/>
      <c r="L87" s="79" t="b">
        <v>0</v>
      </c>
      <c r="M87" s="80" t="str">
        <f t="shared" si="1"/>
        <v/>
      </c>
      <c r="N87" s="79" t="b">
        <v>0</v>
      </c>
      <c r="O87" s="80" t="str">
        <f t="shared" si="2"/>
        <v/>
      </c>
      <c r="P87" s="76"/>
      <c r="Q87" s="76"/>
      <c r="R87" s="76" t="b">
        <v>0</v>
      </c>
      <c r="S87" s="82" t="b">
        <v>0</v>
      </c>
      <c r="T87" s="76"/>
      <c r="U87" s="79"/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/>
      <c r="B88" s="76"/>
      <c r="C88" s="77"/>
      <c r="D88" s="76"/>
      <c r="E88" s="76"/>
      <c r="F88" s="76"/>
      <c r="G88" s="76"/>
      <c r="H88" s="76"/>
      <c r="I88" s="75"/>
      <c r="J88" s="78"/>
      <c r="K88" s="76"/>
      <c r="L88" s="79" t="b">
        <v>0</v>
      </c>
      <c r="M88" s="80" t="str">
        <f t="shared" si="1"/>
        <v/>
      </c>
      <c r="N88" s="79" t="b">
        <v>0</v>
      </c>
      <c r="O88" s="80" t="str">
        <f t="shared" si="2"/>
        <v/>
      </c>
      <c r="P88" s="76"/>
      <c r="Q88" s="76"/>
      <c r="R88" s="76" t="b">
        <v>0</v>
      </c>
      <c r="S88" s="82" t="b">
        <v>0</v>
      </c>
      <c r="T88" s="76"/>
      <c r="U88" s="79"/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76"/>
      <c r="C89" s="77"/>
      <c r="D89" s="76"/>
      <c r="E89" s="76"/>
      <c r="F89" s="76"/>
      <c r="G89" s="76"/>
      <c r="H89" s="76"/>
      <c r="I89" s="75"/>
      <c r="J89" s="78"/>
      <c r="K89" s="76"/>
      <c r="L89" s="79" t="b">
        <v>0</v>
      </c>
      <c r="M89" s="80" t="str">
        <f t="shared" si="1"/>
        <v/>
      </c>
      <c r="N89" s="79" t="b">
        <v>0</v>
      </c>
      <c r="O89" s="80" t="str">
        <f t="shared" si="2"/>
        <v/>
      </c>
      <c r="P89" s="76"/>
      <c r="Q89" s="76"/>
      <c r="R89" s="76" t="b">
        <v>0</v>
      </c>
      <c r="S89" s="82" t="b">
        <v>0</v>
      </c>
      <c r="T89" s="76"/>
      <c r="U89" s="79"/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/>
      <c r="B90" s="76"/>
      <c r="C90" s="77"/>
      <c r="D90" s="76"/>
      <c r="E90" s="76"/>
      <c r="F90" s="76"/>
      <c r="G90" s="76"/>
      <c r="H90" s="76"/>
      <c r="I90" s="75"/>
      <c r="J90" s="78"/>
      <c r="K90" s="76"/>
      <c r="L90" s="79" t="b">
        <v>0</v>
      </c>
      <c r="M90" s="80" t="str">
        <f t="shared" si="1"/>
        <v/>
      </c>
      <c r="N90" s="79" t="b">
        <v>0</v>
      </c>
      <c r="O90" s="80" t="str">
        <f t="shared" si="2"/>
        <v/>
      </c>
      <c r="P90" s="76"/>
      <c r="Q90" s="76"/>
      <c r="R90" s="76" t="b">
        <v>0</v>
      </c>
      <c r="S90" s="82" t="b">
        <v>0</v>
      </c>
      <c r="T90" s="76"/>
      <c r="U90" s="79"/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76"/>
      <c r="C91" s="77"/>
      <c r="D91" s="76"/>
      <c r="E91" s="76"/>
      <c r="F91" s="76"/>
      <c r="G91" s="76"/>
      <c r="H91" s="76"/>
      <c r="I91" s="75"/>
      <c r="J91" s="78"/>
      <c r="K91" s="76"/>
      <c r="L91" s="79" t="b">
        <v>0</v>
      </c>
      <c r="M91" s="80" t="str">
        <f t="shared" si="1"/>
        <v/>
      </c>
      <c r="N91" s="79" t="b">
        <v>0</v>
      </c>
      <c r="O91" s="80" t="str">
        <f t="shared" si="2"/>
        <v/>
      </c>
      <c r="P91" s="76"/>
      <c r="Q91" s="76"/>
      <c r="R91" s="76" t="b">
        <v>0</v>
      </c>
      <c r="S91" s="82" t="b">
        <v>0</v>
      </c>
      <c r="T91" s="76"/>
      <c r="U91" s="79"/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76"/>
      <c r="C92" s="77"/>
      <c r="D92" s="76"/>
      <c r="E92" s="76"/>
      <c r="F92" s="76"/>
      <c r="G92" s="76"/>
      <c r="H92" s="76"/>
      <c r="I92" s="75"/>
      <c r="J92" s="78"/>
      <c r="K92" s="76"/>
      <c r="L92" s="79" t="b">
        <v>0</v>
      </c>
      <c r="M92" s="80" t="str">
        <f t="shared" si="1"/>
        <v/>
      </c>
      <c r="N92" s="79" t="b">
        <v>0</v>
      </c>
      <c r="O92" s="80" t="str">
        <f t="shared" si="2"/>
        <v/>
      </c>
      <c r="P92" s="76"/>
      <c r="Q92" s="76"/>
      <c r="R92" s="76" t="b">
        <v>0</v>
      </c>
      <c r="S92" s="82" t="b">
        <v>0</v>
      </c>
      <c r="T92" s="76"/>
      <c r="U92" s="79"/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76"/>
      <c r="C93" s="77"/>
      <c r="D93" s="76"/>
      <c r="E93" s="76"/>
      <c r="F93" s="76"/>
      <c r="G93" s="76"/>
      <c r="H93" s="76"/>
      <c r="I93" s="75"/>
      <c r="J93" s="78"/>
      <c r="K93" s="76"/>
      <c r="L93" s="79" t="b">
        <v>0</v>
      </c>
      <c r="M93" s="80" t="str">
        <f t="shared" si="1"/>
        <v/>
      </c>
      <c r="N93" s="79" t="b">
        <v>0</v>
      </c>
      <c r="O93" s="80" t="str">
        <f t="shared" si="2"/>
        <v/>
      </c>
      <c r="P93" s="76"/>
      <c r="Q93" s="76"/>
      <c r="R93" s="76" t="b">
        <v>0</v>
      </c>
      <c r="S93" s="82" t="b">
        <v>0</v>
      </c>
      <c r="T93" s="76"/>
      <c r="U93" s="79"/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/>
      <c r="B94" s="76"/>
      <c r="C94" s="77"/>
      <c r="D94" s="76"/>
      <c r="E94" s="76"/>
      <c r="F94" s="76"/>
      <c r="G94" s="76"/>
      <c r="H94" s="76"/>
      <c r="I94" s="75"/>
      <c r="J94" s="78"/>
      <c r="K94" s="76"/>
      <c r="L94" s="79" t="b">
        <v>0</v>
      </c>
      <c r="M94" s="80" t="str">
        <f t="shared" si="1"/>
        <v/>
      </c>
      <c r="N94" s="79" t="b">
        <v>0</v>
      </c>
      <c r="O94" s="80" t="str">
        <f t="shared" si="2"/>
        <v/>
      </c>
      <c r="P94" s="76"/>
      <c r="Q94" s="76"/>
      <c r="R94" s="76" t="b">
        <v>0</v>
      </c>
      <c r="S94" s="82" t="b">
        <v>0</v>
      </c>
      <c r="T94" s="76"/>
      <c r="U94" s="79"/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/>
      <c r="B95" s="76"/>
      <c r="C95" s="77"/>
      <c r="D95" s="76"/>
      <c r="E95" s="76"/>
      <c r="F95" s="76"/>
      <c r="G95" s="76"/>
      <c r="H95" s="76"/>
      <c r="I95" s="75"/>
      <c r="J95" s="78"/>
      <c r="K95" s="76"/>
      <c r="L95" s="79" t="b">
        <v>0</v>
      </c>
      <c r="M95" s="80" t="str">
        <f t="shared" si="1"/>
        <v/>
      </c>
      <c r="N95" s="79" t="b">
        <v>0</v>
      </c>
      <c r="O95" s="80" t="str">
        <f t="shared" si="2"/>
        <v/>
      </c>
      <c r="P95" s="76"/>
      <c r="Q95" s="76"/>
      <c r="R95" s="76" t="b">
        <v>0</v>
      </c>
      <c r="S95" s="82" t="b">
        <v>0</v>
      </c>
      <c r="T95" s="76"/>
      <c r="U95" s="79"/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76"/>
      <c r="C96" s="77"/>
      <c r="D96" s="76"/>
      <c r="E96" s="76"/>
      <c r="F96" s="76"/>
      <c r="G96" s="76"/>
      <c r="H96" s="76"/>
      <c r="I96" s="75"/>
      <c r="J96" s="78"/>
      <c r="K96" s="76"/>
      <c r="L96" s="79" t="b">
        <v>0</v>
      </c>
      <c r="M96" s="80" t="str">
        <f t="shared" si="1"/>
        <v/>
      </c>
      <c r="N96" s="79" t="b">
        <v>0</v>
      </c>
      <c r="O96" s="80" t="str">
        <f t="shared" si="2"/>
        <v/>
      </c>
      <c r="P96" s="76"/>
      <c r="Q96" s="76"/>
      <c r="R96" s="76" t="b">
        <v>0</v>
      </c>
      <c r="S96" s="82" t="b">
        <v>0</v>
      </c>
      <c r="T96" s="76"/>
      <c r="U96" s="79"/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76"/>
      <c r="C97" s="77"/>
      <c r="D97" s="76"/>
      <c r="E97" s="76"/>
      <c r="F97" s="76"/>
      <c r="G97" s="76"/>
      <c r="H97" s="76"/>
      <c r="I97" s="75"/>
      <c r="J97" s="78"/>
      <c r="K97" s="76"/>
      <c r="L97" s="79" t="b">
        <v>0</v>
      </c>
      <c r="M97" s="80" t="str">
        <f t="shared" si="1"/>
        <v/>
      </c>
      <c r="N97" s="79" t="b">
        <v>0</v>
      </c>
      <c r="O97" s="80" t="str">
        <f t="shared" si="2"/>
        <v/>
      </c>
      <c r="P97" s="76"/>
      <c r="Q97" s="76"/>
      <c r="R97" s="76" t="b">
        <v>0</v>
      </c>
      <c r="S97" s="82" t="b">
        <v>0</v>
      </c>
      <c r="T97" s="76"/>
      <c r="U97" s="79"/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76"/>
      <c r="C98" s="77"/>
      <c r="D98" s="76"/>
      <c r="E98" s="76"/>
      <c r="F98" s="76"/>
      <c r="G98" s="76"/>
      <c r="H98" s="76"/>
      <c r="I98" s="75"/>
      <c r="J98" s="78"/>
      <c r="K98" s="76"/>
      <c r="L98" s="79" t="b">
        <v>0</v>
      </c>
      <c r="M98" s="80" t="str">
        <f t="shared" si="1"/>
        <v/>
      </c>
      <c r="N98" s="79" t="b">
        <v>0</v>
      </c>
      <c r="O98" s="80" t="str">
        <f t="shared" si="2"/>
        <v/>
      </c>
      <c r="P98" s="76"/>
      <c r="Q98" s="76"/>
      <c r="R98" s="76" t="b">
        <v>0</v>
      </c>
      <c r="S98" s="82" t="b">
        <v>0</v>
      </c>
      <c r="T98" s="76"/>
      <c r="U98" s="79"/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76"/>
      <c r="C99" s="77"/>
      <c r="D99" s="76"/>
      <c r="E99" s="76"/>
      <c r="F99" s="76"/>
      <c r="G99" s="76"/>
      <c r="H99" s="76"/>
      <c r="I99" s="75"/>
      <c r="J99" s="78"/>
      <c r="K99" s="76"/>
      <c r="L99" s="79" t="b">
        <v>0</v>
      </c>
      <c r="M99" s="80" t="str">
        <f t="shared" si="1"/>
        <v/>
      </c>
      <c r="N99" s="79" t="b">
        <v>0</v>
      </c>
      <c r="O99" s="80" t="str">
        <f t="shared" si="2"/>
        <v/>
      </c>
      <c r="P99" s="76"/>
      <c r="Q99" s="76"/>
      <c r="R99" s="76" t="b">
        <v>0</v>
      </c>
      <c r="S99" s="82" t="b">
        <v>0</v>
      </c>
      <c r="T99" s="76"/>
      <c r="U99" s="79"/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76"/>
      <c r="C100" s="77"/>
      <c r="D100" s="76"/>
      <c r="E100" s="76"/>
      <c r="F100" s="76"/>
      <c r="G100" s="76"/>
      <c r="H100" s="76"/>
      <c r="I100" s="75"/>
      <c r="J100" s="78"/>
      <c r="K100" s="76"/>
      <c r="L100" s="79" t="b">
        <v>0</v>
      </c>
      <c r="M100" s="80" t="str">
        <f t="shared" si="1"/>
        <v/>
      </c>
      <c r="N100" s="79" t="b">
        <v>0</v>
      </c>
      <c r="O100" s="80" t="str">
        <f t="shared" si="2"/>
        <v/>
      </c>
      <c r="P100" s="76"/>
      <c r="Q100" s="76"/>
      <c r="R100" s="76" t="b">
        <v>0</v>
      </c>
      <c r="S100" s="82" t="b">
        <v>0</v>
      </c>
      <c r="T100" s="76"/>
      <c r="U100" s="79"/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76"/>
      <c r="C101" s="77"/>
      <c r="D101" s="76"/>
      <c r="E101" s="76"/>
      <c r="F101" s="76"/>
      <c r="G101" s="76"/>
      <c r="H101" s="76"/>
      <c r="I101" s="75"/>
      <c r="J101" s="78"/>
      <c r="K101" s="76"/>
      <c r="L101" s="79" t="b">
        <v>0</v>
      </c>
      <c r="M101" s="80" t="str">
        <f t="shared" si="1"/>
        <v/>
      </c>
      <c r="N101" s="79" t="b">
        <v>0</v>
      </c>
      <c r="O101" s="80" t="str">
        <f t="shared" si="2"/>
        <v/>
      </c>
      <c r="P101" s="76"/>
      <c r="Q101" s="76"/>
      <c r="R101" s="76" t="b">
        <v>0</v>
      </c>
      <c r="S101" s="82" t="b">
        <v>0</v>
      </c>
      <c r="T101" s="76"/>
      <c r="U101" s="79"/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76"/>
      <c r="C102" s="77"/>
      <c r="D102" s="76"/>
      <c r="E102" s="76"/>
      <c r="F102" s="76"/>
      <c r="G102" s="76"/>
      <c r="H102" s="76"/>
      <c r="I102" s="75"/>
      <c r="J102" s="78"/>
      <c r="K102" s="76"/>
      <c r="L102" s="79" t="b">
        <v>0</v>
      </c>
      <c r="M102" s="80" t="str">
        <f t="shared" si="1"/>
        <v/>
      </c>
      <c r="N102" s="79" t="b">
        <v>0</v>
      </c>
      <c r="O102" s="80" t="str">
        <f t="shared" si="2"/>
        <v/>
      </c>
      <c r="P102" s="76"/>
      <c r="Q102" s="76"/>
      <c r="R102" s="76" t="b">
        <v>0</v>
      </c>
      <c r="S102" s="82" t="b">
        <v>0</v>
      </c>
      <c r="T102" s="76"/>
      <c r="U102" s="79"/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76"/>
      <c r="C103" s="77"/>
      <c r="D103" s="76"/>
      <c r="E103" s="76"/>
      <c r="F103" s="76"/>
      <c r="G103" s="76"/>
      <c r="H103" s="76"/>
      <c r="I103" s="75"/>
      <c r="J103" s="78"/>
      <c r="K103" s="76"/>
      <c r="L103" s="79" t="b">
        <v>0</v>
      </c>
      <c r="M103" s="80" t="str">
        <f t="shared" si="1"/>
        <v/>
      </c>
      <c r="N103" s="79" t="b">
        <v>0</v>
      </c>
      <c r="O103" s="80" t="str">
        <f t="shared" si="2"/>
        <v/>
      </c>
      <c r="P103" s="76"/>
      <c r="Q103" s="76"/>
      <c r="R103" s="76" t="b">
        <v>0</v>
      </c>
      <c r="S103" s="82" t="b">
        <v>0</v>
      </c>
      <c r="T103" s="76"/>
      <c r="U103" s="79"/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76"/>
      <c r="C104" s="77"/>
      <c r="D104" s="76"/>
      <c r="E104" s="76"/>
      <c r="F104" s="76"/>
      <c r="G104" s="76"/>
      <c r="H104" s="76"/>
      <c r="I104" s="75"/>
      <c r="J104" s="78"/>
      <c r="K104" s="76"/>
      <c r="L104" s="79" t="b">
        <v>0</v>
      </c>
      <c r="M104" s="80" t="str">
        <f t="shared" si="1"/>
        <v/>
      </c>
      <c r="N104" s="79" t="b">
        <v>0</v>
      </c>
      <c r="O104" s="80" t="str">
        <f t="shared" si="2"/>
        <v/>
      </c>
      <c r="P104" s="76"/>
      <c r="Q104" s="76"/>
      <c r="R104" s="76" t="b">
        <v>0</v>
      </c>
      <c r="S104" s="82" t="b">
        <v>0</v>
      </c>
      <c r="T104" s="76"/>
      <c r="U104" s="79"/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76"/>
      <c r="C105" s="77"/>
      <c r="D105" s="76"/>
      <c r="E105" s="76"/>
      <c r="F105" s="76"/>
      <c r="G105" s="76"/>
      <c r="H105" s="76"/>
      <c r="I105" s="75"/>
      <c r="J105" s="78"/>
      <c r="K105" s="76"/>
      <c r="L105" s="79" t="b">
        <v>0</v>
      </c>
      <c r="M105" s="80" t="str">
        <f t="shared" si="1"/>
        <v/>
      </c>
      <c r="N105" s="79" t="b">
        <v>0</v>
      </c>
      <c r="O105" s="80" t="str">
        <f t="shared" si="2"/>
        <v/>
      </c>
      <c r="P105" s="76"/>
      <c r="Q105" s="76"/>
      <c r="R105" s="76" t="b">
        <v>0</v>
      </c>
      <c r="S105" s="82" t="b">
        <v>0</v>
      </c>
      <c r="T105" s="76"/>
      <c r="U105" s="79"/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/>
      <c r="B106" s="76"/>
      <c r="C106" s="77"/>
      <c r="D106" s="76"/>
      <c r="E106" s="76"/>
      <c r="F106" s="76"/>
      <c r="G106" s="76"/>
      <c r="H106" s="76"/>
      <c r="I106" s="75"/>
      <c r="J106" s="78"/>
      <c r="K106" s="76"/>
      <c r="L106" s="79" t="b">
        <v>0</v>
      </c>
      <c r="M106" s="80" t="str">
        <f t="shared" si="1"/>
        <v/>
      </c>
      <c r="N106" s="79" t="b">
        <v>0</v>
      </c>
      <c r="O106" s="80" t="str">
        <f t="shared" si="2"/>
        <v/>
      </c>
      <c r="P106" s="76"/>
      <c r="Q106" s="76"/>
      <c r="R106" s="76" t="b">
        <v>0</v>
      </c>
      <c r="S106" s="82" t="b">
        <v>0</v>
      </c>
      <c r="T106" s="76"/>
      <c r="U106" s="79"/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/>
      <c r="B107" s="76"/>
      <c r="C107" s="77"/>
      <c r="D107" s="76"/>
      <c r="E107" s="76"/>
      <c r="F107" s="76"/>
      <c r="G107" s="76"/>
      <c r="H107" s="76"/>
      <c r="I107" s="75"/>
      <c r="J107" s="78"/>
      <c r="K107" s="76"/>
      <c r="L107" s="79" t="b">
        <v>0</v>
      </c>
      <c r="M107" s="80" t="str">
        <f t="shared" si="1"/>
        <v/>
      </c>
      <c r="N107" s="79" t="b">
        <v>0</v>
      </c>
      <c r="O107" s="80" t="str">
        <f t="shared" si="2"/>
        <v/>
      </c>
      <c r="P107" s="76"/>
      <c r="Q107" s="76"/>
      <c r="R107" s="76" t="b">
        <v>0</v>
      </c>
      <c r="S107" s="82" t="b">
        <v>0</v>
      </c>
      <c r="T107" s="76"/>
      <c r="U107" s="79"/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/>
      <c r="B108" s="76"/>
      <c r="C108" s="77"/>
      <c r="D108" s="76"/>
      <c r="E108" s="76"/>
      <c r="F108" s="76"/>
      <c r="G108" s="76"/>
      <c r="H108" s="76"/>
      <c r="I108" s="75"/>
      <c r="J108" s="78"/>
      <c r="K108" s="76"/>
      <c r="L108" s="79" t="b">
        <v>0</v>
      </c>
      <c r="M108" s="80" t="str">
        <f t="shared" si="1"/>
        <v/>
      </c>
      <c r="N108" s="79" t="b">
        <v>0</v>
      </c>
      <c r="O108" s="80" t="str">
        <f t="shared" si="2"/>
        <v/>
      </c>
      <c r="P108" s="76"/>
      <c r="Q108" s="76"/>
      <c r="R108" s="76" t="b">
        <v>0</v>
      </c>
      <c r="S108" s="82" t="b">
        <v>0</v>
      </c>
      <c r="T108" s="76"/>
      <c r="U108" s="79"/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/>
      <c r="B109" s="76"/>
      <c r="C109" s="77"/>
      <c r="D109" s="76"/>
      <c r="E109" s="76"/>
      <c r="F109" s="76"/>
      <c r="G109" s="76"/>
      <c r="H109" s="76"/>
      <c r="I109" s="75"/>
      <c r="J109" s="78"/>
      <c r="K109" s="76"/>
      <c r="L109" s="79" t="b">
        <v>0</v>
      </c>
      <c r="M109" s="80" t="str">
        <f t="shared" si="1"/>
        <v/>
      </c>
      <c r="N109" s="79" t="b">
        <v>0</v>
      </c>
      <c r="O109" s="80" t="str">
        <f t="shared" si="2"/>
        <v/>
      </c>
      <c r="P109" s="76"/>
      <c r="Q109" s="76"/>
      <c r="R109" s="76" t="b">
        <v>0</v>
      </c>
      <c r="S109" s="82" t="b">
        <v>0</v>
      </c>
      <c r="T109" s="76"/>
      <c r="U109" s="79"/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/>
      <c r="B110" s="76"/>
      <c r="C110" s="77"/>
      <c r="D110" s="76"/>
      <c r="E110" s="76"/>
      <c r="F110" s="76"/>
      <c r="G110" s="76"/>
      <c r="H110" s="76"/>
      <c r="I110" s="75"/>
      <c r="J110" s="78"/>
      <c r="K110" s="76"/>
      <c r="L110" s="79" t="b">
        <v>0</v>
      </c>
      <c r="M110" s="80" t="str">
        <f t="shared" si="1"/>
        <v/>
      </c>
      <c r="N110" s="79" t="b">
        <v>0</v>
      </c>
      <c r="O110" s="80" t="str">
        <f t="shared" si="2"/>
        <v/>
      </c>
      <c r="P110" s="76"/>
      <c r="Q110" s="76"/>
      <c r="R110" s="76" t="b">
        <v>0</v>
      </c>
      <c r="S110" s="82" t="b">
        <v>0</v>
      </c>
      <c r="T110" s="76"/>
      <c r="U110" s="79"/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/>
      <c r="B111" s="76"/>
      <c r="C111" s="77"/>
      <c r="D111" s="76"/>
      <c r="E111" s="76"/>
      <c r="F111" s="76"/>
      <c r="G111" s="76"/>
      <c r="H111" s="76"/>
      <c r="I111" s="75"/>
      <c r="J111" s="78"/>
      <c r="K111" s="76"/>
      <c r="L111" s="79" t="b">
        <v>0</v>
      </c>
      <c r="M111" s="80" t="str">
        <f t="shared" si="1"/>
        <v/>
      </c>
      <c r="N111" s="79" t="b">
        <v>0</v>
      </c>
      <c r="O111" s="80" t="str">
        <f t="shared" si="2"/>
        <v/>
      </c>
      <c r="P111" s="76"/>
      <c r="Q111" s="76"/>
      <c r="R111" s="76" t="b">
        <v>0</v>
      </c>
      <c r="S111" s="82" t="b">
        <v>0</v>
      </c>
      <c r="T111" s="76"/>
      <c r="U111" s="79"/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/>
      <c r="B112" s="76"/>
      <c r="C112" s="77"/>
      <c r="D112" s="76"/>
      <c r="E112" s="76"/>
      <c r="F112" s="76"/>
      <c r="G112" s="76"/>
      <c r="H112" s="76"/>
      <c r="I112" s="75"/>
      <c r="J112" s="78"/>
      <c r="K112" s="76"/>
      <c r="L112" s="79" t="b">
        <v>0</v>
      </c>
      <c r="M112" s="80" t="str">
        <f t="shared" si="1"/>
        <v/>
      </c>
      <c r="N112" s="79" t="b">
        <v>0</v>
      </c>
      <c r="O112" s="80" t="str">
        <f t="shared" si="2"/>
        <v/>
      </c>
      <c r="P112" s="76"/>
      <c r="Q112" s="76"/>
      <c r="R112" s="76" t="b">
        <v>0</v>
      </c>
      <c r="S112" s="82" t="b">
        <v>0</v>
      </c>
      <c r="T112" s="76"/>
      <c r="U112" s="79"/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/>
      <c r="B113" s="76"/>
      <c r="C113" s="77"/>
      <c r="D113" s="76"/>
      <c r="E113" s="76"/>
      <c r="F113" s="76"/>
      <c r="G113" s="76"/>
      <c r="H113" s="76"/>
      <c r="I113" s="75"/>
      <c r="J113" s="78"/>
      <c r="K113" s="76"/>
      <c r="L113" s="79" t="b">
        <v>0</v>
      </c>
      <c r="M113" s="80" t="str">
        <f t="shared" si="1"/>
        <v/>
      </c>
      <c r="N113" s="79" t="b">
        <v>0</v>
      </c>
      <c r="O113" s="80" t="str">
        <f t="shared" si="2"/>
        <v/>
      </c>
      <c r="P113" s="76"/>
      <c r="Q113" s="76"/>
      <c r="R113" s="76" t="b">
        <v>0</v>
      </c>
      <c r="S113" s="82" t="b">
        <v>0</v>
      </c>
      <c r="T113" s="76"/>
      <c r="U113" s="79"/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/>
      <c r="B114" s="91"/>
      <c r="C114" s="92"/>
      <c r="D114" s="136"/>
      <c r="E114" s="94"/>
      <c r="F114" s="136"/>
      <c r="G114" s="137"/>
      <c r="H114" s="91"/>
      <c r="I114" s="75"/>
      <c r="J114" s="78"/>
      <c r="K114" s="76"/>
      <c r="L114" s="79" t="b">
        <v>0</v>
      </c>
      <c r="M114" s="80" t="str">
        <f t="shared" si="1"/>
        <v/>
      </c>
      <c r="N114" s="79" t="b">
        <v>0</v>
      </c>
      <c r="O114" s="80" t="str">
        <f t="shared" si="2"/>
        <v/>
      </c>
      <c r="P114" s="76"/>
      <c r="Q114" s="76"/>
      <c r="R114" s="76" t="b">
        <v>0</v>
      </c>
      <c r="S114" s="82" t="b">
        <v>0</v>
      </c>
      <c r="T114" s="76"/>
      <c r="U114" s="79"/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/>
      <c r="B115" s="76"/>
      <c r="C115" s="77"/>
      <c r="D115" s="76"/>
      <c r="E115" s="76"/>
      <c r="F115" s="76"/>
      <c r="G115" s="76"/>
      <c r="H115" s="76"/>
      <c r="I115" s="75"/>
      <c r="J115" s="78"/>
      <c r="K115" s="76"/>
      <c r="L115" s="79" t="b">
        <v>0</v>
      </c>
      <c r="M115" s="80" t="str">
        <f t="shared" si="1"/>
        <v/>
      </c>
      <c r="N115" s="79" t="b">
        <v>0</v>
      </c>
      <c r="O115" s="80" t="str">
        <f t="shared" si="2"/>
        <v/>
      </c>
      <c r="P115" s="76"/>
      <c r="Q115" s="76"/>
      <c r="R115" s="76" t="b">
        <v>0</v>
      </c>
      <c r="S115" s="82" t="b">
        <v>0</v>
      </c>
      <c r="T115" s="76"/>
      <c r="U115" s="79"/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/>
      <c r="B116" s="76"/>
      <c r="C116" s="77"/>
      <c r="D116" s="76"/>
      <c r="E116" s="76"/>
      <c r="F116" s="76"/>
      <c r="G116" s="76"/>
      <c r="H116" s="76"/>
      <c r="I116" s="75"/>
      <c r="J116" s="78"/>
      <c r="K116" s="76"/>
      <c r="L116" s="79" t="b">
        <v>0</v>
      </c>
      <c r="M116" s="80" t="str">
        <f t="shared" si="1"/>
        <v/>
      </c>
      <c r="N116" s="79" t="b">
        <v>0</v>
      </c>
      <c r="O116" s="80" t="str">
        <f t="shared" si="2"/>
        <v/>
      </c>
      <c r="P116" s="76"/>
      <c r="Q116" s="76"/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/>
      <c r="B117" s="76"/>
      <c r="C117" s="77"/>
      <c r="D117" s="76"/>
      <c r="E117" s="76"/>
      <c r="F117" s="76"/>
      <c r="G117" s="76"/>
      <c r="H117" s="76"/>
      <c r="I117" s="75"/>
      <c r="J117" s="78"/>
      <c r="K117" s="76"/>
      <c r="L117" s="79" t="b">
        <v>0</v>
      </c>
      <c r="M117" s="80" t="str">
        <f t="shared" si="1"/>
        <v/>
      </c>
      <c r="N117" s="79" t="b">
        <v>0</v>
      </c>
      <c r="O117" s="80" t="str">
        <f t="shared" si="2"/>
        <v/>
      </c>
      <c r="P117" s="76"/>
      <c r="Q117" s="76"/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/>
      <c r="B118" s="76"/>
      <c r="C118" s="77"/>
      <c r="D118" s="76"/>
      <c r="E118" s="76"/>
      <c r="F118" s="76"/>
      <c r="G118" s="76"/>
      <c r="H118" s="76"/>
      <c r="I118" s="75"/>
      <c r="J118" s="78"/>
      <c r="K118" s="76"/>
      <c r="L118" s="79" t="b">
        <v>0</v>
      </c>
      <c r="M118" s="80" t="str">
        <f t="shared" si="1"/>
        <v/>
      </c>
      <c r="N118" s="79" t="b">
        <v>0</v>
      </c>
      <c r="O118" s="80" t="str">
        <f t="shared" si="2"/>
        <v/>
      </c>
      <c r="P118" s="76"/>
      <c r="Q118" s="76"/>
      <c r="R118" s="76" t="b">
        <v>0</v>
      </c>
      <c r="S118" s="82" t="b">
        <v>0</v>
      </c>
      <c r="T118" s="76"/>
      <c r="U118" s="79"/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/>
      <c r="B119" s="76"/>
      <c r="C119" s="77"/>
      <c r="D119" s="76"/>
      <c r="E119" s="76"/>
      <c r="F119" s="76"/>
      <c r="G119" s="76"/>
      <c r="H119" s="76"/>
      <c r="I119" s="75"/>
      <c r="J119" s="78"/>
      <c r="K119" s="76"/>
      <c r="L119" s="79" t="b">
        <v>0</v>
      </c>
      <c r="M119" s="80" t="str">
        <f t="shared" si="1"/>
        <v/>
      </c>
      <c r="N119" s="79" t="b">
        <v>0</v>
      </c>
      <c r="O119" s="80" t="str">
        <f t="shared" si="2"/>
        <v/>
      </c>
      <c r="P119" s="76"/>
      <c r="Q119" s="76"/>
      <c r="R119" s="76" t="b">
        <v>0</v>
      </c>
      <c r="S119" s="82" t="b">
        <v>0</v>
      </c>
      <c r="T119" s="76"/>
      <c r="U119" s="79"/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/>
      <c r="B120" s="76"/>
      <c r="C120" s="77"/>
      <c r="D120" s="76"/>
      <c r="E120" s="76"/>
      <c r="F120" s="76"/>
      <c r="G120" s="76"/>
      <c r="H120" s="76"/>
      <c r="I120" s="75"/>
      <c r="J120" s="78"/>
      <c r="K120" s="76"/>
      <c r="L120" s="79" t="b">
        <v>0</v>
      </c>
      <c r="M120" s="80" t="str">
        <f t="shared" si="1"/>
        <v/>
      </c>
      <c r="N120" s="79" t="b">
        <v>0</v>
      </c>
      <c r="O120" s="80" t="str">
        <f t="shared" si="2"/>
        <v/>
      </c>
      <c r="P120" s="76"/>
      <c r="Q120" s="76"/>
      <c r="R120" s="76" t="b">
        <v>0</v>
      </c>
      <c r="S120" s="82" t="b">
        <v>0</v>
      </c>
      <c r="T120" s="76"/>
      <c r="U120" s="79"/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/>
      <c r="B121" s="76"/>
      <c r="C121" s="77"/>
      <c r="D121" s="76"/>
      <c r="E121" s="76"/>
      <c r="F121" s="76"/>
      <c r="G121" s="76"/>
      <c r="H121" s="76"/>
      <c r="I121" s="75"/>
      <c r="J121" s="78"/>
      <c r="K121" s="76"/>
      <c r="L121" s="79" t="b">
        <v>0</v>
      </c>
      <c r="M121" s="80" t="str">
        <f t="shared" si="1"/>
        <v/>
      </c>
      <c r="N121" s="79" t="b">
        <v>0</v>
      </c>
      <c r="O121" s="80" t="str">
        <f t="shared" si="2"/>
        <v/>
      </c>
      <c r="P121" s="76"/>
      <c r="Q121" s="76"/>
      <c r="R121" s="76" t="b">
        <v>0</v>
      </c>
      <c r="S121" s="82" t="b">
        <v>0</v>
      </c>
      <c r="T121" s="76"/>
      <c r="U121" s="79"/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/>
      <c r="B122" s="76"/>
      <c r="C122" s="77"/>
      <c r="D122" s="76"/>
      <c r="E122" s="76"/>
      <c r="F122" s="76"/>
      <c r="G122" s="76"/>
      <c r="H122" s="76"/>
      <c r="I122" s="75"/>
      <c r="J122" s="78"/>
      <c r="K122" s="76"/>
      <c r="L122" s="79" t="b">
        <v>0</v>
      </c>
      <c r="M122" s="80" t="str">
        <f t="shared" si="1"/>
        <v/>
      </c>
      <c r="N122" s="79" t="b">
        <v>0</v>
      </c>
      <c r="O122" s="80" t="str">
        <f t="shared" si="2"/>
        <v/>
      </c>
      <c r="P122" s="76"/>
      <c r="Q122" s="76"/>
      <c r="R122" s="76" t="b">
        <v>0</v>
      </c>
      <c r="S122" s="82" t="b">
        <v>0</v>
      </c>
      <c r="T122" s="76"/>
      <c r="U122" s="79"/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/>
      <c r="B123" s="76"/>
      <c r="C123" s="77"/>
      <c r="D123" s="76"/>
      <c r="E123" s="76"/>
      <c r="F123" s="76"/>
      <c r="G123" s="76"/>
      <c r="H123" s="76"/>
      <c r="I123" s="75"/>
      <c r="J123" s="78"/>
      <c r="K123" s="76"/>
      <c r="L123" s="79" t="b">
        <v>0</v>
      </c>
      <c r="M123" s="80" t="str">
        <f t="shared" si="1"/>
        <v/>
      </c>
      <c r="N123" s="79" t="b">
        <v>0</v>
      </c>
      <c r="O123" s="80" t="str">
        <f t="shared" si="2"/>
        <v/>
      </c>
      <c r="P123" s="76"/>
      <c r="Q123" s="76"/>
      <c r="R123" s="76" t="b">
        <v>0</v>
      </c>
      <c r="S123" s="82" t="b">
        <v>0</v>
      </c>
      <c r="T123" s="76"/>
      <c r="U123" s="79"/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/>
      <c r="B124" s="76"/>
      <c r="C124" s="77"/>
      <c r="D124" s="76"/>
      <c r="E124" s="76"/>
      <c r="F124" s="76"/>
      <c r="G124" s="76"/>
      <c r="H124" s="76"/>
      <c r="I124" s="75"/>
      <c r="J124" s="78"/>
      <c r="K124" s="76"/>
      <c r="L124" s="79" t="b">
        <v>0</v>
      </c>
      <c r="M124" s="80" t="str">
        <f t="shared" si="1"/>
        <v/>
      </c>
      <c r="N124" s="79" t="b">
        <v>0</v>
      </c>
      <c r="O124" s="80" t="str">
        <f t="shared" si="2"/>
        <v/>
      </c>
      <c r="P124" s="76"/>
      <c r="Q124" s="76"/>
      <c r="R124" s="76" t="b">
        <v>0</v>
      </c>
      <c r="S124" s="82" t="b">
        <v>0</v>
      </c>
      <c r="T124" s="76"/>
      <c r="U124" s="79"/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/>
      <c r="B125" s="76"/>
      <c r="C125" s="77"/>
      <c r="D125" s="76"/>
      <c r="E125" s="76"/>
      <c r="F125" s="76"/>
      <c r="G125" s="76"/>
      <c r="H125" s="76"/>
      <c r="I125" s="75"/>
      <c r="J125" s="78"/>
      <c r="K125" s="76"/>
      <c r="L125" s="79" t="b">
        <v>0</v>
      </c>
      <c r="M125" s="80" t="str">
        <f t="shared" si="1"/>
        <v/>
      </c>
      <c r="N125" s="79" t="b">
        <v>0</v>
      </c>
      <c r="O125" s="80" t="str">
        <f t="shared" si="2"/>
        <v/>
      </c>
      <c r="P125" s="76"/>
      <c r="Q125" s="76"/>
      <c r="R125" s="76" t="b">
        <v>0</v>
      </c>
      <c r="S125" s="82" t="b">
        <v>0</v>
      </c>
      <c r="T125" s="76"/>
      <c r="U125" s="79"/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 t="b">
        <v>0</v>
      </c>
      <c r="M126" s="80" t="str">
        <f t="shared" si="1"/>
        <v/>
      </c>
      <c r="N126" s="79" t="b">
        <v>0</v>
      </c>
      <c r="O126" s="80" t="str">
        <f t="shared" si="2"/>
        <v/>
      </c>
      <c r="P126" s="76"/>
      <c r="Q126" s="76"/>
      <c r="R126" s="76" t="b">
        <v>0</v>
      </c>
      <c r="S126" s="82" t="b">
        <v>0</v>
      </c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/>
      <c r="B127" s="76"/>
      <c r="C127" s="77"/>
      <c r="D127" s="76"/>
      <c r="E127" s="76"/>
      <c r="F127" s="76"/>
      <c r="G127" s="76"/>
      <c r="H127" s="76"/>
      <c r="I127" s="75"/>
      <c r="J127" s="78"/>
      <c r="K127" s="76"/>
      <c r="L127" s="79" t="b">
        <v>0</v>
      </c>
      <c r="M127" s="80" t="str">
        <f t="shared" si="1"/>
        <v/>
      </c>
      <c r="N127" s="79" t="b">
        <v>0</v>
      </c>
      <c r="O127" s="80" t="str">
        <f t="shared" si="2"/>
        <v/>
      </c>
      <c r="P127" s="76"/>
      <c r="Q127" s="76"/>
      <c r="R127" s="76" t="b">
        <v>0</v>
      </c>
      <c r="S127" s="82" t="b">
        <v>0</v>
      </c>
      <c r="T127" s="76"/>
      <c r="U127" s="79"/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/>
      <c r="B128" s="76"/>
      <c r="C128" s="77"/>
      <c r="D128" s="76"/>
      <c r="E128" s="76"/>
      <c r="F128" s="76"/>
      <c r="G128" s="76"/>
      <c r="H128" s="76"/>
      <c r="I128" s="75"/>
      <c r="J128" s="78"/>
      <c r="K128" s="76"/>
      <c r="L128" s="79" t="b">
        <v>0</v>
      </c>
      <c r="M128" s="80" t="str">
        <f t="shared" si="1"/>
        <v/>
      </c>
      <c r="N128" s="79" t="b">
        <v>0</v>
      </c>
      <c r="O128" s="80" t="str">
        <f t="shared" si="2"/>
        <v/>
      </c>
      <c r="P128" s="76"/>
      <c r="Q128" s="76"/>
      <c r="R128" s="76" t="b">
        <v>0</v>
      </c>
      <c r="S128" s="82" t="b">
        <v>0</v>
      </c>
      <c r="T128" s="76"/>
      <c r="U128" s="79"/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/>
      <c r="B129" s="76"/>
      <c r="C129" s="77"/>
      <c r="D129" s="76"/>
      <c r="E129" s="76"/>
      <c r="F129" s="76"/>
      <c r="G129" s="76"/>
      <c r="H129" s="76"/>
      <c r="I129" s="75"/>
      <c r="J129" s="78"/>
      <c r="K129" s="76"/>
      <c r="L129" s="79" t="b">
        <v>0</v>
      </c>
      <c r="M129" s="80" t="str">
        <f t="shared" si="1"/>
        <v/>
      </c>
      <c r="N129" s="79" t="b">
        <v>0</v>
      </c>
      <c r="O129" s="80" t="str">
        <f t="shared" si="2"/>
        <v/>
      </c>
      <c r="P129" s="76"/>
      <c r="Q129" s="76"/>
      <c r="R129" s="76" t="b">
        <v>0</v>
      </c>
      <c r="S129" s="82" t="b">
        <v>0</v>
      </c>
      <c r="T129" s="76"/>
      <c r="U129" s="79"/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/>
      <c r="B130" s="76"/>
      <c r="C130" s="77"/>
      <c r="D130" s="76"/>
      <c r="E130" s="76"/>
      <c r="F130" s="76"/>
      <c r="G130" s="76"/>
      <c r="H130" s="76"/>
      <c r="I130" s="75"/>
      <c r="J130" s="78"/>
      <c r="K130" s="76"/>
      <c r="L130" s="79" t="b">
        <v>0</v>
      </c>
      <c r="M130" s="80" t="str">
        <f t="shared" si="1"/>
        <v/>
      </c>
      <c r="N130" s="79" t="b">
        <v>0</v>
      </c>
      <c r="O130" s="80" t="str">
        <f t="shared" si="2"/>
        <v/>
      </c>
      <c r="P130" s="76"/>
      <c r="Q130" s="76"/>
      <c r="R130" s="76" t="b">
        <v>0</v>
      </c>
      <c r="S130" s="82" t="b">
        <v>0</v>
      </c>
      <c r="T130" s="76"/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/>
      <c r="B131" s="76"/>
      <c r="C131" s="77"/>
      <c r="D131" s="76"/>
      <c r="E131" s="76"/>
      <c r="F131" s="76"/>
      <c r="G131" s="76"/>
      <c r="H131" s="76"/>
      <c r="I131" s="75"/>
      <c r="J131" s="78"/>
      <c r="K131" s="76"/>
      <c r="L131" s="79" t="b">
        <v>0</v>
      </c>
      <c r="M131" s="80" t="str">
        <f t="shared" si="1"/>
        <v/>
      </c>
      <c r="N131" s="79" t="b">
        <v>0</v>
      </c>
      <c r="O131" s="80" t="str">
        <f t="shared" si="2"/>
        <v/>
      </c>
      <c r="P131" s="76"/>
      <c r="Q131" s="76"/>
      <c r="R131" s="76" t="b">
        <v>0</v>
      </c>
      <c r="S131" s="82" t="b">
        <v>0</v>
      </c>
      <c r="T131" s="76"/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/>
      <c r="B132" s="76"/>
      <c r="C132" s="77"/>
      <c r="D132" s="76"/>
      <c r="E132" s="76"/>
      <c r="F132" s="76"/>
      <c r="G132" s="76"/>
      <c r="H132" s="76"/>
      <c r="I132" s="75"/>
      <c r="J132" s="78"/>
      <c r="K132" s="76"/>
      <c r="L132" s="79" t="b">
        <v>0</v>
      </c>
      <c r="M132" s="80" t="str">
        <f t="shared" si="1"/>
        <v/>
      </c>
      <c r="N132" s="79" t="b">
        <v>0</v>
      </c>
      <c r="O132" s="80" t="str">
        <f t="shared" si="2"/>
        <v/>
      </c>
      <c r="P132" s="76"/>
      <c r="Q132" s="76"/>
      <c r="R132" s="76" t="b">
        <v>0</v>
      </c>
      <c r="S132" s="82" t="b">
        <v>0</v>
      </c>
      <c r="T132" s="76"/>
      <c r="U132" s="79"/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/>
      <c r="B133" s="76"/>
      <c r="C133" s="77"/>
      <c r="D133" s="76"/>
      <c r="E133" s="76"/>
      <c r="F133" s="76"/>
      <c r="G133" s="76"/>
      <c r="H133" s="76"/>
      <c r="I133" s="75"/>
      <c r="J133" s="78"/>
      <c r="K133" s="76"/>
      <c r="L133" s="79" t="b">
        <v>0</v>
      </c>
      <c r="M133" s="80" t="str">
        <f t="shared" si="1"/>
        <v/>
      </c>
      <c r="N133" s="79" t="b">
        <v>0</v>
      </c>
      <c r="O133" s="80" t="str">
        <f t="shared" si="2"/>
        <v/>
      </c>
      <c r="P133" s="76"/>
      <c r="Q133" s="76"/>
      <c r="R133" s="76" t="b">
        <v>0</v>
      </c>
      <c r="S133" s="82" t="b">
        <v>0</v>
      </c>
      <c r="T133" s="76"/>
      <c r="U133" s="79"/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/>
      <c r="B134" s="76"/>
      <c r="C134" s="77"/>
      <c r="D134" s="76"/>
      <c r="E134" s="76"/>
      <c r="F134" s="76"/>
      <c r="G134" s="76"/>
      <c r="H134" s="76"/>
      <c r="I134" s="75"/>
      <c r="J134" s="78"/>
      <c r="K134" s="76"/>
      <c r="L134" s="79" t="b">
        <v>0</v>
      </c>
      <c r="M134" s="80" t="str">
        <f t="shared" si="1"/>
        <v/>
      </c>
      <c r="N134" s="79" t="b">
        <v>0</v>
      </c>
      <c r="O134" s="80" t="str">
        <f t="shared" si="2"/>
        <v/>
      </c>
      <c r="P134" s="76"/>
      <c r="Q134" s="76"/>
      <c r="R134" s="76" t="b">
        <v>0</v>
      </c>
      <c r="S134" s="82" t="b">
        <v>0</v>
      </c>
      <c r="T134" s="76"/>
      <c r="U134" s="79"/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/>
      <c r="B135" s="76"/>
      <c r="C135" s="77"/>
      <c r="D135" s="76"/>
      <c r="E135" s="76"/>
      <c r="F135" s="76"/>
      <c r="G135" s="76"/>
      <c r="H135" s="76"/>
      <c r="I135" s="75"/>
      <c r="J135" s="78"/>
      <c r="K135" s="76"/>
      <c r="L135" s="79" t="b">
        <v>0</v>
      </c>
      <c r="M135" s="80" t="str">
        <f t="shared" si="1"/>
        <v/>
      </c>
      <c r="N135" s="79" t="b">
        <v>0</v>
      </c>
      <c r="O135" s="80" t="str">
        <f t="shared" si="2"/>
        <v/>
      </c>
      <c r="P135" s="76"/>
      <c r="Q135" s="76"/>
      <c r="R135" s="76" t="b">
        <v>0</v>
      </c>
      <c r="S135" s="82" t="b">
        <v>0</v>
      </c>
      <c r="T135" s="76"/>
      <c r="U135" s="79"/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/>
      <c r="B136" s="76"/>
      <c r="C136" s="77"/>
      <c r="D136" s="76"/>
      <c r="E136" s="76"/>
      <c r="F136" s="76"/>
      <c r="G136" s="76"/>
      <c r="H136" s="76"/>
      <c r="I136" s="75"/>
      <c r="J136" s="78"/>
      <c r="K136" s="76"/>
      <c r="L136" s="79" t="b">
        <v>0</v>
      </c>
      <c r="M136" s="80" t="str">
        <f t="shared" si="1"/>
        <v/>
      </c>
      <c r="N136" s="79" t="b">
        <v>0</v>
      </c>
      <c r="O136" s="80" t="str">
        <f t="shared" si="2"/>
        <v/>
      </c>
      <c r="P136" s="76"/>
      <c r="Q136" s="76"/>
      <c r="R136" s="76" t="b">
        <v>0</v>
      </c>
      <c r="S136" s="82" t="b">
        <v>0</v>
      </c>
      <c r="T136" s="76"/>
      <c r="U136" s="79"/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/>
      <c r="B137" s="76"/>
      <c r="C137" s="77"/>
      <c r="D137" s="76"/>
      <c r="E137" s="76"/>
      <c r="F137" s="76"/>
      <c r="G137" s="76"/>
      <c r="H137" s="76"/>
      <c r="I137" s="75"/>
      <c r="J137" s="78"/>
      <c r="K137" s="76"/>
      <c r="L137" s="79" t="b">
        <v>0</v>
      </c>
      <c r="M137" s="80" t="str">
        <f t="shared" si="1"/>
        <v/>
      </c>
      <c r="N137" s="79" t="b">
        <v>0</v>
      </c>
      <c r="O137" s="80" t="str">
        <f t="shared" si="2"/>
        <v/>
      </c>
      <c r="P137" s="76"/>
      <c r="Q137" s="76"/>
      <c r="R137" s="76" t="b">
        <v>0</v>
      </c>
      <c r="S137" s="82" t="b">
        <v>0</v>
      </c>
      <c r="T137" s="76"/>
      <c r="U137" s="79"/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 t="b">
        <v>0</v>
      </c>
      <c r="M138" s="80" t="str">
        <f t="shared" si="1"/>
        <v/>
      </c>
      <c r="N138" s="79" t="b">
        <v>0</v>
      </c>
      <c r="O138" s="80" t="str">
        <f t="shared" si="2"/>
        <v/>
      </c>
      <c r="P138" s="76"/>
      <c r="Q138" s="76"/>
      <c r="R138" s="76" t="b">
        <v>0</v>
      </c>
      <c r="S138" s="82" t="b">
        <v>0</v>
      </c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 t="b">
        <v>0</v>
      </c>
      <c r="M139" s="80" t="str">
        <f t="shared" si="1"/>
        <v/>
      </c>
      <c r="N139" s="79" t="b">
        <v>0</v>
      </c>
      <c r="O139" s="80" t="str">
        <f t="shared" si="2"/>
        <v/>
      </c>
      <c r="P139" s="76"/>
      <c r="Q139" s="76"/>
      <c r="R139" s="76" t="b">
        <v>0</v>
      </c>
      <c r="S139" s="82" t="b">
        <v>0</v>
      </c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si="1"/>
        <v/>
      </c>
      <c r="N140" s="79" t="b">
        <v>0</v>
      </c>
      <c r="O140" s="80" t="str">
        <f t="shared" si="2"/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1"/>
        <v/>
      </c>
      <c r="N141" s="79" t="b">
        <v>0</v>
      </c>
      <c r="O141" s="80" t="str">
        <f t="shared" si="2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1"/>
        <v/>
      </c>
      <c r="N142" s="79" t="b">
        <v>0</v>
      </c>
      <c r="O142" s="80" t="str">
        <f t="shared" si="2"/>
        <v/>
      </c>
      <c r="P142" s="76"/>
      <c r="Q142" s="76"/>
      <c r="R142" s="76" t="b">
        <v>0</v>
      </c>
      <c r="S142" s="82" t="b">
        <v>0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1"/>
        <v/>
      </c>
      <c r="N143" s="79" t="b">
        <v>0</v>
      </c>
      <c r="O143" s="80" t="str">
        <f t="shared" si="2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1"/>
        <v/>
      </c>
      <c r="N144" s="79" t="b">
        <v>0</v>
      </c>
      <c r="O144" s="80" t="str">
        <f t="shared" si="2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1"/>
        <v/>
      </c>
      <c r="N145" s="79" t="b">
        <v>0</v>
      </c>
      <c r="O145" s="80" t="str">
        <f t="shared" si="2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1"/>
        <v/>
      </c>
      <c r="N146" s="79" t="b">
        <v>0</v>
      </c>
      <c r="O146" s="80" t="str">
        <f t="shared" si="2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1"/>
        <v/>
      </c>
      <c r="N147" s="79" t="b">
        <v>0</v>
      </c>
      <c r="O147" s="80" t="str">
        <f t="shared" si="2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1"/>
        <v/>
      </c>
      <c r="N148" s="79" t="b">
        <v>0</v>
      </c>
      <c r="O148" s="80" t="str">
        <f t="shared" si="2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1"/>
        <v/>
      </c>
      <c r="N149" s="79" t="b">
        <v>0</v>
      </c>
      <c r="O149" s="80" t="str">
        <f t="shared" si="2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1"/>
        <v/>
      </c>
      <c r="N150" s="79" t="b">
        <v>0</v>
      </c>
      <c r="O150" s="80" t="str">
        <f t="shared" si="2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1"/>
        <v/>
      </c>
      <c r="N151" s="79" t="b">
        <v>0</v>
      </c>
      <c r="O151" s="80" t="str">
        <f t="shared" si="2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1"/>
        <v/>
      </c>
      <c r="N152" s="79" t="b">
        <v>0</v>
      </c>
      <c r="O152" s="80" t="str">
        <f t="shared" si="2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1"/>
        <v/>
      </c>
      <c r="N153" s="79" t="b">
        <v>0</v>
      </c>
      <c r="O153" s="80" t="str">
        <f t="shared" si="2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1"/>
        <v/>
      </c>
      <c r="N154" s="79" t="b">
        <v>0</v>
      </c>
      <c r="O154" s="80" t="str">
        <f t="shared" si="2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1"/>
        <v/>
      </c>
      <c r="N155" s="79" t="b">
        <v>0</v>
      </c>
      <c r="O155" s="80" t="str">
        <f t="shared" si="2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1"/>
        <v/>
      </c>
      <c r="N156" s="79" t="b">
        <v>0</v>
      </c>
      <c r="O156" s="80" t="str">
        <f t="shared" si="2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1"/>
        <v/>
      </c>
      <c r="N157" s="79" t="b">
        <v>0</v>
      </c>
      <c r="O157" s="80" t="str">
        <f t="shared" si="2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1"/>
        <v/>
      </c>
      <c r="N158" s="79" t="b">
        <v>0</v>
      </c>
      <c r="O158" s="80" t="str">
        <f t="shared" si="2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1"/>
        <v/>
      </c>
      <c r="N159" s="79" t="b">
        <v>0</v>
      </c>
      <c r="O159" s="80" t="str">
        <f t="shared" si="2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1"/>
        <v/>
      </c>
      <c r="N160" s="79" t="b">
        <v>0</v>
      </c>
      <c r="O160" s="80" t="str">
        <f t="shared" si="2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1"/>
        <v/>
      </c>
      <c r="N161" s="79" t="b">
        <v>0</v>
      </c>
      <c r="O161" s="80" t="str">
        <f t="shared" si="2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1"/>
        <v/>
      </c>
      <c r="N162" s="79" t="b">
        <v>0</v>
      </c>
      <c r="O162" s="80" t="str">
        <f t="shared" si="2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1"/>
        <v/>
      </c>
      <c r="N163" s="79" t="b">
        <v>0</v>
      </c>
      <c r="O163" s="80" t="str">
        <f t="shared" si="2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1"/>
        <v/>
      </c>
      <c r="N164" s="79" t="b">
        <v>0</v>
      </c>
      <c r="O164" s="80" t="str">
        <f t="shared" si="2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1"/>
        <v/>
      </c>
      <c r="N165" s="79" t="b">
        <v>0</v>
      </c>
      <c r="O165" s="80" t="str">
        <f t="shared" si="2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1"/>
        <v/>
      </c>
      <c r="N166" s="79" t="b">
        <v>0</v>
      </c>
      <c r="O166" s="80" t="str">
        <f t="shared" si="2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1"/>
        <v/>
      </c>
      <c r="N167" s="79" t="b">
        <v>0</v>
      </c>
      <c r="O167" s="80" t="str">
        <f t="shared" si="2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1"/>
        <v/>
      </c>
      <c r="N168" s="79" t="b">
        <v>0</v>
      </c>
      <c r="O168" s="80" t="str">
        <f t="shared" si="2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1"/>
        <v/>
      </c>
      <c r="N169" s="79" t="b">
        <v>0</v>
      </c>
      <c r="O169" s="80" t="str">
        <f t="shared" si="2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1"/>
        <v/>
      </c>
      <c r="N170" s="79" t="b">
        <v>0</v>
      </c>
      <c r="O170" s="80" t="str">
        <f t="shared" si="2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1"/>
        <v/>
      </c>
      <c r="N171" s="79" t="b">
        <v>0</v>
      </c>
      <c r="O171" s="80" t="str">
        <f t="shared" si="2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1"/>
        <v/>
      </c>
      <c r="N172" s="79" t="b">
        <v>0</v>
      </c>
      <c r="O172" s="80" t="str">
        <f t="shared" si="2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1"/>
        <v/>
      </c>
      <c r="N173" s="79" t="b">
        <v>0</v>
      </c>
      <c r="O173" s="80" t="str">
        <f t="shared" si="2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1"/>
        <v/>
      </c>
      <c r="N174" s="79" t="b">
        <v>0</v>
      </c>
      <c r="O174" s="80" t="str">
        <f t="shared" si="2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1"/>
        <v/>
      </c>
      <c r="N175" s="79" t="b">
        <v>0</v>
      </c>
      <c r="O175" s="80" t="str">
        <f t="shared" si="2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1"/>
        <v/>
      </c>
      <c r="N176" s="79" t="b">
        <v>0</v>
      </c>
      <c r="O176" s="80" t="str">
        <f t="shared" si="2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1"/>
        <v/>
      </c>
      <c r="N177" s="79" t="b">
        <v>0</v>
      </c>
      <c r="O177" s="80" t="str">
        <f t="shared" si="2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1"/>
        <v/>
      </c>
      <c r="N178" s="79" t="b">
        <v>0</v>
      </c>
      <c r="O178" s="80" t="str">
        <f t="shared" si="2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1"/>
        <v/>
      </c>
      <c r="N179" s="79" t="b">
        <v>0</v>
      </c>
      <c r="O179" s="80" t="str">
        <f t="shared" si="2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1"/>
        <v/>
      </c>
      <c r="N180" s="79" t="b">
        <v>0</v>
      </c>
      <c r="O180" s="80" t="str">
        <f t="shared" si="2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1"/>
        <v/>
      </c>
      <c r="N181" s="79" t="b">
        <v>0</v>
      </c>
      <c r="O181" s="80" t="str">
        <f t="shared" si="2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1"/>
        <v/>
      </c>
      <c r="N182" s="79" t="b">
        <v>0</v>
      </c>
      <c r="O182" s="80" t="str">
        <f t="shared" si="2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1"/>
        <v/>
      </c>
      <c r="N183" s="79" t="b">
        <v>0</v>
      </c>
      <c r="O183" s="80" t="str">
        <f t="shared" si="2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1"/>
        <v/>
      </c>
      <c r="N184" s="79" t="b">
        <v>0</v>
      </c>
      <c r="O184" s="80" t="str">
        <f t="shared" si="2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1"/>
        <v/>
      </c>
      <c r="N185" s="79" t="b">
        <v>0</v>
      </c>
      <c r="O185" s="80" t="str">
        <f t="shared" si="2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1"/>
        <v/>
      </c>
      <c r="N186" s="79" t="b">
        <v>0</v>
      </c>
      <c r="O186" s="80" t="str">
        <f t="shared" si="2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1"/>
        <v/>
      </c>
      <c r="N187" s="79" t="b">
        <v>0</v>
      </c>
      <c r="O187" s="80" t="str">
        <f t="shared" si="2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1"/>
        <v/>
      </c>
      <c r="N188" s="79" t="b">
        <v>0</v>
      </c>
      <c r="O188" s="80" t="str">
        <f t="shared" si="2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1"/>
        <v/>
      </c>
      <c r="N189" s="79" t="b">
        <v>0</v>
      </c>
      <c r="O189" s="80" t="str">
        <f t="shared" si="2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1"/>
        <v/>
      </c>
      <c r="N190" s="79" t="b">
        <v>0</v>
      </c>
      <c r="O190" s="80" t="str">
        <f t="shared" si="2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1"/>
        <v/>
      </c>
      <c r="N191" s="79" t="b">
        <v>0</v>
      </c>
      <c r="O191" s="80" t="str">
        <f t="shared" si="2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1"/>
        <v/>
      </c>
      <c r="N192" s="79" t="b">
        <v>0</v>
      </c>
      <c r="O192" s="80" t="str">
        <f t="shared" si="2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1"/>
        <v/>
      </c>
      <c r="N193" s="79" t="b">
        <v>0</v>
      </c>
      <c r="O193" s="80" t="str">
        <f t="shared" si="2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1"/>
        <v/>
      </c>
      <c r="N194" s="79" t="b">
        <v>0</v>
      </c>
      <c r="O194" s="80" t="str">
        <f t="shared" si="2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1"/>
        <v/>
      </c>
      <c r="N195" s="79" t="b">
        <v>0</v>
      </c>
      <c r="O195" s="80" t="str">
        <f t="shared" si="2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1"/>
        <v/>
      </c>
      <c r="N196" s="79" t="b">
        <v>0</v>
      </c>
      <c r="O196" s="80" t="str">
        <f t="shared" si="2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1"/>
        <v/>
      </c>
      <c r="N197" s="79" t="b">
        <v>0</v>
      </c>
      <c r="O197" s="80" t="str">
        <f t="shared" si="2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1"/>
        <v/>
      </c>
      <c r="N198" s="79" t="b">
        <v>0</v>
      </c>
      <c r="O198" s="80" t="str">
        <f t="shared" si="2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1"/>
        <v/>
      </c>
      <c r="N199" s="79" t="b">
        <v>0</v>
      </c>
      <c r="O199" s="80" t="str">
        <f t="shared" si="2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1"/>
        <v/>
      </c>
      <c r="N200" s="79" t="b">
        <v>0</v>
      </c>
      <c r="O200" s="80" t="str">
        <f t="shared" si="2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1"/>
        <v/>
      </c>
      <c r="N201" s="79" t="b">
        <v>0</v>
      </c>
      <c r="O201" s="80" t="str">
        <f t="shared" si="2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1"/>
        <v/>
      </c>
      <c r="N202" s="79" t="b">
        <v>0</v>
      </c>
      <c r="O202" s="80" t="str">
        <f t="shared" si="2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1"/>
        <v/>
      </c>
      <c r="N203" s="79" t="b">
        <v>0</v>
      </c>
      <c r="O203" s="80" t="str">
        <f t="shared" si="2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1"/>
        <v/>
      </c>
      <c r="N204" s="79" t="b">
        <v>0</v>
      </c>
      <c r="O204" s="80" t="str">
        <f t="shared" si="2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1"/>
        <v/>
      </c>
      <c r="N205" s="79" t="b">
        <v>0</v>
      </c>
      <c r="O205" s="80" t="str">
        <f t="shared" si="2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1"/>
        <v/>
      </c>
      <c r="N206" s="79" t="b">
        <v>0</v>
      </c>
      <c r="O206" s="80" t="str">
        <f t="shared" si="2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1"/>
        <v/>
      </c>
      <c r="N207" s="79" t="b">
        <v>0</v>
      </c>
      <c r="O207" s="80" t="str">
        <f t="shared" si="2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1"/>
        <v/>
      </c>
      <c r="N208" s="79" t="b">
        <v>0</v>
      </c>
      <c r="O208" s="80" t="str">
        <f t="shared" si="2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1"/>
        <v/>
      </c>
      <c r="N209" s="79" t="b">
        <v>0</v>
      </c>
      <c r="O209" s="80" t="str">
        <f t="shared" si="2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1"/>
        <v/>
      </c>
      <c r="N210" s="79" t="b">
        <v>0</v>
      </c>
      <c r="O210" s="80" t="str">
        <f t="shared" si="2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1"/>
        <v/>
      </c>
      <c r="N211" s="79" t="b">
        <v>0</v>
      </c>
      <c r="O211" s="80" t="str">
        <f t="shared" si="2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1"/>
        <v/>
      </c>
      <c r="N212" s="79" t="b">
        <v>0</v>
      </c>
      <c r="O212" s="80" t="str">
        <f t="shared" si="2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1"/>
        <v/>
      </c>
      <c r="N213" s="79" t="b">
        <v>0</v>
      </c>
      <c r="O213" s="80" t="str">
        <f t="shared" si="2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1"/>
        <v/>
      </c>
      <c r="N214" s="79" t="b">
        <v>0</v>
      </c>
      <c r="O214" s="80" t="str">
        <f t="shared" si="2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1"/>
        <v/>
      </c>
      <c r="N215" s="79" t="b">
        <v>0</v>
      </c>
      <c r="O215" s="80" t="str">
        <f t="shared" si="2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1"/>
        <v/>
      </c>
      <c r="N216" s="79" t="b">
        <v>0</v>
      </c>
      <c r="O216" s="80" t="str">
        <f t="shared" si="2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1"/>
        <v/>
      </c>
      <c r="N217" s="79" t="b">
        <v>0</v>
      </c>
      <c r="O217" s="80" t="str">
        <f t="shared" si="2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1"/>
        <v/>
      </c>
      <c r="N218" s="79" t="b">
        <v>0</v>
      </c>
      <c r="O218" s="80" t="str">
        <f t="shared" si="2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1"/>
        <v/>
      </c>
      <c r="N219" s="79" t="b">
        <v>0</v>
      </c>
      <c r="O219" s="80" t="str">
        <f t="shared" si="2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1"/>
        <v/>
      </c>
      <c r="N220" s="79" t="b">
        <v>0</v>
      </c>
      <c r="O220" s="80" t="str">
        <f t="shared" si="2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1"/>
        <v/>
      </c>
      <c r="N221" s="79" t="b">
        <v>0</v>
      </c>
      <c r="O221" s="80" t="str">
        <f t="shared" si="2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1"/>
        <v/>
      </c>
      <c r="N222" s="79" t="b">
        <v>0</v>
      </c>
      <c r="O222" s="80" t="str">
        <f t="shared" si="2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1"/>
        <v/>
      </c>
      <c r="N223" s="79" t="b">
        <v>0</v>
      </c>
      <c r="O223" s="80" t="str">
        <f t="shared" si="2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1"/>
        <v/>
      </c>
      <c r="N224" s="79" t="b">
        <v>0</v>
      </c>
      <c r="O224" s="80" t="str">
        <f t="shared" si="2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1"/>
        <v/>
      </c>
      <c r="N225" s="79" t="b">
        <v>0</v>
      </c>
      <c r="O225" s="80" t="str">
        <f t="shared" si="2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1"/>
        <v/>
      </c>
      <c r="N226" s="79" t="b">
        <v>0</v>
      </c>
      <c r="O226" s="80" t="str">
        <f t="shared" si="2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1"/>
        <v/>
      </c>
      <c r="N227" s="79" t="b">
        <v>0</v>
      </c>
      <c r="O227" s="80" t="str">
        <f t="shared" si="2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1"/>
        <v/>
      </c>
      <c r="N228" s="79" t="b">
        <v>0</v>
      </c>
      <c r="O228" s="80" t="str">
        <f t="shared" si="2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1"/>
        <v/>
      </c>
      <c r="N229" s="79" t="b">
        <v>0</v>
      </c>
      <c r="O229" s="80" t="str">
        <f t="shared" si="2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1"/>
        <v/>
      </c>
      <c r="N230" s="79" t="b">
        <v>0</v>
      </c>
      <c r="O230" s="80" t="str">
        <f t="shared" si="2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1"/>
        <v/>
      </c>
      <c r="N231" s="79" t="b">
        <v>0</v>
      </c>
      <c r="O231" s="80" t="str">
        <f t="shared" si="2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1"/>
        <v/>
      </c>
      <c r="N232" s="79" t="b">
        <v>0</v>
      </c>
      <c r="O232" s="80" t="str">
        <f t="shared" si="2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1"/>
        <v/>
      </c>
      <c r="N233" s="79" t="b">
        <v>0</v>
      </c>
      <c r="O233" s="80" t="str">
        <f t="shared" si="2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1"/>
        <v/>
      </c>
      <c r="N234" s="79" t="b">
        <v>0</v>
      </c>
      <c r="O234" s="80" t="str">
        <f t="shared" si="2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1"/>
        <v/>
      </c>
      <c r="N235" s="79" t="b">
        <v>0</v>
      </c>
      <c r="O235" s="80" t="str">
        <f t="shared" si="2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1"/>
        <v/>
      </c>
      <c r="N236" s="79" t="b">
        <v>0</v>
      </c>
      <c r="O236" s="80" t="str">
        <f t="shared" si="2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1"/>
        <v/>
      </c>
      <c r="N237" s="79" t="b">
        <v>0</v>
      </c>
      <c r="O237" s="80" t="str">
        <f t="shared" si="2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1"/>
        <v/>
      </c>
      <c r="N238" s="79" t="b">
        <v>0</v>
      </c>
      <c r="O238" s="80" t="str">
        <f t="shared" si="2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1"/>
        <v/>
      </c>
      <c r="N239" s="79" t="b">
        <v>0</v>
      </c>
      <c r="O239" s="80" t="str">
        <f t="shared" si="2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1"/>
        <v/>
      </c>
      <c r="N240" s="79" t="b">
        <v>0</v>
      </c>
      <c r="O240" s="80" t="str">
        <f t="shared" si="2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1"/>
        <v/>
      </c>
      <c r="N241" s="79" t="b">
        <v>0</v>
      </c>
      <c r="O241" s="80" t="str">
        <f t="shared" si="2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1"/>
        <v/>
      </c>
      <c r="N242" s="79" t="b">
        <v>0</v>
      </c>
      <c r="O242" s="80" t="str">
        <f t="shared" si="2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1"/>
        <v/>
      </c>
      <c r="N243" s="79" t="b">
        <v>0</v>
      </c>
      <c r="O243" s="80" t="str">
        <f t="shared" si="2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1"/>
        <v/>
      </c>
      <c r="N244" s="79" t="b">
        <v>0</v>
      </c>
      <c r="O244" s="80" t="str">
        <f t="shared" si="2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1"/>
        <v/>
      </c>
      <c r="N245" s="79" t="b">
        <v>0</v>
      </c>
      <c r="O245" s="80" t="str">
        <f t="shared" si="2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1"/>
        <v/>
      </c>
      <c r="N246" s="79" t="b">
        <v>0</v>
      </c>
      <c r="O246" s="80" t="str">
        <f t="shared" si="2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1"/>
        <v/>
      </c>
      <c r="N247" s="79" t="b">
        <v>0</v>
      </c>
      <c r="O247" s="80" t="str">
        <f t="shared" si="2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1"/>
        <v/>
      </c>
      <c r="N248" s="79" t="b">
        <v>0</v>
      </c>
      <c r="O248" s="80" t="str">
        <f t="shared" si="2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1"/>
        <v/>
      </c>
      <c r="N249" s="79" t="b">
        <v>0</v>
      </c>
      <c r="O249" s="80" t="str">
        <f t="shared" si="2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1"/>
        <v/>
      </c>
      <c r="N250" s="79" t="b">
        <v>0</v>
      </c>
      <c r="O250" s="80" t="str">
        <f t="shared" si="2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1"/>
        <v/>
      </c>
      <c r="N251" s="79" t="b">
        <v>0</v>
      </c>
      <c r="O251" s="80" t="str">
        <f t="shared" si="2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1"/>
        <v/>
      </c>
      <c r="N252" s="79" t="b">
        <v>0</v>
      </c>
      <c r="O252" s="80" t="str">
        <f t="shared" si="2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1"/>
        <v/>
      </c>
      <c r="N253" s="79" t="b">
        <v>0</v>
      </c>
      <c r="O253" s="80" t="str">
        <f t="shared" si="2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1"/>
        <v/>
      </c>
      <c r="N254" s="79" t="b">
        <v>0</v>
      </c>
      <c r="O254" s="80" t="str">
        <f t="shared" si="2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1"/>
        <v/>
      </c>
      <c r="N255" s="79" t="b">
        <v>0</v>
      </c>
      <c r="O255" s="80" t="str">
        <f t="shared" si="2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1"/>
        <v/>
      </c>
      <c r="N256" s="79" t="b">
        <v>0</v>
      </c>
      <c r="O256" s="80" t="str">
        <f t="shared" si="2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1"/>
        <v/>
      </c>
      <c r="N257" s="79" t="b">
        <v>0</v>
      </c>
      <c r="O257" s="80" t="str">
        <f t="shared" si="2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1"/>
        <v/>
      </c>
      <c r="N258" s="79" t="b">
        <v>0</v>
      </c>
      <c r="O258" s="80" t="str">
        <f t="shared" si="2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1"/>
        <v/>
      </c>
      <c r="N259" s="79" t="b">
        <v>0</v>
      </c>
      <c r="O259" s="80" t="str">
        <f t="shared" si="2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1"/>
        <v/>
      </c>
      <c r="N260" s="79" t="b">
        <v>0</v>
      </c>
      <c r="O260" s="80" t="str">
        <f t="shared" si="2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1"/>
        <v/>
      </c>
      <c r="N261" s="79" t="b">
        <v>0</v>
      </c>
      <c r="O261" s="80" t="str">
        <f t="shared" si="2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1"/>
        <v/>
      </c>
      <c r="N262" s="79" t="b">
        <v>0</v>
      </c>
      <c r="O262" s="80" t="str">
        <f t="shared" si="2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1"/>
        <v/>
      </c>
      <c r="N263" s="79" t="b">
        <v>0</v>
      </c>
      <c r="O263" s="80" t="str">
        <f t="shared" si="2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1"/>
        <v/>
      </c>
      <c r="N264" s="79" t="b">
        <v>0</v>
      </c>
      <c r="O264" s="80" t="str">
        <f t="shared" si="2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1"/>
        <v/>
      </c>
      <c r="N265" s="79" t="b">
        <v>0</v>
      </c>
      <c r="O265" s="80" t="str">
        <f t="shared" si="2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1"/>
        <v/>
      </c>
      <c r="N266" s="79" t="b">
        <v>0</v>
      </c>
      <c r="O266" s="80" t="str">
        <f t="shared" si="2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1"/>
        <v/>
      </c>
      <c r="N267" s="79" t="b">
        <v>0</v>
      </c>
      <c r="O267" s="80" t="str">
        <f t="shared" si="2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1"/>
        <v/>
      </c>
      <c r="N268" s="79" t="b">
        <v>0</v>
      </c>
      <c r="O268" s="80" t="str">
        <f t="shared" si="2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1"/>
        <v/>
      </c>
      <c r="N269" s="79" t="b">
        <v>0</v>
      </c>
      <c r="O269" s="80" t="str">
        <f t="shared" si="2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1"/>
        <v/>
      </c>
      <c r="N270" s="79" t="b">
        <v>0</v>
      </c>
      <c r="O270" s="80" t="str">
        <f t="shared" si="2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1"/>
        <v/>
      </c>
      <c r="N271" s="79" t="b">
        <v>0</v>
      </c>
      <c r="O271" s="80" t="str">
        <f t="shared" si="2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1"/>
        <v/>
      </c>
      <c r="N272" s="79" t="b">
        <v>0</v>
      </c>
      <c r="O272" s="80" t="str">
        <f t="shared" si="2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1"/>
        <v/>
      </c>
      <c r="N273" s="79" t="b">
        <v>0</v>
      </c>
      <c r="O273" s="80" t="str">
        <f t="shared" si="2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1"/>
        <v/>
      </c>
      <c r="N274" s="79" t="b">
        <v>0</v>
      </c>
      <c r="O274" s="80" t="str">
        <f t="shared" si="2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1"/>
        <v/>
      </c>
      <c r="N275" s="79" t="b">
        <v>0</v>
      </c>
      <c r="O275" s="80" t="str">
        <f t="shared" si="2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1"/>
        <v/>
      </c>
      <c r="N276" s="79" t="b">
        <v>0</v>
      </c>
      <c r="O276" s="80" t="str">
        <f t="shared" si="2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1"/>
        <v/>
      </c>
      <c r="N277" s="79" t="b">
        <v>0</v>
      </c>
      <c r="O277" s="80" t="str">
        <f t="shared" si="2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1"/>
        <v/>
      </c>
      <c r="N278" s="79" t="b">
        <v>0</v>
      </c>
      <c r="O278" s="80" t="str">
        <f t="shared" si="2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1"/>
        <v/>
      </c>
      <c r="N279" s="79" t="b">
        <v>0</v>
      </c>
      <c r="O279" s="80" t="str">
        <f t="shared" si="2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1"/>
        <v/>
      </c>
      <c r="N280" s="79" t="b">
        <v>0</v>
      </c>
      <c r="O280" s="80" t="str">
        <f t="shared" si="2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1"/>
        <v/>
      </c>
      <c r="N281" s="79" t="b">
        <v>0</v>
      </c>
      <c r="O281" s="80" t="str">
        <f t="shared" si="2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1"/>
        <v/>
      </c>
      <c r="N282" s="79" t="b">
        <v>0</v>
      </c>
      <c r="O282" s="80" t="str">
        <f t="shared" si="2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1"/>
        <v/>
      </c>
      <c r="N283" s="79" t="b">
        <v>0</v>
      </c>
      <c r="O283" s="80" t="str">
        <f t="shared" si="2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1"/>
        <v/>
      </c>
      <c r="N284" s="79" t="b">
        <v>0</v>
      </c>
      <c r="O284" s="80" t="str">
        <f t="shared" si="2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1"/>
        <v/>
      </c>
      <c r="N285" s="79" t="b">
        <v>0</v>
      </c>
      <c r="O285" s="80" t="str">
        <f t="shared" si="2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1"/>
        <v/>
      </c>
      <c r="N286" s="79" t="b">
        <v>0</v>
      </c>
      <c r="O286" s="80" t="str">
        <f t="shared" si="2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1"/>
        <v/>
      </c>
      <c r="N287" s="79" t="b">
        <v>0</v>
      </c>
      <c r="O287" s="80" t="str">
        <f t="shared" si="2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1"/>
        <v/>
      </c>
      <c r="N288" s="79" t="b">
        <v>0</v>
      </c>
      <c r="O288" s="80" t="str">
        <f t="shared" si="2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1"/>
        <v/>
      </c>
      <c r="N289" s="79" t="b">
        <v>0</v>
      </c>
      <c r="O289" s="80" t="str">
        <f t="shared" si="2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1"/>
        <v/>
      </c>
      <c r="N290" s="79" t="b">
        <v>0</v>
      </c>
      <c r="O290" s="80" t="str">
        <f t="shared" si="2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1"/>
        <v/>
      </c>
      <c r="N291" s="79" t="b">
        <v>0</v>
      </c>
      <c r="O291" s="80" t="str">
        <f t="shared" si="2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1"/>
        <v/>
      </c>
      <c r="N292" s="79" t="b">
        <v>0</v>
      </c>
      <c r="O292" s="80" t="str">
        <f t="shared" si="2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1"/>
        <v/>
      </c>
      <c r="N293" s="79" t="b">
        <v>0</v>
      </c>
      <c r="O293" s="80" t="str">
        <f t="shared" si="2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1"/>
        <v/>
      </c>
      <c r="N294" s="79" t="b">
        <v>0</v>
      </c>
      <c r="O294" s="80" t="str">
        <f t="shared" si="2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1"/>
        <v/>
      </c>
      <c r="N295" s="79" t="b">
        <v>0</v>
      </c>
      <c r="O295" s="80" t="str">
        <f t="shared" si="2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1"/>
        <v/>
      </c>
      <c r="N296" s="79" t="b">
        <v>0</v>
      </c>
      <c r="O296" s="80" t="str">
        <f t="shared" si="2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1"/>
        <v/>
      </c>
      <c r="N297" s="79" t="b">
        <v>0</v>
      </c>
      <c r="O297" s="80" t="str">
        <f t="shared" si="2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1"/>
        <v/>
      </c>
      <c r="N298" s="79" t="b">
        <v>0</v>
      </c>
      <c r="O298" s="80" t="str">
        <f t="shared" si="2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1"/>
        <v/>
      </c>
      <c r="N299" s="79" t="b">
        <v>0</v>
      </c>
      <c r="O299" s="80" t="str">
        <f t="shared" si="2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1"/>
        <v/>
      </c>
      <c r="N300" s="79" t="b">
        <v>0</v>
      </c>
      <c r="O300" s="80" t="str">
        <f t="shared" si="2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1"/>
        <v/>
      </c>
      <c r="N301" s="79" t="b">
        <v>0</v>
      </c>
      <c r="O301" s="80" t="str">
        <f t="shared" si="2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1"/>
        <v/>
      </c>
      <c r="N302" s="79" t="b">
        <v>0</v>
      </c>
      <c r="O302" s="80" t="str">
        <f t="shared" si="2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1"/>
        <v/>
      </c>
      <c r="N303" s="79" t="b">
        <v>0</v>
      </c>
      <c r="O303" s="80" t="str">
        <f t="shared" si="2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1"/>
        <v/>
      </c>
      <c r="N304" s="79" t="b">
        <v>0</v>
      </c>
      <c r="O304" s="80" t="str">
        <f t="shared" si="2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1"/>
        <v/>
      </c>
      <c r="N305" s="79" t="b">
        <v>0</v>
      </c>
      <c r="O305" s="80" t="str">
        <f t="shared" si="2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1"/>
        <v/>
      </c>
      <c r="N306" s="79" t="b">
        <v>0</v>
      </c>
      <c r="O306" s="80" t="str">
        <f t="shared" si="2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1"/>
        <v/>
      </c>
      <c r="N307" s="79" t="b">
        <v>0</v>
      </c>
      <c r="O307" s="80" t="str">
        <f t="shared" si="2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 maintenance"</formula>
    </cfRule>
  </conditionalFormatting>
  <conditionalFormatting sqref="A11:V307">
    <cfRule type="expression" dxfId="0" priority="9">
      <formula>$U11="รอคอนเฟิร์ม"</formula>
    </cfRule>
  </conditionalFormatting>
  <conditionalFormatting sqref="A11:V307">
    <cfRule type="expression" dxfId="0" priority="10">
      <formula>$U11="รอดูสี"</formula>
    </cfRule>
  </conditionalFormatting>
  <conditionalFormatting sqref="A11:V307">
    <cfRule type="expression" dxfId="0" priority="11">
      <formula>$U11="กระดาษชื้น"</formula>
    </cfRule>
  </conditionalFormatting>
  <conditionalFormatting sqref="A11:V307">
    <cfRule type="expression" dxfId="4" priority="12">
      <formula>$L11=True</formula>
    </cfRule>
  </conditionalFormatting>
  <conditionalFormatting sqref="A11:V307">
    <cfRule type="expression" dxfId="6" priority="13">
      <formula>$F11="ตามคิว"</formula>
    </cfRule>
  </conditionalFormatting>
  <conditionalFormatting sqref="A11:V307">
    <cfRule type="expression" dxfId="7" priority="14">
      <formula>$F11="Same Day"</formula>
    </cfRule>
  </conditionalFormatting>
  <conditionalFormatting sqref="A11:V307">
    <cfRule type="expression" dxfId="6" priority="15">
      <formula>$F11="ตัวอย่าง Mockup"</formula>
    </cfRule>
  </conditionalFormatting>
  <conditionalFormatting sqref="D17:F17">
    <cfRule type="notContainsBlanks" dxfId="8" priority="16">
      <formula>LEN(TRIM(D17))&gt;0</formula>
    </cfRule>
  </conditionalFormatting>
  <conditionalFormatting sqref="A11:V307">
    <cfRule type="expression" dxfId="5" priority="17">
      <formula>$F11="VIP"</formula>
    </cfRule>
  </conditionalFormatting>
  <conditionalFormatting sqref="D17:F17">
    <cfRule type="notContainsBlanks" dxfId="8" priority="18">
      <formula>LEN(TRIM(D17))&gt;0</formula>
    </cfRule>
  </conditionalFormatting>
  <conditionalFormatting sqref="U400:W400">
    <cfRule type="expression" dxfId="9" priority="19">
      <formula>"D11"</formula>
    </cfRule>
  </conditionalFormatting>
  <conditionalFormatting sqref="A1:B1">
    <cfRule type="notContainsBlanks" dxfId="8" priority="20">
      <formula>LEN(TRIM(A1))&gt;0</formula>
    </cfRule>
  </conditionalFormatting>
  <conditionalFormatting sqref="A11:V307">
    <cfRule type="expression" dxfId="10" priority="21">
      <formula>$F11="งานซ่อม"</formula>
    </cfRule>
  </conditionalFormatting>
  <conditionalFormatting sqref="A11:V307">
    <cfRule type="expression" dxfId="10" priority="22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307 P11:P307">
      <formula1>"Fluke,Sunney"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0</v>
      </c>
      <c r="D2" s="13" t="s">
        <v>8</v>
      </c>
      <c r="E2" s="14">
        <f>COUNTIFS(F11:F1000,"ตามคิว")</f>
        <v>0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0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0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0</v>
      </c>
      <c r="D3" s="13" t="s">
        <v>18</v>
      </c>
      <c r="E3" s="14">
        <f>COUNTIFS(F11:F1000,"Same Day")</f>
        <v>0</v>
      </c>
      <c r="F3" s="15" t="s">
        <v>9</v>
      </c>
      <c r="G3" s="27" t="s">
        <v>19</v>
      </c>
      <c r="H3" s="28">
        <f>COUNTIFS(U11:U1000,"Dicut Jwei")</f>
        <v>0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0</v>
      </c>
      <c r="Y3" s="25" t="s">
        <v>9</v>
      </c>
      <c r="Z3" s="25" t="s">
        <v>24</v>
      </c>
      <c r="AA3" s="25">
        <f>COUNTIFS(D11:E1000,"ปอนด์ 80g (โกดัง)")</f>
        <v>0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0</v>
      </c>
      <c r="F4" s="15" t="s">
        <v>9</v>
      </c>
      <c r="G4" s="27" t="s">
        <v>28</v>
      </c>
      <c r="H4" s="28">
        <f>COUNTIFS(U11:U1000,"Dicut Graptech")</f>
        <v>0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0</v>
      </c>
      <c r="Y4" s="25" t="s">
        <v>9</v>
      </c>
      <c r="Z4" s="25" t="s">
        <v>32</v>
      </c>
      <c r="AA4" s="25">
        <f>COUNTIFS(D11:E1000,"ปอนด์ 100g (โกดัง)")</f>
        <v>0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0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0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0</v>
      </c>
      <c r="AH5" s="26" t="s">
        <v>9</v>
      </c>
    </row>
    <row r="6" ht="21.75" customHeight="1">
      <c r="A6" s="11">
        <f>COUNTIFS(N11:N1000,True,B11:B1000,"*",K11:K1000,"*")</f>
        <v>0</v>
      </c>
      <c r="B6" s="2"/>
      <c r="C6" s="12" t="s">
        <v>9</v>
      </c>
      <c r="D6" s="13" t="s">
        <v>44</v>
      </c>
      <c r="E6" s="14">
        <f>COUNTIFS(F11:F1000,"ซ่อมไม่มีใบสั่ง")</f>
        <v>0</v>
      </c>
      <c r="F6" s="15" t="s">
        <v>9</v>
      </c>
      <c r="G6" s="42" t="s">
        <v>11</v>
      </c>
      <c r="H6" s="19">
        <f>COUNTIFS(Q11:Q1000,"C12000")</f>
        <v>0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0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0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0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0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0</v>
      </c>
      <c r="I8" s="51" t="s">
        <v>59</v>
      </c>
      <c r="J8" s="2"/>
      <c r="K8" s="53">
        <f>SUM(H3+H4)</f>
        <v>0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0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/>
      <c r="B11" s="76"/>
      <c r="C11" s="77"/>
      <c r="D11" s="76"/>
      <c r="E11" s="76"/>
      <c r="F11" s="76"/>
      <c r="G11" s="76"/>
      <c r="H11" s="76"/>
      <c r="I11" s="75"/>
      <c r="J11" s="78"/>
      <c r="K11" s="76"/>
      <c r="L11" s="79" t="b">
        <v>0</v>
      </c>
      <c r="M11" s="80" t="str">
        <f t="shared" ref="M11:M307" si="1">IFS(L11=FALSE,"",M11="",NOW(),TRUE,M11)</f>
        <v/>
      </c>
      <c r="N11" s="131" t="b">
        <v>0</v>
      </c>
      <c r="O11" s="80" t="str">
        <f t="shared" ref="O11:O307" si="2">IFS(N11=FALSE,"",O11="",NOW(),TRUE,O11)</f>
        <v/>
      </c>
      <c r="P11" s="76"/>
      <c r="Q11" s="76"/>
      <c r="R11" s="76" t="b">
        <v>0</v>
      </c>
      <c r="S11" s="82" t="b">
        <v>0</v>
      </c>
      <c r="T11" s="76"/>
      <c r="U11" s="79"/>
      <c r="V11" s="83"/>
      <c r="W11" s="118"/>
    </row>
    <row r="12">
      <c r="A12" s="75"/>
      <c r="B12" s="76"/>
      <c r="C12" s="77"/>
      <c r="D12" s="76"/>
      <c r="E12" s="76"/>
      <c r="F12" s="76"/>
      <c r="G12" s="76"/>
      <c r="H12" s="76"/>
      <c r="I12" s="75"/>
      <c r="J12" s="78"/>
      <c r="K12" s="76"/>
      <c r="L12" s="79" t="b">
        <v>0</v>
      </c>
      <c r="M12" s="80" t="str">
        <f t="shared" si="1"/>
        <v/>
      </c>
      <c r="N12" s="131" t="b">
        <v>0</v>
      </c>
      <c r="O12" s="80" t="str">
        <f t="shared" si="2"/>
        <v/>
      </c>
      <c r="P12" s="76"/>
      <c r="Q12" s="76"/>
      <c r="R12" s="76" t="b">
        <v>0</v>
      </c>
      <c r="S12" s="82" t="b">
        <v>0</v>
      </c>
      <c r="T12" s="76"/>
      <c r="U12" s="79"/>
      <c r="V12" s="83"/>
      <c r="W12" s="74"/>
    </row>
    <row r="13">
      <c r="A13" s="75"/>
      <c r="B13" s="76"/>
      <c r="C13" s="77"/>
      <c r="D13" s="76"/>
      <c r="E13" s="76"/>
      <c r="F13" s="76"/>
      <c r="G13" s="76"/>
      <c r="H13" s="76"/>
      <c r="I13" s="75"/>
      <c r="J13" s="78"/>
      <c r="K13" s="76"/>
      <c r="L13" s="79" t="b">
        <v>0</v>
      </c>
      <c r="M13" s="80" t="str">
        <f t="shared" si="1"/>
        <v/>
      </c>
      <c r="N13" s="131" t="b">
        <v>0</v>
      </c>
      <c r="O13" s="80" t="str">
        <f t="shared" si="2"/>
        <v/>
      </c>
      <c r="P13" s="76"/>
      <c r="Q13" s="76"/>
      <c r="R13" s="76" t="b">
        <v>0</v>
      </c>
      <c r="S13" s="82" t="b">
        <v>0</v>
      </c>
      <c r="T13" s="76"/>
      <c r="U13" s="79"/>
      <c r="V13" s="83"/>
      <c r="W13" s="74"/>
    </row>
    <row r="14">
      <c r="A14" s="75"/>
      <c r="B14" s="76"/>
      <c r="C14" s="77"/>
      <c r="D14" s="76"/>
      <c r="E14" s="76"/>
      <c r="F14" s="76"/>
      <c r="G14" s="76"/>
      <c r="H14" s="76"/>
      <c r="I14" s="75"/>
      <c r="J14" s="78"/>
      <c r="K14" s="76"/>
      <c r="L14" s="79" t="b">
        <v>0</v>
      </c>
      <c r="M14" s="80" t="str">
        <f t="shared" si="1"/>
        <v/>
      </c>
      <c r="N14" s="131" t="b">
        <v>0</v>
      </c>
      <c r="O14" s="80" t="str">
        <f t="shared" si="2"/>
        <v/>
      </c>
      <c r="P14" s="76"/>
      <c r="Q14" s="76"/>
      <c r="R14" s="76" t="b">
        <v>0</v>
      </c>
      <c r="S14" s="82" t="b">
        <v>0</v>
      </c>
      <c r="T14" s="76"/>
      <c r="U14" s="79"/>
      <c r="V14" s="83"/>
      <c r="W14" s="74"/>
    </row>
    <row r="15">
      <c r="A15" s="75"/>
      <c r="B15" s="76"/>
      <c r="C15" s="77"/>
      <c r="D15" s="76"/>
      <c r="E15" s="76"/>
      <c r="F15" s="76"/>
      <c r="G15" s="76"/>
      <c r="H15" s="76"/>
      <c r="I15" s="75"/>
      <c r="J15" s="78"/>
      <c r="K15" s="76"/>
      <c r="L15" s="79" t="b">
        <v>0</v>
      </c>
      <c r="M15" s="80" t="str">
        <f t="shared" si="1"/>
        <v/>
      </c>
      <c r="N15" s="131" t="b">
        <v>0</v>
      </c>
      <c r="O15" s="80" t="str">
        <f t="shared" si="2"/>
        <v/>
      </c>
      <c r="P15" s="76"/>
      <c r="Q15" s="76"/>
      <c r="R15" s="76" t="b">
        <v>0</v>
      </c>
      <c r="S15" s="82" t="b">
        <v>0</v>
      </c>
      <c r="T15" s="76"/>
      <c r="U15" s="79"/>
      <c r="V15" s="83"/>
      <c r="W15" s="118"/>
    </row>
    <row r="16">
      <c r="A16" s="75"/>
      <c r="B16" s="76"/>
      <c r="C16" s="77"/>
      <c r="D16" s="76"/>
      <c r="E16" s="76"/>
      <c r="F16" s="76"/>
      <c r="G16" s="76"/>
      <c r="H16" s="76"/>
      <c r="I16" s="75"/>
      <c r="J16" s="78"/>
      <c r="K16" s="76"/>
      <c r="L16" s="79" t="b">
        <v>0</v>
      </c>
      <c r="M16" s="80" t="str">
        <f t="shared" si="1"/>
        <v/>
      </c>
      <c r="N16" s="131" t="b">
        <v>0</v>
      </c>
      <c r="O16" s="80" t="str">
        <f t="shared" si="2"/>
        <v/>
      </c>
      <c r="P16" s="76"/>
      <c r="Q16" s="76"/>
      <c r="R16" s="76" t="b">
        <v>0</v>
      </c>
      <c r="S16" s="82" t="b">
        <v>0</v>
      </c>
      <c r="T16" s="76"/>
      <c r="U16" s="79"/>
      <c r="V16" s="83"/>
      <c r="W16" s="118"/>
    </row>
    <row r="17">
      <c r="A17" s="75"/>
      <c r="B17" s="76"/>
      <c r="C17" s="77"/>
      <c r="D17" s="76"/>
      <c r="E17" s="76"/>
      <c r="F17" s="76"/>
      <c r="G17" s="76"/>
      <c r="H17" s="76"/>
      <c r="I17" s="75"/>
      <c r="J17" s="78"/>
      <c r="K17" s="76"/>
      <c r="L17" s="79" t="b">
        <v>0</v>
      </c>
      <c r="M17" s="80" t="str">
        <f t="shared" si="1"/>
        <v/>
      </c>
      <c r="N17" s="131" t="b">
        <v>0</v>
      </c>
      <c r="O17" s="80" t="str">
        <f t="shared" si="2"/>
        <v/>
      </c>
      <c r="P17" s="76"/>
      <c r="Q17" s="76"/>
      <c r="R17" s="76" t="b">
        <v>0</v>
      </c>
      <c r="S17" s="82" t="b">
        <v>0</v>
      </c>
      <c r="T17" s="76"/>
      <c r="U17" s="79"/>
      <c r="V17" s="83"/>
      <c r="W17" s="74"/>
    </row>
    <row r="18">
      <c r="A18" s="75"/>
      <c r="B18" s="76"/>
      <c r="C18" s="77"/>
      <c r="D18" s="76"/>
      <c r="E18" s="76"/>
      <c r="F18" s="76"/>
      <c r="G18" s="76"/>
      <c r="H18" s="76"/>
      <c r="I18" s="75"/>
      <c r="J18" s="78"/>
      <c r="K18" s="76"/>
      <c r="L18" s="79" t="b">
        <v>0</v>
      </c>
      <c r="M18" s="80" t="str">
        <f t="shared" si="1"/>
        <v/>
      </c>
      <c r="N18" s="131" t="b">
        <v>0</v>
      </c>
      <c r="O18" s="80" t="str">
        <f t="shared" si="2"/>
        <v/>
      </c>
      <c r="P18" s="76"/>
      <c r="Q18" s="76"/>
      <c r="R18" s="76" t="b">
        <v>0</v>
      </c>
      <c r="S18" s="82" t="b">
        <v>0</v>
      </c>
      <c r="T18" s="76"/>
      <c r="U18" s="79"/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/>
      <c r="B19" s="76"/>
      <c r="C19" s="77"/>
      <c r="D19" s="76"/>
      <c r="E19" s="76"/>
      <c r="F19" s="76"/>
      <c r="G19" s="76"/>
      <c r="H19" s="76"/>
      <c r="I19" s="75"/>
      <c r="J19" s="78"/>
      <c r="K19" s="76"/>
      <c r="L19" s="79" t="b">
        <v>0</v>
      </c>
      <c r="M19" s="80" t="str">
        <f t="shared" si="1"/>
        <v/>
      </c>
      <c r="N19" s="131" t="b">
        <v>0</v>
      </c>
      <c r="O19" s="80" t="str">
        <f t="shared" si="2"/>
        <v/>
      </c>
      <c r="P19" s="76"/>
      <c r="Q19" s="76"/>
      <c r="R19" s="76" t="b">
        <v>0</v>
      </c>
      <c r="S19" s="82" t="b">
        <v>0</v>
      </c>
      <c r="T19" s="76"/>
      <c r="U19" s="79"/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/>
      <c r="B20" s="76"/>
      <c r="C20" s="77"/>
      <c r="D20" s="76"/>
      <c r="E20" s="76"/>
      <c r="F20" s="76"/>
      <c r="G20" s="76"/>
      <c r="H20" s="76"/>
      <c r="I20" s="75"/>
      <c r="J20" s="78"/>
      <c r="K20" s="76"/>
      <c r="L20" s="79" t="b">
        <v>0</v>
      </c>
      <c r="M20" s="80" t="str">
        <f t="shared" si="1"/>
        <v/>
      </c>
      <c r="N20" s="131" t="b">
        <v>0</v>
      </c>
      <c r="O20" s="80" t="str">
        <f t="shared" si="2"/>
        <v/>
      </c>
      <c r="P20" s="76"/>
      <c r="Q20" s="76"/>
      <c r="R20" s="76" t="b">
        <v>0</v>
      </c>
      <c r="S20" s="82" t="b">
        <v>0</v>
      </c>
      <c r="T20" s="76"/>
      <c r="U20" s="79"/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/>
      <c r="B21" s="76"/>
      <c r="C21" s="77"/>
      <c r="D21" s="76"/>
      <c r="E21" s="76"/>
      <c r="F21" s="76"/>
      <c r="G21" s="76"/>
      <c r="H21" s="76"/>
      <c r="I21" s="75"/>
      <c r="J21" s="78"/>
      <c r="K21" s="76"/>
      <c r="L21" s="79" t="b">
        <v>0</v>
      </c>
      <c r="M21" s="80" t="str">
        <f t="shared" si="1"/>
        <v/>
      </c>
      <c r="N21" s="131" t="b">
        <v>0</v>
      </c>
      <c r="O21" s="80" t="str">
        <f t="shared" si="2"/>
        <v/>
      </c>
      <c r="P21" s="76"/>
      <c r="Q21" s="76"/>
      <c r="R21" s="76" t="b">
        <v>0</v>
      </c>
      <c r="S21" s="82" t="b">
        <v>0</v>
      </c>
      <c r="T21" s="76"/>
      <c r="U21" s="79"/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/>
      <c r="B22" s="76"/>
      <c r="C22" s="77"/>
      <c r="D22" s="76"/>
      <c r="E22" s="76"/>
      <c r="F22" s="76"/>
      <c r="G22" s="76"/>
      <c r="H22" s="76"/>
      <c r="I22" s="75"/>
      <c r="J22" s="78"/>
      <c r="K22" s="76"/>
      <c r="L22" s="79" t="b">
        <v>0</v>
      </c>
      <c r="M22" s="80" t="str">
        <f t="shared" si="1"/>
        <v/>
      </c>
      <c r="N22" s="131" t="b">
        <v>0</v>
      </c>
      <c r="O22" s="80" t="str">
        <f t="shared" si="2"/>
        <v/>
      </c>
      <c r="P22" s="76"/>
      <c r="Q22" s="76"/>
      <c r="R22" s="76" t="b">
        <v>0</v>
      </c>
      <c r="S22" s="82" t="b">
        <v>0</v>
      </c>
      <c r="T22" s="76"/>
      <c r="U22" s="79"/>
      <c r="V22" s="83"/>
      <c r="W22" s="74"/>
      <c r="X22" s="74"/>
      <c r="AB22" s="74"/>
      <c r="AC22" s="74"/>
      <c r="AD22" s="74"/>
    </row>
    <row r="23">
      <c r="A23" s="75"/>
      <c r="B23" s="76"/>
      <c r="C23" s="77"/>
      <c r="D23" s="76"/>
      <c r="E23" s="76"/>
      <c r="F23" s="76"/>
      <c r="G23" s="76"/>
      <c r="H23" s="76"/>
      <c r="I23" s="75"/>
      <c r="J23" s="78"/>
      <c r="K23" s="76"/>
      <c r="L23" s="79" t="b">
        <v>0</v>
      </c>
      <c r="M23" s="80" t="str">
        <f t="shared" si="1"/>
        <v/>
      </c>
      <c r="N23" s="131" t="b">
        <v>0</v>
      </c>
      <c r="O23" s="80" t="str">
        <f t="shared" si="2"/>
        <v/>
      </c>
      <c r="P23" s="76"/>
      <c r="Q23" s="76"/>
      <c r="R23" s="76" t="b">
        <v>0</v>
      </c>
      <c r="S23" s="82" t="b">
        <v>0</v>
      </c>
      <c r="T23" s="76"/>
      <c r="U23" s="79"/>
      <c r="V23" s="83"/>
      <c r="W23" s="74"/>
      <c r="X23" s="74"/>
      <c r="AB23" s="74"/>
      <c r="AC23" s="74"/>
      <c r="AD23" s="74"/>
    </row>
    <row r="24">
      <c r="A24" s="75"/>
      <c r="B24" s="76"/>
      <c r="C24" s="77"/>
      <c r="D24" s="76"/>
      <c r="E24" s="76"/>
      <c r="F24" s="76"/>
      <c r="G24" s="76"/>
      <c r="H24" s="76"/>
      <c r="I24" s="75"/>
      <c r="J24" s="78"/>
      <c r="K24" s="76"/>
      <c r="L24" s="79" t="b">
        <v>0</v>
      </c>
      <c r="M24" s="80" t="str">
        <f t="shared" si="1"/>
        <v/>
      </c>
      <c r="N24" s="131" t="b">
        <v>0</v>
      </c>
      <c r="O24" s="80" t="str">
        <f t="shared" si="2"/>
        <v/>
      </c>
      <c r="P24" s="76"/>
      <c r="Q24" s="76"/>
      <c r="R24" s="76" t="b">
        <v>0</v>
      </c>
      <c r="S24" s="82" t="b">
        <v>0</v>
      </c>
      <c r="T24" s="76"/>
      <c r="U24" s="79"/>
      <c r="V24" s="83"/>
      <c r="W24" s="74"/>
      <c r="X24" s="74"/>
    </row>
    <row r="25">
      <c r="A25" s="75"/>
      <c r="B25" s="76"/>
      <c r="C25" s="77"/>
      <c r="D25" s="76"/>
      <c r="E25" s="76"/>
      <c r="F25" s="76"/>
      <c r="G25" s="76"/>
      <c r="H25" s="76"/>
      <c r="I25" s="75"/>
      <c r="J25" s="78"/>
      <c r="K25" s="76"/>
      <c r="L25" s="79" t="b">
        <v>0</v>
      </c>
      <c r="M25" s="80" t="str">
        <f t="shared" si="1"/>
        <v/>
      </c>
      <c r="N25" s="131" t="b">
        <v>0</v>
      </c>
      <c r="O25" s="80" t="str">
        <f t="shared" si="2"/>
        <v/>
      </c>
      <c r="P25" s="76"/>
      <c r="Q25" s="76"/>
      <c r="R25" s="76" t="b">
        <v>0</v>
      </c>
      <c r="S25" s="82" t="b">
        <v>0</v>
      </c>
      <c r="T25" s="76"/>
      <c r="U25" s="79"/>
      <c r="V25" s="83"/>
      <c r="W25" s="74"/>
      <c r="X25" s="74"/>
    </row>
    <row r="26">
      <c r="A26" s="75"/>
      <c r="B26" s="76"/>
      <c r="C26" s="77"/>
      <c r="D26" s="76"/>
      <c r="E26" s="76"/>
      <c r="F26" s="76"/>
      <c r="G26" s="76"/>
      <c r="H26" s="76"/>
      <c r="I26" s="75"/>
      <c r="J26" s="78"/>
      <c r="K26" s="76"/>
      <c r="L26" s="79" t="b">
        <v>0</v>
      </c>
      <c r="M26" s="80" t="str">
        <f t="shared" si="1"/>
        <v/>
      </c>
      <c r="N26" s="131" t="b">
        <v>0</v>
      </c>
      <c r="O26" s="80" t="str">
        <f t="shared" si="2"/>
        <v/>
      </c>
      <c r="P26" s="76"/>
      <c r="Q26" s="76"/>
      <c r="R26" s="76" t="b">
        <v>0</v>
      </c>
      <c r="S26" s="82" t="b">
        <v>0</v>
      </c>
      <c r="T26" s="76"/>
      <c r="U26" s="79"/>
      <c r="V26" s="83"/>
      <c r="W26" s="74"/>
      <c r="X26" s="74"/>
    </row>
    <row r="27">
      <c r="A27" s="75"/>
      <c r="B27" s="76"/>
      <c r="C27" s="77"/>
      <c r="D27" s="76"/>
      <c r="E27" s="76"/>
      <c r="F27" s="76"/>
      <c r="G27" s="76"/>
      <c r="H27" s="76"/>
      <c r="I27" s="75"/>
      <c r="J27" s="78"/>
      <c r="K27" s="76"/>
      <c r="L27" s="79" t="b">
        <v>0</v>
      </c>
      <c r="M27" s="80" t="str">
        <f t="shared" si="1"/>
        <v/>
      </c>
      <c r="N27" s="131" t="b">
        <v>0</v>
      </c>
      <c r="O27" s="80" t="str">
        <f t="shared" si="2"/>
        <v/>
      </c>
      <c r="P27" s="76"/>
      <c r="Q27" s="76"/>
      <c r="R27" s="76" t="b">
        <v>0</v>
      </c>
      <c r="S27" s="82" t="b">
        <v>0</v>
      </c>
      <c r="T27" s="76"/>
      <c r="U27" s="79"/>
      <c r="V27" s="83"/>
      <c r="W27" s="74"/>
      <c r="X27" s="86"/>
    </row>
    <row r="28">
      <c r="A28" s="75"/>
      <c r="B28" s="76"/>
      <c r="C28" s="77"/>
      <c r="D28" s="76"/>
      <c r="E28" s="76"/>
      <c r="F28" s="76"/>
      <c r="G28" s="76"/>
      <c r="H28" s="76"/>
      <c r="I28" s="75"/>
      <c r="J28" s="78"/>
      <c r="K28" s="76"/>
      <c r="L28" s="79" t="b">
        <v>0</v>
      </c>
      <c r="M28" s="80" t="str">
        <f t="shared" si="1"/>
        <v/>
      </c>
      <c r="N28" s="131" t="b">
        <v>0</v>
      </c>
      <c r="O28" s="80" t="str">
        <f t="shared" si="2"/>
        <v/>
      </c>
      <c r="P28" s="76"/>
      <c r="Q28" s="76"/>
      <c r="R28" s="76" t="b">
        <v>0</v>
      </c>
      <c r="S28" s="82" t="b">
        <v>0</v>
      </c>
      <c r="T28" s="76"/>
      <c r="U28" s="79"/>
      <c r="V28" s="83"/>
      <c r="W28" s="74"/>
      <c r="X28" s="86"/>
    </row>
    <row r="29">
      <c r="A29" s="75"/>
      <c r="B29" s="76"/>
      <c r="C29" s="77"/>
      <c r="D29" s="76"/>
      <c r="E29" s="76"/>
      <c r="F29" s="76"/>
      <c r="G29" s="76"/>
      <c r="H29" s="76"/>
      <c r="I29" s="75"/>
      <c r="J29" s="78"/>
      <c r="K29" s="76"/>
      <c r="L29" s="79" t="b">
        <v>0</v>
      </c>
      <c r="M29" s="80" t="str">
        <f t="shared" si="1"/>
        <v/>
      </c>
      <c r="N29" s="131" t="b">
        <v>0</v>
      </c>
      <c r="O29" s="80" t="str">
        <f t="shared" si="2"/>
        <v/>
      </c>
      <c r="P29" s="76"/>
      <c r="Q29" s="76"/>
      <c r="R29" s="76" t="b">
        <v>0</v>
      </c>
      <c r="S29" s="82" t="b">
        <v>0</v>
      </c>
      <c r="T29" s="76"/>
      <c r="U29" s="79"/>
      <c r="V29" s="83"/>
      <c r="W29" s="74"/>
      <c r="X29" s="86"/>
      <c r="AE29" s="87"/>
      <c r="AF29" s="87"/>
      <c r="AG29" s="87"/>
      <c r="AH29" s="87"/>
    </row>
    <row r="30">
      <c r="A30" s="75"/>
      <c r="B30" s="76"/>
      <c r="C30" s="77"/>
      <c r="D30" s="76"/>
      <c r="E30" s="76"/>
      <c r="F30" s="76"/>
      <c r="G30" s="76"/>
      <c r="H30" s="76"/>
      <c r="I30" s="75"/>
      <c r="J30" s="78"/>
      <c r="K30" s="76"/>
      <c r="L30" s="79" t="b">
        <v>0</v>
      </c>
      <c r="M30" s="80" t="str">
        <f t="shared" si="1"/>
        <v/>
      </c>
      <c r="N30" s="131" t="b">
        <v>0</v>
      </c>
      <c r="O30" s="80" t="str">
        <f t="shared" si="2"/>
        <v/>
      </c>
      <c r="P30" s="76"/>
      <c r="Q30" s="76"/>
      <c r="R30" s="76" t="b">
        <v>0</v>
      </c>
      <c r="S30" s="82" t="b">
        <v>0</v>
      </c>
      <c r="T30" s="76"/>
      <c r="U30" s="79"/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/>
      <c r="B31" s="76"/>
      <c r="C31" s="77"/>
      <c r="D31" s="76"/>
      <c r="E31" s="76"/>
      <c r="F31" s="76"/>
      <c r="G31" s="76"/>
      <c r="H31" s="76"/>
      <c r="I31" s="75"/>
      <c r="J31" s="78"/>
      <c r="K31" s="76"/>
      <c r="L31" s="79" t="b">
        <v>0</v>
      </c>
      <c r="M31" s="80" t="str">
        <f t="shared" si="1"/>
        <v/>
      </c>
      <c r="N31" s="131" t="b">
        <v>0</v>
      </c>
      <c r="O31" s="80" t="str">
        <f t="shared" si="2"/>
        <v/>
      </c>
      <c r="P31" s="76"/>
      <c r="Q31" s="76"/>
      <c r="R31" s="76" t="b">
        <v>0</v>
      </c>
      <c r="S31" s="82" t="b">
        <v>0</v>
      </c>
      <c r="T31" s="76"/>
      <c r="U31" s="79"/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/>
      <c r="B32" s="76"/>
      <c r="C32" s="77"/>
      <c r="D32" s="76"/>
      <c r="E32" s="76"/>
      <c r="F32" s="76"/>
      <c r="G32" s="76"/>
      <c r="H32" s="76"/>
      <c r="I32" s="75"/>
      <c r="J32" s="78"/>
      <c r="K32" s="76"/>
      <c r="L32" s="79" t="b">
        <v>0</v>
      </c>
      <c r="M32" s="80" t="str">
        <f t="shared" si="1"/>
        <v/>
      </c>
      <c r="N32" s="131" t="b">
        <v>0</v>
      </c>
      <c r="O32" s="80" t="str">
        <f t="shared" si="2"/>
        <v/>
      </c>
      <c r="P32" s="76"/>
      <c r="Q32" s="76"/>
      <c r="R32" s="76" t="b">
        <v>0</v>
      </c>
      <c r="S32" s="82" t="b">
        <v>0</v>
      </c>
      <c r="T32" s="76"/>
      <c r="U32" s="79"/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/>
      <c r="B33" s="76"/>
      <c r="C33" s="77"/>
      <c r="D33" s="76"/>
      <c r="E33" s="76"/>
      <c r="F33" s="76"/>
      <c r="G33" s="76"/>
      <c r="H33" s="76"/>
      <c r="I33" s="75"/>
      <c r="J33" s="78"/>
      <c r="K33" s="76"/>
      <c r="L33" s="79" t="b">
        <v>0</v>
      </c>
      <c r="M33" s="80" t="str">
        <f t="shared" si="1"/>
        <v/>
      </c>
      <c r="N33" s="131" t="b">
        <v>0</v>
      </c>
      <c r="O33" s="80" t="str">
        <f t="shared" si="2"/>
        <v/>
      </c>
      <c r="P33" s="76"/>
      <c r="Q33" s="76"/>
      <c r="R33" s="76" t="b">
        <v>0</v>
      </c>
      <c r="S33" s="82" t="b">
        <v>0</v>
      </c>
      <c r="T33" s="76"/>
      <c r="U33" s="79"/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/>
      <c r="B34" s="76"/>
      <c r="C34" s="77"/>
      <c r="D34" s="76"/>
      <c r="E34" s="76"/>
      <c r="F34" s="76"/>
      <c r="G34" s="76"/>
      <c r="H34" s="76"/>
      <c r="I34" s="75"/>
      <c r="J34" s="78"/>
      <c r="K34" s="76"/>
      <c r="L34" s="79" t="b">
        <v>0</v>
      </c>
      <c r="M34" s="80" t="str">
        <f t="shared" si="1"/>
        <v/>
      </c>
      <c r="N34" s="131" t="b">
        <v>0</v>
      </c>
      <c r="O34" s="80" t="str">
        <f t="shared" si="2"/>
        <v/>
      </c>
      <c r="P34" s="76"/>
      <c r="Q34" s="76"/>
      <c r="R34" s="76" t="b">
        <v>0</v>
      </c>
      <c r="S34" s="82" t="b">
        <v>0</v>
      </c>
      <c r="T34" s="76"/>
      <c r="U34" s="79"/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/>
      <c r="B35" s="76"/>
      <c r="C35" s="77"/>
      <c r="D35" s="76"/>
      <c r="E35" s="76"/>
      <c r="F35" s="76"/>
      <c r="G35" s="76"/>
      <c r="H35" s="76"/>
      <c r="I35" s="75"/>
      <c r="J35" s="78"/>
      <c r="K35" s="76"/>
      <c r="L35" s="79" t="b">
        <v>0</v>
      </c>
      <c r="M35" s="80" t="str">
        <f t="shared" si="1"/>
        <v/>
      </c>
      <c r="N35" s="131" t="b">
        <v>0</v>
      </c>
      <c r="O35" s="80" t="str">
        <f t="shared" si="2"/>
        <v/>
      </c>
      <c r="P35" s="76"/>
      <c r="Q35" s="76"/>
      <c r="R35" s="76" t="b">
        <v>0</v>
      </c>
      <c r="S35" s="82" t="b">
        <v>0</v>
      </c>
      <c r="T35" s="76"/>
      <c r="U35" s="79"/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/>
      <c r="B36" s="76"/>
      <c r="C36" s="77"/>
      <c r="D36" s="76"/>
      <c r="E36" s="76"/>
      <c r="F36" s="76"/>
      <c r="G36" s="76"/>
      <c r="H36" s="76"/>
      <c r="I36" s="75"/>
      <c r="J36" s="78"/>
      <c r="K36" s="76"/>
      <c r="L36" s="79" t="b">
        <v>0</v>
      </c>
      <c r="M36" s="80" t="str">
        <f t="shared" si="1"/>
        <v/>
      </c>
      <c r="N36" s="131" t="b">
        <v>0</v>
      </c>
      <c r="O36" s="80" t="str">
        <f t="shared" si="2"/>
        <v/>
      </c>
      <c r="P36" s="76"/>
      <c r="Q36" s="76"/>
      <c r="R36" s="76" t="b">
        <v>0</v>
      </c>
      <c r="S36" s="82" t="b">
        <v>0</v>
      </c>
      <c r="T36" s="76"/>
      <c r="U36" s="79"/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/>
      <c r="B37" s="76"/>
      <c r="C37" s="77"/>
      <c r="D37" s="76"/>
      <c r="E37" s="76"/>
      <c r="F37" s="76"/>
      <c r="G37" s="76"/>
      <c r="H37" s="76"/>
      <c r="I37" s="75"/>
      <c r="J37" s="78"/>
      <c r="K37" s="76"/>
      <c r="L37" s="79" t="b">
        <v>0</v>
      </c>
      <c r="M37" s="80" t="str">
        <f t="shared" si="1"/>
        <v/>
      </c>
      <c r="N37" s="131" t="b">
        <v>0</v>
      </c>
      <c r="O37" s="80" t="str">
        <f t="shared" si="2"/>
        <v/>
      </c>
      <c r="P37" s="76"/>
      <c r="Q37" s="76"/>
      <c r="R37" s="76" t="b">
        <v>0</v>
      </c>
      <c r="S37" s="82" t="b">
        <v>0</v>
      </c>
      <c r="T37" s="76"/>
      <c r="U37" s="79"/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/>
      <c r="B38" s="76"/>
      <c r="C38" s="77"/>
      <c r="D38" s="76"/>
      <c r="E38" s="76"/>
      <c r="F38" s="76"/>
      <c r="G38" s="76"/>
      <c r="H38" s="76"/>
      <c r="I38" s="75"/>
      <c r="J38" s="78"/>
      <c r="K38" s="76"/>
      <c r="L38" s="79" t="b">
        <v>0</v>
      </c>
      <c r="M38" s="80" t="str">
        <f t="shared" si="1"/>
        <v/>
      </c>
      <c r="N38" s="131" t="b">
        <v>0</v>
      </c>
      <c r="O38" s="80" t="str">
        <f t="shared" si="2"/>
        <v/>
      </c>
      <c r="P38" s="76"/>
      <c r="Q38" s="76"/>
      <c r="R38" s="76" t="b">
        <v>0</v>
      </c>
      <c r="S38" s="82" t="b">
        <v>0</v>
      </c>
      <c r="T38" s="76"/>
      <c r="U38" s="79"/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/>
      <c r="B39" s="76"/>
      <c r="C39" s="77"/>
      <c r="D39" s="76"/>
      <c r="E39" s="76"/>
      <c r="F39" s="76"/>
      <c r="G39" s="76"/>
      <c r="H39" s="76"/>
      <c r="I39" s="75"/>
      <c r="J39" s="78"/>
      <c r="K39" s="76"/>
      <c r="L39" s="79" t="b">
        <v>0</v>
      </c>
      <c r="M39" s="80" t="str">
        <f t="shared" si="1"/>
        <v/>
      </c>
      <c r="N39" s="131" t="b">
        <v>0</v>
      </c>
      <c r="O39" s="80" t="str">
        <f t="shared" si="2"/>
        <v/>
      </c>
      <c r="P39" s="76"/>
      <c r="Q39" s="76"/>
      <c r="R39" s="76" t="b">
        <v>0</v>
      </c>
      <c r="S39" s="82" t="b">
        <v>0</v>
      </c>
      <c r="T39" s="76"/>
      <c r="U39" s="79"/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/>
      <c r="B40" s="76"/>
      <c r="C40" s="77"/>
      <c r="D40" s="76"/>
      <c r="E40" s="76"/>
      <c r="F40" s="76"/>
      <c r="G40" s="76"/>
      <c r="H40" s="76"/>
      <c r="I40" s="75"/>
      <c r="J40" s="78"/>
      <c r="K40" s="76"/>
      <c r="L40" s="79" t="b">
        <v>0</v>
      </c>
      <c r="M40" s="80" t="str">
        <f t="shared" si="1"/>
        <v/>
      </c>
      <c r="N40" s="131" t="b">
        <v>0</v>
      </c>
      <c r="O40" s="80" t="str">
        <f t="shared" si="2"/>
        <v/>
      </c>
      <c r="P40" s="76"/>
      <c r="Q40" s="76"/>
      <c r="R40" s="76" t="b">
        <v>0</v>
      </c>
      <c r="S40" s="82" t="b">
        <v>0</v>
      </c>
      <c r="T40" s="76"/>
      <c r="U40" s="79"/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/>
      <c r="B41" s="76"/>
      <c r="C41" s="77"/>
      <c r="D41" s="76"/>
      <c r="E41" s="76"/>
      <c r="F41" s="76"/>
      <c r="G41" s="76"/>
      <c r="H41" s="76"/>
      <c r="I41" s="75"/>
      <c r="J41" s="78"/>
      <c r="K41" s="76"/>
      <c r="L41" s="79" t="b">
        <v>0</v>
      </c>
      <c r="M41" s="80" t="str">
        <f t="shared" si="1"/>
        <v/>
      </c>
      <c r="N41" s="131" t="b">
        <v>0</v>
      </c>
      <c r="O41" s="80" t="str">
        <f t="shared" si="2"/>
        <v/>
      </c>
      <c r="P41" s="76"/>
      <c r="Q41" s="76"/>
      <c r="R41" s="76" t="b">
        <v>0</v>
      </c>
      <c r="S41" s="82" t="b">
        <v>0</v>
      </c>
      <c r="T41" s="76"/>
      <c r="U41" s="79"/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/>
      <c r="B42" s="76"/>
      <c r="C42" s="77"/>
      <c r="D42" s="76"/>
      <c r="E42" s="76"/>
      <c r="F42" s="76"/>
      <c r="G42" s="76"/>
      <c r="H42" s="76"/>
      <c r="I42" s="75"/>
      <c r="J42" s="78"/>
      <c r="K42" s="76"/>
      <c r="L42" s="79" t="b">
        <v>0</v>
      </c>
      <c r="M42" s="80" t="str">
        <f t="shared" si="1"/>
        <v/>
      </c>
      <c r="N42" s="131" t="b">
        <v>0</v>
      </c>
      <c r="O42" s="80" t="str">
        <f t="shared" si="2"/>
        <v/>
      </c>
      <c r="P42" s="76"/>
      <c r="Q42" s="76"/>
      <c r="R42" s="76" t="b">
        <v>0</v>
      </c>
      <c r="S42" s="82" t="b">
        <v>0</v>
      </c>
      <c r="T42" s="76"/>
      <c r="U42" s="79"/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/>
      <c r="B43" s="76"/>
      <c r="C43" s="77"/>
      <c r="D43" s="76"/>
      <c r="E43" s="76"/>
      <c r="F43" s="76"/>
      <c r="G43" s="76"/>
      <c r="H43" s="76"/>
      <c r="I43" s="75"/>
      <c r="J43" s="78"/>
      <c r="K43" s="76"/>
      <c r="L43" s="79" t="b">
        <v>0</v>
      </c>
      <c r="M43" s="80" t="str">
        <f t="shared" si="1"/>
        <v/>
      </c>
      <c r="N43" s="131" t="b">
        <v>0</v>
      </c>
      <c r="O43" s="80" t="str">
        <f t="shared" si="2"/>
        <v/>
      </c>
      <c r="P43" s="76"/>
      <c r="Q43" s="76"/>
      <c r="R43" s="76" t="b">
        <v>0</v>
      </c>
      <c r="S43" s="82" t="b">
        <v>0</v>
      </c>
      <c r="T43" s="76"/>
      <c r="U43" s="79"/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/>
      <c r="B44" s="76"/>
      <c r="C44" s="77"/>
      <c r="D44" s="76"/>
      <c r="E44" s="76"/>
      <c r="F44" s="76"/>
      <c r="G44" s="76"/>
      <c r="H44" s="76"/>
      <c r="I44" s="75"/>
      <c r="J44" s="78"/>
      <c r="K44" s="76"/>
      <c r="L44" s="79" t="b">
        <v>0</v>
      </c>
      <c r="M44" s="80" t="str">
        <f t="shared" si="1"/>
        <v/>
      </c>
      <c r="N44" s="131" t="b">
        <v>0</v>
      </c>
      <c r="O44" s="80" t="str">
        <f t="shared" si="2"/>
        <v/>
      </c>
      <c r="P44" s="76"/>
      <c r="Q44" s="76"/>
      <c r="R44" s="76" t="b">
        <v>0</v>
      </c>
      <c r="S44" s="82" t="b">
        <v>0</v>
      </c>
      <c r="T44" s="76"/>
      <c r="U44" s="79"/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/>
      <c r="B45" s="76"/>
      <c r="C45" s="77"/>
      <c r="D45" s="76"/>
      <c r="E45" s="76"/>
      <c r="F45" s="76"/>
      <c r="G45" s="76"/>
      <c r="H45" s="76"/>
      <c r="I45" s="75"/>
      <c r="J45" s="78"/>
      <c r="K45" s="76"/>
      <c r="L45" s="79" t="b">
        <v>0</v>
      </c>
      <c r="M45" s="80" t="str">
        <f t="shared" si="1"/>
        <v/>
      </c>
      <c r="N45" s="131" t="b">
        <v>0</v>
      </c>
      <c r="O45" s="80" t="str">
        <f t="shared" si="2"/>
        <v/>
      </c>
      <c r="P45" s="76"/>
      <c r="Q45" s="76"/>
      <c r="R45" s="76" t="b">
        <v>0</v>
      </c>
      <c r="S45" s="82" t="b">
        <v>0</v>
      </c>
      <c r="T45" s="76"/>
      <c r="U45" s="79"/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/>
      <c r="B46" s="76"/>
      <c r="C46" s="77"/>
      <c r="D46" s="76"/>
      <c r="E46" s="76"/>
      <c r="F46" s="76"/>
      <c r="G46" s="76"/>
      <c r="H46" s="76"/>
      <c r="I46" s="75"/>
      <c r="J46" s="78"/>
      <c r="K46" s="76"/>
      <c r="L46" s="79" t="b">
        <v>0</v>
      </c>
      <c r="M46" s="80" t="str">
        <f t="shared" si="1"/>
        <v/>
      </c>
      <c r="N46" s="131" t="b">
        <v>0</v>
      </c>
      <c r="O46" s="80" t="str">
        <f t="shared" si="2"/>
        <v/>
      </c>
      <c r="P46" s="76"/>
      <c r="Q46" s="76"/>
      <c r="R46" s="76" t="b">
        <v>0</v>
      </c>
      <c r="S46" s="82" t="b">
        <v>0</v>
      </c>
      <c r="T46" s="76"/>
      <c r="U46" s="79"/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/>
      <c r="B47" s="76"/>
      <c r="C47" s="77"/>
      <c r="D47" s="76"/>
      <c r="E47" s="76"/>
      <c r="F47" s="76"/>
      <c r="G47" s="76"/>
      <c r="H47" s="76"/>
      <c r="I47" s="75"/>
      <c r="J47" s="78"/>
      <c r="K47" s="76"/>
      <c r="L47" s="79" t="b">
        <v>0</v>
      </c>
      <c r="M47" s="80" t="str">
        <f t="shared" si="1"/>
        <v/>
      </c>
      <c r="N47" s="131" t="b">
        <v>0</v>
      </c>
      <c r="O47" s="80" t="str">
        <f t="shared" si="2"/>
        <v/>
      </c>
      <c r="P47" s="76"/>
      <c r="Q47" s="76"/>
      <c r="R47" s="76" t="b">
        <v>0</v>
      </c>
      <c r="S47" s="82" t="b">
        <v>0</v>
      </c>
      <c r="T47" s="76"/>
      <c r="U47" s="79"/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/>
      <c r="B48" s="76"/>
      <c r="C48" s="77"/>
      <c r="D48" s="76"/>
      <c r="E48" s="76"/>
      <c r="F48" s="76"/>
      <c r="G48" s="76"/>
      <c r="H48" s="76"/>
      <c r="I48" s="75"/>
      <c r="J48" s="78"/>
      <c r="K48" s="76"/>
      <c r="L48" s="79" t="b">
        <v>0</v>
      </c>
      <c r="M48" s="80" t="str">
        <f t="shared" si="1"/>
        <v/>
      </c>
      <c r="N48" s="131" t="b">
        <v>0</v>
      </c>
      <c r="O48" s="80" t="str">
        <f t="shared" si="2"/>
        <v/>
      </c>
      <c r="P48" s="76"/>
      <c r="Q48" s="76"/>
      <c r="R48" s="76" t="b">
        <v>0</v>
      </c>
      <c r="S48" s="82" t="b">
        <v>0</v>
      </c>
      <c r="T48" s="76"/>
      <c r="U48" s="79"/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/>
      <c r="B49" s="76"/>
      <c r="C49" s="77"/>
      <c r="D49" s="76"/>
      <c r="E49" s="76"/>
      <c r="F49" s="76"/>
      <c r="G49" s="76"/>
      <c r="H49" s="76"/>
      <c r="I49" s="75"/>
      <c r="J49" s="78"/>
      <c r="K49" s="76"/>
      <c r="L49" s="79" t="b">
        <v>0</v>
      </c>
      <c r="M49" s="80" t="str">
        <f t="shared" si="1"/>
        <v/>
      </c>
      <c r="N49" s="131" t="b">
        <v>0</v>
      </c>
      <c r="O49" s="80" t="str">
        <f t="shared" si="2"/>
        <v/>
      </c>
      <c r="P49" s="76"/>
      <c r="Q49" s="76"/>
      <c r="R49" s="76" t="b">
        <v>0</v>
      </c>
      <c r="S49" s="82" t="b">
        <v>0</v>
      </c>
      <c r="T49" s="76"/>
      <c r="U49" s="79"/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/>
      <c r="B50" s="76"/>
      <c r="C50" s="77"/>
      <c r="D50" s="76"/>
      <c r="E50" s="76"/>
      <c r="F50" s="76"/>
      <c r="G50" s="76"/>
      <c r="H50" s="76"/>
      <c r="I50" s="75"/>
      <c r="J50" s="78"/>
      <c r="K50" s="76"/>
      <c r="L50" s="79" t="b">
        <v>0</v>
      </c>
      <c r="M50" s="80" t="str">
        <f t="shared" si="1"/>
        <v/>
      </c>
      <c r="N50" s="131" t="b">
        <v>0</v>
      </c>
      <c r="O50" s="80" t="str">
        <f t="shared" si="2"/>
        <v/>
      </c>
      <c r="P50" s="76"/>
      <c r="Q50" s="76"/>
      <c r="R50" s="76" t="b">
        <v>0</v>
      </c>
      <c r="S50" s="82" t="b">
        <v>0</v>
      </c>
      <c r="T50" s="76"/>
      <c r="U50" s="79"/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/>
      <c r="B51" s="76"/>
      <c r="C51" s="77"/>
      <c r="D51" s="76"/>
      <c r="E51" s="76"/>
      <c r="F51" s="76"/>
      <c r="G51" s="76"/>
      <c r="H51" s="76"/>
      <c r="I51" s="75"/>
      <c r="J51" s="78"/>
      <c r="K51" s="76"/>
      <c r="L51" s="79" t="b">
        <v>0</v>
      </c>
      <c r="M51" s="80" t="str">
        <f t="shared" si="1"/>
        <v/>
      </c>
      <c r="N51" s="131" t="b">
        <v>0</v>
      </c>
      <c r="O51" s="80" t="str">
        <f t="shared" si="2"/>
        <v/>
      </c>
      <c r="P51" s="76"/>
      <c r="Q51" s="76"/>
      <c r="R51" s="76" t="b">
        <v>0</v>
      </c>
      <c r="S51" s="82" t="b">
        <v>0</v>
      </c>
      <c r="T51" s="76"/>
      <c r="U51" s="79"/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/>
      <c r="B52" s="76"/>
      <c r="C52" s="77"/>
      <c r="D52" s="76"/>
      <c r="E52" s="76"/>
      <c r="F52" s="76"/>
      <c r="G52" s="76"/>
      <c r="H52" s="76"/>
      <c r="I52" s="75"/>
      <c r="J52" s="78"/>
      <c r="K52" s="76"/>
      <c r="L52" s="79" t="b">
        <v>0</v>
      </c>
      <c r="M52" s="80" t="str">
        <f t="shared" si="1"/>
        <v/>
      </c>
      <c r="N52" s="131" t="b">
        <v>0</v>
      </c>
      <c r="O52" s="80" t="str">
        <f t="shared" si="2"/>
        <v/>
      </c>
      <c r="P52" s="76"/>
      <c r="Q52" s="76"/>
      <c r="R52" s="76" t="b">
        <v>0</v>
      </c>
      <c r="S52" s="82" t="b">
        <v>0</v>
      </c>
      <c r="T52" s="76"/>
      <c r="U52" s="79"/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/>
      <c r="B53" s="76"/>
      <c r="C53" s="77"/>
      <c r="D53" s="76"/>
      <c r="E53" s="76"/>
      <c r="F53" s="76"/>
      <c r="G53" s="76"/>
      <c r="H53" s="76"/>
      <c r="I53" s="75"/>
      <c r="J53" s="78"/>
      <c r="K53" s="76"/>
      <c r="L53" s="79" t="b">
        <v>0</v>
      </c>
      <c r="M53" s="80" t="str">
        <f t="shared" si="1"/>
        <v/>
      </c>
      <c r="N53" s="131" t="b">
        <v>0</v>
      </c>
      <c r="O53" s="80" t="str">
        <f t="shared" si="2"/>
        <v/>
      </c>
      <c r="P53" s="76"/>
      <c r="Q53" s="76"/>
      <c r="R53" s="76" t="b">
        <v>0</v>
      </c>
      <c r="S53" s="82" t="b">
        <v>0</v>
      </c>
      <c r="T53" s="76"/>
      <c r="U53" s="79"/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/>
      <c r="B54" s="76"/>
      <c r="C54" s="77"/>
      <c r="D54" s="76"/>
      <c r="E54" s="76"/>
      <c r="F54" s="76"/>
      <c r="G54" s="76"/>
      <c r="H54" s="76"/>
      <c r="I54" s="75"/>
      <c r="J54" s="78"/>
      <c r="K54" s="76"/>
      <c r="L54" s="79" t="b">
        <v>0</v>
      </c>
      <c r="M54" s="80" t="str">
        <f t="shared" si="1"/>
        <v/>
      </c>
      <c r="N54" s="131" t="b">
        <v>0</v>
      </c>
      <c r="O54" s="80" t="str">
        <f t="shared" si="2"/>
        <v/>
      </c>
      <c r="P54" s="76"/>
      <c r="Q54" s="76"/>
      <c r="R54" s="76" t="b">
        <v>0</v>
      </c>
      <c r="S54" s="82" t="b">
        <v>0</v>
      </c>
      <c r="T54" s="76"/>
      <c r="U54" s="79"/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/>
      <c r="B55" s="76"/>
      <c r="C55" s="77"/>
      <c r="D55" s="76"/>
      <c r="E55" s="76"/>
      <c r="F55" s="76"/>
      <c r="G55" s="76"/>
      <c r="H55" s="76"/>
      <c r="I55" s="75"/>
      <c r="J55" s="78"/>
      <c r="K55" s="76"/>
      <c r="L55" s="79" t="b">
        <v>0</v>
      </c>
      <c r="M55" s="80" t="str">
        <f t="shared" si="1"/>
        <v/>
      </c>
      <c r="N55" s="131" t="b">
        <v>0</v>
      </c>
      <c r="O55" s="80" t="str">
        <f t="shared" si="2"/>
        <v/>
      </c>
      <c r="P55" s="76"/>
      <c r="Q55" s="76"/>
      <c r="R55" s="76" t="b">
        <v>0</v>
      </c>
      <c r="S55" s="82" t="b">
        <v>0</v>
      </c>
      <c r="T55" s="76"/>
      <c r="U55" s="79"/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/>
      <c r="B56" s="76"/>
      <c r="C56" s="77"/>
      <c r="D56" s="76"/>
      <c r="E56" s="76"/>
      <c r="F56" s="76"/>
      <c r="G56" s="76"/>
      <c r="H56" s="76"/>
      <c r="I56" s="75"/>
      <c r="J56" s="78"/>
      <c r="K56" s="76"/>
      <c r="L56" s="79" t="b">
        <v>0</v>
      </c>
      <c r="M56" s="80" t="str">
        <f t="shared" si="1"/>
        <v/>
      </c>
      <c r="N56" s="131" t="b">
        <v>0</v>
      </c>
      <c r="O56" s="80" t="str">
        <f t="shared" si="2"/>
        <v/>
      </c>
      <c r="P56" s="76"/>
      <c r="Q56" s="76"/>
      <c r="R56" s="76" t="b">
        <v>0</v>
      </c>
      <c r="S56" s="82" t="b">
        <v>0</v>
      </c>
      <c r="T56" s="76"/>
      <c r="U56" s="79"/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/>
      <c r="B57" s="76"/>
      <c r="C57" s="77"/>
      <c r="D57" s="76"/>
      <c r="E57" s="76"/>
      <c r="F57" s="76"/>
      <c r="G57" s="76"/>
      <c r="H57" s="76"/>
      <c r="I57" s="75"/>
      <c r="J57" s="78"/>
      <c r="K57" s="76"/>
      <c r="L57" s="79" t="b">
        <v>0</v>
      </c>
      <c r="M57" s="80" t="str">
        <f t="shared" si="1"/>
        <v/>
      </c>
      <c r="N57" s="131" t="b">
        <v>0</v>
      </c>
      <c r="O57" s="80" t="str">
        <f t="shared" si="2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/>
      <c r="B58" s="76"/>
      <c r="C58" s="77"/>
      <c r="D58" s="76"/>
      <c r="E58" s="76"/>
      <c r="F58" s="76"/>
      <c r="G58" s="76"/>
      <c r="H58" s="76"/>
      <c r="I58" s="75"/>
      <c r="J58" s="78"/>
      <c r="K58" s="76"/>
      <c r="L58" s="79" t="b">
        <v>0</v>
      </c>
      <c r="M58" s="80" t="str">
        <f t="shared" si="1"/>
        <v/>
      </c>
      <c r="N58" s="131" t="b">
        <v>0</v>
      </c>
      <c r="O58" s="80" t="str">
        <f t="shared" si="2"/>
        <v/>
      </c>
      <c r="P58" s="76"/>
      <c r="Q58" s="76"/>
      <c r="R58" s="76" t="b">
        <v>0</v>
      </c>
      <c r="S58" s="82" t="b">
        <v>0</v>
      </c>
      <c r="T58" s="76"/>
      <c r="U58" s="79"/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/>
      <c r="B59" s="76"/>
      <c r="C59" s="77"/>
      <c r="D59" s="76"/>
      <c r="E59" s="76"/>
      <c r="F59" s="76"/>
      <c r="G59" s="76"/>
      <c r="H59" s="76"/>
      <c r="I59" s="75"/>
      <c r="J59" s="78"/>
      <c r="K59" s="76"/>
      <c r="L59" s="79" t="b">
        <v>0</v>
      </c>
      <c r="M59" s="80" t="str">
        <f t="shared" si="1"/>
        <v/>
      </c>
      <c r="N59" s="131" t="b">
        <v>0</v>
      </c>
      <c r="O59" s="80" t="str">
        <f t="shared" si="2"/>
        <v/>
      </c>
      <c r="P59" s="76"/>
      <c r="Q59" s="76"/>
      <c r="R59" s="76" t="b">
        <v>0</v>
      </c>
      <c r="S59" s="82" t="b">
        <v>0</v>
      </c>
      <c r="T59" s="76"/>
      <c r="U59" s="79"/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/>
      <c r="B60" s="76"/>
      <c r="C60" s="77"/>
      <c r="D60" s="76"/>
      <c r="E60" s="76"/>
      <c r="F60" s="76"/>
      <c r="G60" s="76"/>
      <c r="H60" s="76"/>
      <c r="I60" s="75"/>
      <c r="J60" s="78"/>
      <c r="K60" s="76"/>
      <c r="L60" s="79" t="b">
        <v>0</v>
      </c>
      <c r="M60" s="80" t="str">
        <f t="shared" si="1"/>
        <v/>
      </c>
      <c r="N60" s="131" t="b">
        <v>0</v>
      </c>
      <c r="O60" s="80" t="str">
        <f t="shared" si="2"/>
        <v/>
      </c>
      <c r="P60" s="76"/>
      <c r="Q60" s="76"/>
      <c r="R60" s="76" t="b">
        <v>0</v>
      </c>
      <c r="S60" s="82" t="b">
        <v>0</v>
      </c>
      <c r="T60" s="76"/>
      <c r="U60" s="79"/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/>
      <c r="B61" s="76"/>
      <c r="C61" s="77"/>
      <c r="D61" s="76"/>
      <c r="E61" s="76"/>
      <c r="F61" s="76"/>
      <c r="G61" s="76"/>
      <c r="H61" s="76"/>
      <c r="I61" s="75"/>
      <c r="J61" s="78"/>
      <c r="K61" s="76"/>
      <c r="L61" s="79" t="b">
        <v>0</v>
      </c>
      <c r="M61" s="80" t="str">
        <f t="shared" si="1"/>
        <v/>
      </c>
      <c r="N61" s="131" t="b">
        <v>0</v>
      </c>
      <c r="O61" s="80" t="str">
        <f t="shared" si="2"/>
        <v/>
      </c>
      <c r="P61" s="76"/>
      <c r="Q61" s="76"/>
      <c r="R61" s="76" t="b">
        <v>0</v>
      </c>
      <c r="S61" s="82" t="b">
        <v>0</v>
      </c>
      <c r="T61" s="76"/>
      <c r="U61" s="79"/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/>
      <c r="B62" s="76"/>
      <c r="C62" s="77"/>
      <c r="D62" s="76"/>
      <c r="E62" s="76"/>
      <c r="F62" s="76"/>
      <c r="G62" s="76"/>
      <c r="H62" s="76"/>
      <c r="I62" s="75"/>
      <c r="J62" s="78"/>
      <c r="K62" s="76"/>
      <c r="L62" s="79" t="b">
        <v>0</v>
      </c>
      <c r="M62" s="80" t="str">
        <f t="shared" si="1"/>
        <v/>
      </c>
      <c r="N62" s="131" t="b">
        <v>0</v>
      </c>
      <c r="O62" s="80" t="str">
        <f t="shared" si="2"/>
        <v/>
      </c>
      <c r="P62" s="76"/>
      <c r="Q62" s="76"/>
      <c r="R62" s="76" t="b">
        <v>0</v>
      </c>
      <c r="S62" s="82" t="b">
        <v>0</v>
      </c>
      <c r="T62" s="76"/>
      <c r="U62" s="79"/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/>
      <c r="B63" s="76"/>
      <c r="C63" s="77"/>
      <c r="D63" s="76"/>
      <c r="E63" s="76"/>
      <c r="F63" s="76"/>
      <c r="G63" s="76"/>
      <c r="H63" s="76"/>
      <c r="I63" s="75"/>
      <c r="J63" s="78"/>
      <c r="K63" s="76"/>
      <c r="L63" s="79" t="b">
        <v>0</v>
      </c>
      <c r="M63" s="80" t="str">
        <f t="shared" si="1"/>
        <v/>
      </c>
      <c r="N63" s="131" t="b">
        <v>0</v>
      </c>
      <c r="O63" s="80" t="str">
        <f t="shared" si="2"/>
        <v/>
      </c>
      <c r="P63" s="76"/>
      <c r="Q63" s="76"/>
      <c r="R63" s="76" t="b">
        <v>0</v>
      </c>
      <c r="S63" s="82" t="b">
        <v>0</v>
      </c>
      <c r="T63" s="76"/>
      <c r="U63" s="79"/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/>
      <c r="B64" s="76"/>
      <c r="C64" s="77"/>
      <c r="D64" s="76"/>
      <c r="E64" s="76"/>
      <c r="F64" s="76"/>
      <c r="G64" s="76"/>
      <c r="H64" s="76"/>
      <c r="I64" s="75"/>
      <c r="J64" s="78"/>
      <c r="K64" s="76"/>
      <c r="L64" s="79" t="b">
        <v>0</v>
      </c>
      <c r="M64" s="80" t="str">
        <f t="shared" si="1"/>
        <v/>
      </c>
      <c r="N64" s="131" t="b">
        <v>0</v>
      </c>
      <c r="O64" s="80" t="str">
        <f t="shared" si="2"/>
        <v/>
      </c>
      <c r="P64" s="76"/>
      <c r="Q64" s="76"/>
      <c r="R64" s="76" t="b">
        <v>0</v>
      </c>
      <c r="S64" s="82" t="b">
        <v>0</v>
      </c>
      <c r="T64" s="76"/>
      <c r="U64" s="79"/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/>
      <c r="B65" s="76"/>
      <c r="C65" s="77"/>
      <c r="D65" s="76"/>
      <c r="E65" s="76"/>
      <c r="F65" s="76"/>
      <c r="G65" s="76"/>
      <c r="H65" s="76"/>
      <c r="I65" s="75"/>
      <c r="J65" s="78"/>
      <c r="K65" s="76"/>
      <c r="L65" s="79" t="b">
        <v>0</v>
      </c>
      <c r="M65" s="80" t="str">
        <f t="shared" si="1"/>
        <v/>
      </c>
      <c r="N65" s="131" t="b">
        <v>0</v>
      </c>
      <c r="O65" s="80" t="str">
        <f t="shared" si="2"/>
        <v/>
      </c>
      <c r="P65" s="76"/>
      <c r="Q65" s="76"/>
      <c r="R65" s="76" t="b">
        <v>0</v>
      </c>
      <c r="S65" s="82" t="b">
        <v>0</v>
      </c>
      <c r="T65" s="76"/>
      <c r="U65" s="79"/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/>
      <c r="B66" s="76"/>
      <c r="C66" s="77"/>
      <c r="D66" s="76"/>
      <c r="E66" s="76"/>
      <c r="F66" s="76"/>
      <c r="G66" s="76"/>
      <c r="H66" s="76"/>
      <c r="I66" s="75"/>
      <c r="J66" s="78"/>
      <c r="K66" s="76"/>
      <c r="L66" s="79" t="b">
        <v>0</v>
      </c>
      <c r="M66" s="80" t="str">
        <f t="shared" si="1"/>
        <v/>
      </c>
      <c r="N66" s="131" t="b">
        <v>0</v>
      </c>
      <c r="O66" s="80" t="str">
        <f t="shared" si="2"/>
        <v/>
      </c>
      <c r="P66" s="76"/>
      <c r="Q66" s="76"/>
      <c r="R66" s="76" t="b">
        <v>0</v>
      </c>
      <c r="S66" s="82" t="b">
        <v>0</v>
      </c>
      <c r="T66" s="76"/>
      <c r="U66" s="79"/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/>
      <c r="B67" s="76"/>
      <c r="C67" s="77"/>
      <c r="D67" s="76"/>
      <c r="E67" s="76"/>
      <c r="F67" s="76"/>
      <c r="G67" s="76"/>
      <c r="H67" s="76"/>
      <c r="I67" s="75"/>
      <c r="J67" s="78"/>
      <c r="K67" s="76"/>
      <c r="L67" s="79" t="b">
        <v>0</v>
      </c>
      <c r="M67" s="80" t="str">
        <f t="shared" si="1"/>
        <v/>
      </c>
      <c r="N67" s="131" t="b">
        <v>0</v>
      </c>
      <c r="O67" s="80" t="str">
        <f t="shared" si="2"/>
        <v/>
      </c>
      <c r="P67" s="76"/>
      <c r="Q67" s="76"/>
      <c r="R67" s="76" t="b">
        <v>0</v>
      </c>
      <c r="S67" s="82" t="b">
        <v>0</v>
      </c>
      <c r="T67" s="76"/>
      <c r="U67" s="79"/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/>
      <c r="B68" s="76"/>
      <c r="C68" s="77"/>
      <c r="D68" s="76"/>
      <c r="E68" s="76"/>
      <c r="F68" s="76"/>
      <c r="G68" s="76"/>
      <c r="H68" s="76"/>
      <c r="I68" s="75"/>
      <c r="J68" s="78"/>
      <c r="K68" s="76"/>
      <c r="L68" s="79" t="b">
        <v>0</v>
      </c>
      <c r="M68" s="80" t="str">
        <f t="shared" si="1"/>
        <v/>
      </c>
      <c r="N68" s="131" t="b">
        <v>0</v>
      </c>
      <c r="O68" s="80" t="str">
        <f t="shared" si="2"/>
        <v/>
      </c>
      <c r="P68" s="76"/>
      <c r="Q68" s="76"/>
      <c r="R68" s="76" t="b">
        <v>0</v>
      </c>
      <c r="S68" s="82" t="b">
        <v>0</v>
      </c>
      <c r="T68" s="76"/>
      <c r="U68" s="79"/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/>
      <c r="B69" s="76"/>
      <c r="C69" s="77"/>
      <c r="D69" s="76"/>
      <c r="E69" s="76"/>
      <c r="F69" s="76"/>
      <c r="G69" s="76"/>
      <c r="H69" s="76"/>
      <c r="I69" s="75"/>
      <c r="J69" s="78"/>
      <c r="K69" s="76"/>
      <c r="L69" s="79" t="b">
        <v>0</v>
      </c>
      <c r="M69" s="80" t="str">
        <f t="shared" si="1"/>
        <v/>
      </c>
      <c r="N69" s="131" t="b">
        <v>0</v>
      </c>
      <c r="O69" s="80" t="str">
        <f t="shared" si="2"/>
        <v/>
      </c>
      <c r="P69" s="76"/>
      <c r="Q69" s="76"/>
      <c r="R69" s="76" t="b">
        <v>0</v>
      </c>
      <c r="S69" s="82" t="b">
        <v>0</v>
      </c>
      <c r="T69" s="76"/>
      <c r="U69" s="79"/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/>
      <c r="B70" s="76"/>
      <c r="C70" s="77"/>
      <c r="D70" s="76"/>
      <c r="E70" s="76"/>
      <c r="F70" s="76"/>
      <c r="G70" s="76"/>
      <c r="H70" s="76"/>
      <c r="I70" s="75"/>
      <c r="J70" s="78"/>
      <c r="K70" s="76"/>
      <c r="L70" s="79" t="b">
        <v>0</v>
      </c>
      <c r="M70" s="80" t="str">
        <f t="shared" si="1"/>
        <v/>
      </c>
      <c r="N70" s="131" t="b">
        <v>0</v>
      </c>
      <c r="O70" s="80" t="str">
        <f t="shared" si="2"/>
        <v/>
      </c>
      <c r="P70" s="76"/>
      <c r="Q70" s="76"/>
      <c r="R70" s="76" t="b">
        <v>0</v>
      </c>
      <c r="S70" s="82" t="b">
        <v>0</v>
      </c>
      <c r="T70" s="76"/>
      <c r="U70" s="79"/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/>
      <c r="B71" s="76"/>
      <c r="C71" s="77"/>
      <c r="D71" s="76"/>
      <c r="E71" s="76"/>
      <c r="F71" s="76"/>
      <c r="G71" s="76"/>
      <c r="H71" s="76"/>
      <c r="I71" s="75"/>
      <c r="J71" s="78"/>
      <c r="K71" s="76"/>
      <c r="L71" s="79" t="b">
        <v>0</v>
      </c>
      <c r="M71" s="80" t="str">
        <f t="shared" si="1"/>
        <v/>
      </c>
      <c r="N71" s="131" t="b">
        <v>0</v>
      </c>
      <c r="O71" s="80" t="str">
        <f t="shared" si="2"/>
        <v/>
      </c>
      <c r="P71" s="76"/>
      <c r="Q71" s="76"/>
      <c r="R71" s="76" t="b">
        <v>0</v>
      </c>
      <c r="S71" s="82" t="b">
        <v>0</v>
      </c>
      <c r="T71" s="76"/>
      <c r="U71" s="79"/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/>
      <c r="B72" s="76"/>
      <c r="C72" s="77"/>
      <c r="D72" s="76"/>
      <c r="E72" s="76"/>
      <c r="F72" s="76"/>
      <c r="G72" s="76"/>
      <c r="H72" s="76"/>
      <c r="I72" s="75"/>
      <c r="J72" s="78"/>
      <c r="K72" s="76"/>
      <c r="L72" s="79" t="b">
        <v>0</v>
      </c>
      <c r="M72" s="80" t="str">
        <f t="shared" si="1"/>
        <v/>
      </c>
      <c r="N72" s="131" t="b">
        <v>0</v>
      </c>
      <c r="O72" s="80" t="str">
        <f t="shared" si="2"/>
        <v/>
      </c>
      <c r="P72" s="76"/>
      <c r="Q72" s="76"/>
      <c r="R72" s="76" t="b">
        <v>0</v>
      </c>
      <c r="S72" s="82" t="b">
        <v>0</v>
      </c>
      <c r="T72" s="76"/>
      <c r="U72" s="79"/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/>
      <c r="B73" s="76"/>
      <c r="C73" s="77"/>
      <c r="D73" s="76"/>
      <c r="E73" s="76"/>
      <c r="F73" s="76"/>
      <c r="G73" s="76"/>
      <c r="H73" s="76"/>
      <c r="I73" s="75"/>
      <c r="J73" s="78"/>
      <c r="K73" s="76"/>
      <c r="L73" s="79" t="b">
        <v>0</v>
      </c>
      <c r="M73" s="80" t="str">
        <f t="shared" si="1"/>
        <v/>
      </c>
      <c r="N73" s="131" t="b">
        <v>0</v>
      </c>
      <c r="O73" s="80" t="str">
        <f t="shared" si="2"/>
        <v/>
      </c>
      <c r="P73" s="76"/>
      <c r="Q73" s="76"/>
      <c r="R73" s="76" t="b">
        <v>0</v>
      </c>
      <c r="S73" s="82" t="b">
        <v>0</v>
      </c>
      <c r="T73" s="76"/>
      <c r="U73" s="79"/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/>
      <c r="B74" s="76"/>
      <c r="C74" s="77"/>
      <c r="D74" s="76"/>
      <c r="E74" s="76"/>
      <c r="F74" s="76"/>
      <c r="G74" s="76"/>
      <c r="H74" s="76"/>
      <c r="I74" s="75"/>
      <c r="J74" s="78"/>
      <c r="K74" s="76"/>
      <c r="L74" s="79" t="b">
        <v>0</v>
      </c>
      <c r="M74" s="80" t="str">
        <f t="shared" si="1"/>
        <v/>
      </c>
      <c r="N74" s="131" t="b">
        <v>0</v>
      </c>
      <c r="O74" s="80" t="str">
        <f t="shared" si="2"/>
        <v/>
      </c>
      <c r="P74" s="76"/>
      <c r="Q74" s="76"/>
      <c r="R74" s="76" t="b">
        <v>0</v>
      </c>
      <c r="S74" s="82" t="b">
        <v>0</v>
      </c>
      <c r="T74" s="76"/>
      <c r="U74" s="79"/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/>
      <c r="B75" s="76"/>
      <c r="C75" s="77"/>
      <c r="D75" s="76"/>
      <c r="E75" s="76"/>
      <c r="F75" s="76"/>
      <c r="G75" s="76"/>
      <c r="H75" s="76"/>
      <c r="I75" s="75"/>
      <c r="J75" s="78"/>
      <c r="K75" s="76"/>
      <c r="L75" s="79" t="b">
        <v>0</v>
      </c>
      <c r="M75" s="80" t="str">
        <f t="shared" si="1"/>
        <v/>
      </c>
      <c r="N75" s="131" t="b">
        <v>0</v>
      </c>
      <c r="O75" s="80" t="str">
        <f t="shared" si="2"/>
        <v/>
      </c>
      <c r="P75" s="76"/>
      <c r="Q75" s="76"/>
      <c r="R75" s="76" t="b">
        <v>0</v>
      </c>
      <c r="S75" s="82" t="b">
        <v>0</v>
      </c>
      <c r="T75" s="76"/>
      <c r="U75" s="79"/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/>
      <c r="B76" s="76"/>
      <c r="C76" s="77"/>
      <c r="D76" s="76"/>
      <c r="E76" s="76"/>
      <c r="F76" s="76"/>
      <c r="G76" s="76"/>
      <c r="H76" s="76"/>
      <c r="I76" s="75"/>
      <c r="J76" s="78"/>
      <c r="K76" s="76"/>
      <c r="L76" s="79" t="b">
        <v>0</v>
      </c>
      <c r="M76" s="80" t="str">
        <f t="shared" si="1"/>
        <v/>
      </c>
      <c r="N76" s="131" t="b">
        <v>0</v>
      </c>
      <c r="O76" s="80" t="str">
        <f t="shared" si="2"/>
        <v/>
      </c>
      <c r="P76" s="76"/>
      <c r="Q76" s="76"/>
      <c r="R76" s="76" t="b">
        <v>0</v>
      </c>
      <c r="S76" s="82" t="b">
        <v>0</v>
      </c>
      <c r="T76" s="76"/>
      <c r="U76" s="79"/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/>
      <c r="B77" s="76"/>
      <c r="C77" s="77"/>
      <c r="D77" s="76"/>
      <c r="E77" s="76"/>
      <c r="F77" s="76"/>
      <c r="G77" s="76"/>
      <c r="H77" s="76"/>
      <c r="I77" s="75"/>
      <c r="J77" s="78"/>
      <c r="K77" s="76"/>
      <c r="L77" s="79" t="b">
        <v>0</v>
      </c>
      <c r="M77" s="80" t="str">
        <f t="shared" si="1"/>
        <v/>
      </c>
      <c r="N77" s="131" t="b">
        <v>0</v>
      </c>
      <c r="O77" s="80" t="str">
        <f t="shared" si="2"/>
        <v/>
      </c>
      <c r="P77" s="76"/>
      <c r="Q77" s="76"/>
      <c r="R77" s="76" t="b">
        <v>0</v>
      </c>
      <c r="S77" s="82" t="b">
        <v>0</v>
      </c>
      <c r="T77" s="76"/>
      <c r="U77" s="79"/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/>
      <c r="B78" s="76"/>
      <c r="C78" s="77"/>
      <c r="D78" s="76"/>
      <c r="E78" s="76"/>
      <c r="F78" s="76"/>
      <c r="G78" s="76"/>
      <c r="H78" s="76"/>
      <c r="I78" s="75"/>
      <c r="J78" s="78"/>
      <c r="K78" s="76"/>
      <c r="L78" s="79" t="b">
        <v>0</v>
      </c>
      <c r="M78" s="80" t="str">
        <f t="shared" si="1"/>
        <v/>
      </c>
      <c r="N78" s="131" t="b">
        <v>0</v>
      </c>
      <c r="O78" s="80" t="str">
        <f t="shared" si="2"/>
        <v/>
      </c>
      <c r="P78" s="76"/>
      <c r="Q78" s="76"/>
      <c r="R78" s="76" t="b">
        <v>0</v>
      </c>
      <c r="S78" s="82" t="b">
        <v>0</v>
      </c>
      <c r="T78" s="76"/>
      <c r="U78" s="79"/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76"/>
      <c r="C79" s="77"/>
      <c r="D79" s="76"/>
      <c r="E79" s="76"/>
      <c r="F79" s="76"/>
      <c r="G79" s="76"/>
      <c r="H79" s="76"/>
      <c r="I79" s="75"/>
      <c r="J79" s="78"/>
      <c r="K79" s="76"/>
      <c r="L79" s="79" t="b">
        <v>0</v>
      </c>
      <c r="M79" s="80" t="str">
        <f t="shared" si="1"/>
        <v/>
      </c>
      <c r="N79" s="131" t="b">
        <v>0</v>
      </c>
      <c r="O79" s="80" t="str">
        <f t="shared" si="2"/>
        <v/>
      </c>
      <c r="P79" s="76"/>
      <c r="Q79" s="76"/>
      <c r="R79" s="76" t="b">
        <v>0</v>
      </c>
      <c r="S79" s="82" t="b">
        <v>0</v>
      </c>
      <c r="T79" s="76"/>
      <c r="U79" s="79"/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/>
      <c r="B80" s="76"/>
      <c r="C80" s="77"/>
      <c r="D80" s="76"/>
      <c r="E80" s="76"/>
      <c r="F80" s="76"/>
      <c r="G80" s="76"/>
      <c r="H80" s="76"/>
      <c r="I80" s="75"/>
      <c r="J80" s="78"/>
      <c r="K80" s="76"/>
      <c r="L80" s="79" t="b">
        <v>0</v>
      </c>
      <c r="M80" s="80" t="str">
        <f t="shared" si="1"/>
        <v/>
      </c>
      <c r="N80" s="131" t="b">
        <v>0</v>
      </c>
      <c r="O80" s="80" t="str">
        <f t="shared" si="2"/>
        <v/>
      </c>
      <c r="P80" s="76"/>
      <c r="Q80" s="76"/>
      <c r="R80" s="76" t="b">
        <v>0</v>
      </c>
      <c r="S80" s="82" t="b">
        <v>0</v>
      </c>
      <c r="T80" s="76"/>
      <c r="U80" s="79"/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76"/>
      <c r="C81" s="77"/>
      <c r="D81" s="76"/>
      <c r="E81" s="76"/>
      <c r="F81" s="76"/>
      <c r="G81" s="76"/>
      <c r="H81" s="76"/>
      <c r="I81" s="75"/>
      <c r="J81" s="78"/>
      <c r="K81" s="76"/>
      <c r="L81" s="79" t="b">
        <v>0</v>
      </c>
      <c r="M81" s="80" t="str">
        <f t="shared" si="1"/>
        <v/>
      </c>
      <c r="N81" s="131" t="b">
        <v>0</v>
      </c>
      <c r="O81" s="80" t="str">
        <f t="shared" si="2"/>
        <v/>
      </c>
      <c r="P81" s="76"/>
      <c r="Q81" s="76"/>
      <c r="R81" s="76" t="b">
        <v>0</v>
      </c>
      <c r="S81" s="82" t="b">
        <v>0</v>
      </c>
      <c r="T81" s="76"/>
      <c r="U81" s="79"/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/>
      <c r="B82" s="76"/>
      <c r="C82" s="77"/>
      <c r="D82" s="76"/>
      <c r="E82" s="76"/>
      <c r="F82" s="76"/>
      <c r="G82" s="76"/>
      <c r="H82" s="76"/>
      <c r="I82" s="75"/>
      <c r="J82" s="78"/>
      <c r="K82" s="76"/>
      <c r="L82" s="79" t="b">
        <v>0</v>
      </c>
      <c r="M82" s="80" t="str">
        <f t="shared" si="1"/>
        <v/>
      </c>
      <c r="N82" s="131" t="b">
        <v>0</v>
      </c>
      <c r="O82" s="80" t="str">
        <f t="shared" si="2"/>
        <v/>
      </c>
      <c r="P82" s="76"/>
      <c r="Q82" s="76"/>
      <c r="R82" s="76" t="b">
        <v>0</v>
      </c>
      <c r="S82" s="82" t="b">
        <v>0</v>
      </c>
      <c r="T82" s="76"/>
      <c r="U82" s="79"/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/>
      <c r="B83" s="76"/>
      <c r="C83" s="77"/>
      <c r="D83" s="76"/>
      <c r="E83" s="76"/>
      <c r="F83" s="76"/>
      <c r="G83" s="76"/>
      <c r="H83" s="76"/>
      <c r="I83" s="75"/>
      <c r="J83" s="78"/>
      <c r="K83" s="76"/>
      <c r="L83" s="79" t="b">
        <v>0</v>
      </c>
      <c r="M83" s="80" t="str">
        <f t="shared" si="1"/>
        <v/>
      </c>
      <c r="N83" s="79" t="b">
        <v>0</v>
      </c>
      <c r="O83" s="80" t="str">
        <f t="shared" si="2"/>
        <v/>
      </c>
      <c r="P83" s="76"/>
      <c r="Q83" s="76"/>
      <c r="R83" s="76" t="b">
        <v>0</v>
      </c>
      <c r="S83" s="82" t="b">
        <v>0</v>
      </c>
      <c r="T83" s="76"/>
      <c r="U83" s="79"/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/>
      <c r="B84" s="76"/>
      <c r="C84" s="77"/>
      <c r="D84" s="76"/>
      <c r="E84" s="76"/>
      <c r="F84" s="76"/>
      <c r="G84" s="76"/>
      <c r="H84" s="76"/>
      <c r="I84" s="75"/>
      <c r="J84" s="78"/>
      <c r="K84" s="76"/>
      <c r="L84" s="79" t="b">
        <v>0</v>
      </c>
      <c r="M84" s="80" t="str">
        <f t="shared" si="1"/>
        <v/>
      </c>
      <c r="N84" s="79" t="b">
        <v>0</v>
      </c>
      <c r="O84" s="80" t="str">
        <f t="shared" si="2"/>
        <v/>
      </c>
      <c r="P84" s="76"/>
      <c r="Q84" s="76"/>
      <c r="R84" s="76" t="b">
        <v>0</v>
      </c>
      <c r="S84" s="82" t="b">
        <v>0</v>
      </c>
      <c r="T84" s="76"/>
      <c r="U84" s="79"/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/>
      <c r="B85" s="76"/>
      <c r="C85" s="77"/>
      <c r="D85" s="76"/>
      <c r="E85" s="76"/>
      <c r="F85" s="76"/>
      <c r="G85" s="76"/>
      <c r="H85" s="76"/>
      <c r="I85" s="75"/>
      <c r="J85" s="78"/>
      <c r="K85" s="76"/>
      <c r="L85" s="79" t="b">
        <v>0</v>
      </c>
      <c r="M85" s="80" t="str">
        <f t="shared" si="1"/>
        <v/>
      </c>
      <c r="N85" s="79" t="b">
        <v>0</v>
      </c>
      <c r="O85" s="80" t="str">
        <f t="shared" si="2"/>
        <v/>
      </c>
      <c r="P85" s="76"/>
      <c r="Q85" s="76"/>
      <c r="R85" s="76" t="b">
        <v>0</v>
      </c>
      <c r="S85" s="82" t="b">
        <v>0</v>
      </c>
      <c r="T85" s="76"/>
      <c r="U85" s="79"/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/>
      <c r="B86" s="76"/>
      <c r="C86" s="77"/>
      <c r="D86" s="76"/>
      <c r="E86" s="76"/>
      <c r="F86" s="76"/>
      <c r="G86" s="76"/>
      <c r="H86" s="76"/>
      <c r="I86" s="75"/>
      <c r="J86" s="78"/>
      <c r="K86" s="76"/>
      <c r="L86" s="79" t="b">
        <v>0</v>
      </c>
      <c r="M86" s="80" t="str">
        <f t="shared" si="1"/>
        <v/>
      </c>
      <c r="N86" s="79" t="b">
        <v>0</v>
      </c>
      <c r="O86" s="80" t="str">
        <f t="shared" si="2"/>
        <v/>
      </c>
      <c r="P86" s="76"/>
      <c r="Q86" s="76"/>
      <c r="R86" s="76" t="b">
        <v>0</v>
      </c>
      <c r="S86" s="82" t="b">
        <v>0</v>
      </c>
      <c r="T86" s="76"/>
      <c r="U86" s="79"/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76"/>
      <c r="C87" s="77"/>
      <c r="D87" s="76"/>
      <c r="E87" s="76"/>
      <c r="F87" s="76"/>
      <c r="G87" s="76"/>
      <c r="H87" s="76"/>
      <c r="I87" s="75"/>
      <c r="J87" s="78"/>
      <c r="K87" s="76"/>
      <c r="L87" s="79" t="b">
        <v>0</v>
      </c>
      <c r="M87" s="80" t="str">
        <f t="shared" si="1"/>
        <v/>
      </c>
      <c r="N87" s="79" t="b">
        <v>0</v>
      </c>
      <c r="O87" s="80" t="str">
        <f t="shared" si="2"/>
        <v/>
      </c>
      <c r="P87" s="76"/>
      <c r="Q87" s="76"/>
      <c r="R87" s="76" t="b">
        <v>0</v>
      </c>
      <c r="S87" s="82" t="b">
        <v>0</v>
      </c>
      <c r="T87" s="76"/>
      <c r="U87" s="79"/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/>
      <c r="B88" s="76"/>
      <c r="C88" s="77"/>
      <c r="D88" s="76"/>
      <c r="E88" s="76"/>
      <c r="F88" s="76"/>
      <c r="G88" s="76"/>
      <c r="H88" s="76"/>
      <c r="I88" s="75"/>
      <c r="J88" s="78"/>
      <c r="K88" s="76"/>
      <c r="L88" s="79" t="b">
        <v>0</v>
      </c>
      <c r="M88" s="80" t="str">
        <f t="shared" si="1"/>
        <v/>
      </c>
      <c r="N88" s="79" t="b">
        <v>0</v>
      </c>
      <c r="O88" s="80" t="str">
        <f t="shared" si="2"/>
        <v/>
      </c>
      <c r="P88" s="76"/>
      <c r="Q88" s="76"/>
      <c r="R88" s="76" t="b">
        <v>0</v>
      </c>
      <c r="S88" s="82" t="b">
        <v>0</v>
      </c>
      <c r="T88" s="76"/>
      <c r="U88" s="79"/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76"/>
      <c r="C89" s="77"/>
      <c r="D89" s="76"/>
      <c r="E89" s="76"/>
      <c r="F89" s="76"/>
      <c r="G89" s="76"/>
      <c r="H89" s="76"/>
      <c r="I89" s="75"/>
      <c r="J89" s="78"/>
      <c r="K89" s="76"/>
      <c r="L89" s="79" t="b">
        <v>0</v>
      </c>
      <c r="M89" s="80" t="str">
        <f t="shared" si="1"/>
        <v/>
      </c>
      <c r="N89" s="79" t="b">
        <v>0</v>
      </c>
      <c r="O89" s="80" t="str">
        <f t="shared" si="2"/>
        <v/>
      </c>
      <c r="P89" s="76"/>
      <c r="Q89" s="76"/>
      <c r="R89" s="76" t="b">
        <v>0</v>
      </c>
      <c r="S89" s="82" t="b">
        <v>0</v>
      </c>
      <c r="T89" s="76"/>
      <c r="U89" s="79"/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/>
      <c r="B90" s="76"/>
      <c r="C90" s="77"/>
      <c r="D90" s="76"/>
      <c r="E90" s="76"/>
      <c r="F90" s="76"/>
      <c r="G90" s="76"/>
      <c r="H90" s="76"/>
      <c r="I90" s="75"/>
      <c r="J90" s="78"/>
      <c r="K90" s="76"/>
      <c r="L90" s="79" t="b">
        <v>0</v>
      </c>
      <c r="M90" s="80" t="str">
        <f t="shared" si="1"/>
        <v/>
      </c>
      <c r="N90" s="79" t="b">
        <v>0</v>
      </c>
      <c r="O90" s="80" t="str">
        <f t="shared" si="2"/>
        <v/>
      </c>
      <c r="P90" s="76"/>
      <c r="Q90" s="76"/>
      <c r="R90" s="76" t="b">
        <v>0</v>
      </c>
      <c r="S90" s="82" t="b">
        <v>0</v>
      </c>
      <c r="T90" s="76"/>
      <c r="U90" s="79"/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76"/>
      <c r="C91" s="77"/>
      <c r="D91" s="76"/>
      <c r="E91" s="76"/>
      <c r="F91" s="76"/>
      <c r="G91" s="76"/>
      <c r="H91" s="76"/>
      <c r="I91" s="75"/>
      <c r="J91" s="78"/>
      <c r="K91" s="76"/>
      <c r="L91" s="79" t="b">
        <v>0</v>
      </c>
      <c r="M91" s="80" t="str">
        <f t="shared" si="1"/>
        <v/>
      </c>
      <c r="N91" s="79" t="b">
        <v>0</v>
      </c>
      <c r="O91" s="80" t="str">
        <f t="shared" si="2"/>
        <v/>
      </c>
      <c r="P91" s="76"/>
      <c r="Q91" s="76"/>
      <c r="R91" s="76" t="b">
        <v>0</v>
      </c>
      <c r="S91" s="82" t="b">
        <v>0</v>
      </c>
      <c r="T91" s="76"/>
      <c r="U91" s="79"/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76"/>
      <c r="C92" s="77"/>
      <c r="D92" s="76"/>
      <c r="E92" s="76"/>
      <c r="F92" s="76"/>
      <c r="G92" s="76"/>
      <c r="H92" s="76"/>
      <c r="I92" s="75"/>
      <c r="J92" s="78"/>
      <c r="K92" s="76"/>
      <c r="L92" s="79" t="b">
        <v>0</v>
      </c>
      <c r="M92" s="80" t="str">
        <f t="shared" si="1"/>
        <v/>
      </c>
      <c r="N92" s="79" t="b">
        <v>0</v>
      </c>
      <c r="O92" s="80" t="str">
        <f t="shared" si="2"/>
        <v/>
      </c>
      <c r="P92" s="76"/>
      <c r="Q92" s="76"/>
      <c r="R92" s="76" t="b">
        <v>0</v>
      </c>
      <c r="S92" s="82" t="b">
        <v>0</v>
      </c>
      <c r="T92" s="76"/>
      <c r="U92" s="79"/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76"/>
      <c r="C93" s="77"/>
      <c r="D93" s="76"/>
      <c r="E93" s="76"/>
      <c r="F93" s="76"/>
      <c r="G93" s="76"/>
      <c r="H93" s="76"/>
      <c r="I93" s="75"/>
      <c r="J93" s="78"/>
      <c r="K93" s="76"/>
      <c r="L93" s="79" t="b">
        <v>0</v>
      </c>
      <c r="M93" s="80" t="str">
        <f t="shared" si="1"/>
        <v/>
      </c>
      <c r="N93" s="79" t="b">
        <v>0</v>
      </c>
      <c r="O93" s="80" t="str">
        <f t="shared" si="2"/>
        <v/>
      </c>
      <c r="P93" s="76"/>
      <c r="Q93" s="76"/>
      <c r="R93" s="76" t="b">
        <v>0</v>
      </c>
      <c r="S93" s="82" t="b">
        <v>0</v>
      </c>
      <c r="T93" s="76"/>
      <c r="U93" s="79"/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/>
      <c r="B94" s="76"/>
      <c r="C94" s="77"/>
      <c r="D94" s="76"/>
      <c r="E94" s="76"/>
      <c r="F94" s="76"/>
      <c r="G94" s="76"/>
      <c r="H94" s="76"/>
      <c r="I94" s="75"/>
      <c r="J94" s="78"/>
      <c r="K94" s="76"/>
      <c r="L94" s="79" t="b">
        <v>0</v>
      </c>
      <c r="M94" s="80" t="str">
        <f t="shared" si="1"/>
        <v/>
      </c>
      <c r="N94" s="79" t="b">
        <v>0</v>
      </c>
      <c r="O94" s="80" t="str">
        <f t="shared" si="2"/>
        <v/>
      </c>
      <c r="P94" s="76"/>
      <c r="Q94" s="76"/>
      <c r="R94" s="76" t="b">
        <v>0</v>
      </c>
      <c r="S94" s="82" t="b">
        <v>0</v>
      </c>
      <c r="T94" s="76"/>
      <c r="U94" s="79"/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/>
      <c r="B95" s="76"/>
      <c r="C95" s="77"/>
      <c r="D95" s="76"/>
      <c r="E95" s="76"/>
      <c r="F95" s="76"/>
      <c r="G95" s="76"/>
      <c r="H95" s="76"/>
      <c r="I95" s="75"/>
      <c r="J95" s="78"/>
      <c r="K95" s="76"/>
      <c r="L95" s="79" t="b">
        <v>0</v>
      </c>
      <c r="M95" s="80" t="str">
        <f t="shared" si="1"/>
        <v/>
      </c>
      <c r="N95" s="79" t="b">
        <v>0</v>
      </c>
      <c r="O95" s="80" t="str">
        <f t="shared" si="2"/>
        <v/>
      </c>
      <c r="P95" s="76"/>
      <c r="Q95" s="76"/>
      <c r="R95" s="76" t="b">
        <v>0</v>
      </c>
      <c r="S95" s="82" t="b">
        <v>0</v>
      </c>
      <c r="T95" s="76"/>
      <c r="U95" s="79"/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76"/>
      <c r="C96" s="77"/>
      <c r="D96" s="76"/>
      <c r="E96" s="76"/>
      <c r="F96" s="76"/>
      <c r="G96" s="76"/>
      <c r="H96" s="76"/>
      <c r="I96" s="75"/>
      <c r="J96" s="78"/>
      <c r="K96" s="76"/>
      <c r="L96" s="79" t="b">
        <v>0</v>
      </c>
      <c r="M96" s="80" t="str">
        <f t="shared" si="1"/>
        <v/>
      </c>
      <c r="N96" s="79" t="b">
        <v>0</v>
      </c>
      <c r="O96" s="80" t="str">
        <f t="shared" si="2"/>
        <v/>
      </c>
      <c r="P96" s="76"/>
      <c r="Q96" s="76"/>
      <c r="R96" s="76" t="b">
        <v>0</v>
      </c>
      <c r="S96" s="82" t="b">
        <v>0</v>
      </c>
      <c r="T96" s="76"/>
      <c r="U96" s="79"/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76"/>
      <c r="C97" s="77"/>
      <c r="D97" s="76"/>
      <c r="E97" s="76"/>
      <c r="F97" s="76"/>
      <c r="G97" s="76"/>
      <c r="H97" s="76"/>
      <c r="I97" s="75"/>
      <c r="J97" s="78"/>
      <c r="K97" s="76"/>
      <c r="L97" s="79" t="b">
        <v>0</v>
      </c>
      <c r="M97" s="80" t="str">
        <f t="shared" si="1"/>
        <v/>
      </c>
      <c r="N97" s="79" t="b">
        <v>0</v>
      </c>
      <c r="O97" s="80" t="str">
        <f t="shared" si="2"/>
        <v/>
      </c>
      <c r="P97" s="76"/>
      <c r="Q97" s="76"/>
      <c r="R97" s="76" t="b">
        <v>0</v>
      </c>
      <c r="S97" s="82" t="b">
        <v>0</v>
      </c>
      <c r="T97" s="76"/>
      <c r="U97" s="79"/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76"/>
      <c r="C98" s="77"/>
      <c r="D98" s="76"/>
      <c r="E98" s="76"/>
      <c r="F98" s="76"/>
      <c r="G98" s="76"/>
      <c r="H98" s="76"/>
      <c r="I98" s="75"/>
      <c r="J98" s="78"/>
      <c r="K98" s="76"/>
      <c r="L98" s="79" t="b">
        <v>0</v>
      </c>
      <c r="M98" s="80" t="str">
        <f t="shared" si="1"/>
        <v/>
      </c>
      <c r="N98" s="79" t="b">
        <v>0</v>
      </c>
      <c r="O98" s="80" t="str">
        <f t="shared" si="2"/>
        <v/>
      </c>
      <c r="P98" s="76"/>
      <c r="Q98" s="76"/>
      <c r="R98" s="76" t="b">
        <v>0</v>
      </c>
      <c r="S98" s="82" t="b">
        <v>0</v>
      </c>
      <c r="T98" s="76"/>
      <c r="U98" s="79"/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76"/>
      <c r="C99" s="77"/>
      <c r="D99" s="76"/>
      <c r="E99" s="76"/>
      <c r="F99" s="76"/>
      <c r="G99" s="76"/>
      <c r="H99" s="76"/>
      <c r="I99" s="75"/>
      <c r="J99" s="78"/>
      <c r="K99" s="76"/>
      <c r="L99" s="79" t="b">
        <v>0</v>
      </c>
      <c r="M99" s="80" t="str">
        <f t="shared" si="1"/>
        <v/>
      </c>
      <c r="N99" s="79" t="b">
        <v>0</v>
      </c>
      <c r="O99" s="80" t="str">
        <f t="shared" si="2"/>
        <v/>
      </c>
      <c r="P99" s="76"/>
      <c r="Q99" s="76"/>
      <c r="R99" s="76" t="b">
        <v>0</v>
      </c>
      <c r="S99" s="82" t="b">
        <v>0</v>
      </c>
      <c r="T99" s="76"/>
      <c r="U99" s="79"/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76"/>
      <c r="C100" s="77"/>
      <c r="D100" s="76"/>
      <c r="E100" s="76"/>
      <c r="F100" s="76"/>
      <c r="G100" s="76"/>
      <c r="H100" s="76"/>
      <c r="I100" s="75"/>
      <c r="J100" s="78"/>
      <c r="K100" s="76"/>
      <c r="L100" s="79" t="b">
        <v>0</v>
      </c>
      <c r="M100" s="80" t="str">
        <f t="shared" si="1"/>
        <v/>
      </c>
      <c r="N100" s="79" t="b">
        <v>0</v>
      </c>
      <c r="O100" s="80" t="str">
        <f t="shared" si="2"/>
        <v/>
      </c>
      <c r="P100" s="76"/>
      <c r="Q100" s="76"/>
      <c r="R100" s="76" t="b">
        <v>0</v>
      </c>
      <c r="S100" s="82" t="b">
        <v>0</v>
      </c>
      <c r="T100" s="76"/>
      <c r="U100" s="79"/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76"/>
      <c r="C101" s="77"/>
      <c r="D101" s="76"/>
      <c r="E101" s="76"/>
      <c r="F101" s="76"/>
      <c r="G101" s="76"/>
      <c r="H101" s="76"/>
      <c r="I101" s="75"/>
      <c r="J101" s="78"/>
      <c r="K101" s="76"/>
      <c r="L101" s="79" t="b">
        <v>0</v>
      </c>
      <c r="M101" s="80" t="str">
        <f t="shared" si="1"/>
        <v/>
      </c>
      <c r="N101" s="79" t="b">
        <v>0</v>
      </c>
      <c r="O101" s="80" t="str">
        <f t="shared" si="2"/>
        <v/>
      </c>
      <c r="P101" s="76"/>
      <c r="Q101" s="76"/>
      <c r="R101" s="76" t="b">
        <v>0</v>
      </c>
      <c r="S101" s="82" t="b">
        <v>0</v>
      </c>
      <c r="T101" s="76"/>
      <c r="U101" s="79"/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76"/>
      <c r="C102" s="77"/>
      <c r="D102" s="76"/>
      <c r="E102" s="76"/>
      <c r="F102" s="76"/>
      <c r="G102" s="76"/>
      <c r="H102" s="76"/>
      <c r="I102" s="75"/>
      <c r="J102" s="78"/>
      <c r="K102" s="76"/>
      <c r="L102" s="79" t="b">
        <v>0</v>
      </c>
      <c r="M102" s="80" t="str">
        <f t="shared" si="1"/>
        <v/>
      </c>
      <c r="N102" s="79" t="b">
        <v>0</v>
      </c>
      <c r="O102" s="80" t="str">
        <f t="shared" si="2"/>
        <v/>
      </c>
      <c r="P102" s="76"/>
      <c r="Q102" s="76"/>
      <c r="R102" s="76" t="b">
        <v>0</v>
      </c>
      <c r="S102" s="82" t="b">
        <v>0</v>
      </c>
      <c r="T102" s="76"/>
      <c r="U102" s="79"/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76"/>
      <c r="C103" s="77"/>
      <c r="D103" s="76"/>
      <c r="E103" s="76"/>
      <c r="F103" s="76"/>
      <c r="G103" s="76"/>
      <c r="H103" s="76"/>
      <c r="I103" s="75"/>
      <c r="J103" s="78"/>
      <c r="K103" s="76"/>
      <c r="L103" s="79" t="b">
        <v>0</v>
      </c>
      <c r="M103" s="80" t="str">
        <f t="shared" si="1"/>
        <v/>
      </c>
      <c r="N103" s="79" t="b">
        <v>0</v>
      </c>
      <c r="O103" s="80" t="str">
        <f t="shared" si="2"/>
        <v/>
      </c>
      <c r="P103" s="76"/>
      <c r="Q103" s="76"/>
      <c r="R103" s="76" t="b">
        <v>0</v>
      </c>
      <c r="S103" s="82" t="b">
        <v>0</v>
      </c>
      <c r="T103" s="76"/>
      <c r="U103" s="79"/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76"/>
      <c r="C104" s="77"/>
      <c r="D104" s="76"/>
      <c r="E104" s="76"/>
      <c r="F104" s="76"/>
      <c r="G104" s="76"/>
      <c r="H104" s="76"/>
      <c r="I104" s="75"/>
      <c r="J104" s="78"/>
      <c r="K104" s="76"/>
      <c r="L104" s="79" t="b">
        <v>0</v>
      </c>
      <c r="M104" s="80" t="str">
        <f t="shared" si="1"/>
        <v/>
      </c>
      <c r="N104" s="79" t="b">
        <v>0</v>
      </c>
      <c r="O104" s="80" t="str">
        <f t="shared" si="2"/>
        <v/>
      </c>
      <c r="P104" s="76"/>
      <c r="Q104" s="76"/>
      <c r="R104" s="76" t="b">
        <v>0</v>
      </c>
      <c r="S104" s="82" t="b">
        <v>0</v>
      </c>
      <c r="T104" s="76"/>
      <c r="U104" s="79"/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76"/>
      <c r="C105" s="77"/>
      <c r="D105" s="76"/>
      <c r="E105" s="76"/>
      <c r="F105" s="76"/>
      <c r="G105" s="76"/>
      <c r="H105" s="76"/>
      <c r="I105" s="75"/>
      <c r="J105" s="78"/>
      <c r="K105" s="76"/>
      <c r="L105" s="79" t="b">
        <v>0</v>
      </c>
      <c r="M105" s="80" t="str">
        <f t="shared" si="1"/>
        <v/>
      </c>
      <c r="N105" s="79" t="b">
        <v>0</v>
      </c>
      <c r="O105" s="80" t="str">
        <f t="shared" si="2"/>
        <v/>
      </c>
      <c r="P105" s="76"/>
      <c r="Q105" s="76"/>
      <c r="R105" s="76" t="b">
        <v>0</v>
      </c>
      <c r="S105" s="82" t="b">
        <v>0</v>
      </c>
      <c r="T105" s="76"/>
      <c r="U105" s="79"/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/>
      <c r="B106" s="76"/>
      <c r="C106" s="77"/>
      <c r="D106" s="76"/>
      <c r="E106" s="76"/>
      <c r="F106" s="76"/>
      <c r="G106" s="76"/>
      <c r="H106" s="76"/>
      <c r="I106" s="75"/>
      <c r="J106" s="78"/>
      <c r="K106" s="76"/>
      <c r="L106" s="79" t="b">
        <v>0</v>
      </c>
      <c r="M106" s="80" t="str">
        <f t="shared" si="1"/>
        <v/>
      </c>
      <c r="N106" s="79" t="b">
        <v>0</v>
      </c>
      <c r="O106" s="80" t="str">
        <f t="shared" si="2"/>
        <v/>
      </c>
      <c r="P106" s="76"/>
      <c r="Q106" s="76"/>
      <c r="R106" s="76" t="b">
        <v>0</v>
      </c>
      <c r="S106" s="82" t="b">
        <v>0</v>
      </c>
      <c r="T106" s="76"/>
      <c r="U106" s="79"/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/>
      <c r="B107" s="76"/>
      <c r="C107" s="77"/>
      <c r="D107" s="76"/>
      <c r="E107" s="76"/>
      <c r="F107" s="76"/>
      <c r="G107" s="76"/>
      <c r="H107" s="76"/>
      <c r="I107" s="75"/>
      <c r="J107" s="78"/>
      <c r="K107" s="76"/>
      <c r="L107" s="79" t="b">
        <v>0</v>
      </c>
      <c r="M107" s="80" t="str">
        <f t="shared" si="1"/>
        <v/>
      </c>
      <c r="N107" s="79" t="b">
        <v>0</v>
      </c>
      <c r="O107" s="80" t="str">
        <f t="shared" si="2"/>
        <v/>
      </c>
      <c r="P107" s="76"/>
      <c r="Q107" s="76"/>
      <c r="R107" s="76" t="b">
        <v>0</v>
      </c>
      <c r="S107" s="82" t="b">
        <v>0</v>
      </c>
      <c r="T107" s="76"/>
      <c r="U107" s="79"/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/>
      <c r="B108" s="76"/>
      <c r="C108" s="77"/>
      <c r="D108" s="76"/>
      <c r="E108" s="76"/>
      <c r="F108" s="76"/>
      <c r="G108" s="76"/>
      <c r="H108" s="76"/>
      <c r="I108" s="75"/>
      <c r="J108" s="78"/>
      <c r="K108" s="76"/>
      <c r="L108" s="79" t="b">
        <v>0</v>
      </c>
      <c r="M108" s="80" t="str">
        <f t="shared" si="1"/>
        <v/>
      </c>
      <c r="N108" s="79" t="b">
        <v>0</v>
      </c>
      <c r="O108" s="80" t="str">
        <f t="shared" si="2"/>
        <v/>
      </c>
      <c r="P108" s="76"/>
      <c r="Q108" s="76"/>
      <c r="R108" s="76" t="b">
        <v>0</v>
      </c>
      <c r="S108" s="82" t="b">
        <v>0</v>
      </c>
      <c r="T108" s="76"/>
      <c r="U108" s="79"/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/>
      <c r="B109" s="76"/>
      <c r="C109" s="77"/>
      <c r="D109" s="76"/>
      <c r="E109" s="76"/>
      <c r="F109" s="76"/>
      <c r="G109" s="76"/>
      <c r="H109" s="76"/>
      <c r="I109" s="75"/>
      <c r="J109" s="78"/>
      <c r="K109" s="76"/>
      <c r="L109" s="79" t="b">
        <v>0</v>
      </c>
      <c r="M109" s="80" t="str">
        <f t="shared" si="1"/>
        <v/>
      </c>
      <c r="N109" s="79" t="b">
        <v>0</v>
      </c>
      <c r="O109" s="80" t="str">
        <f t="shared" si="2"/>
        <v/>
      </c>
      <c r="P109" s="76"/>
      <c r="Q109" s="76"/>
      <c r="R109" s="76" t="b">
        <v>0</v>
      </c>
      <c r="S109" s="82" t="b">
        <v>0</v>
      </c>
      <c r="T109" s="76"/>
      <c r="U109" s="79"/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/>
      <c r="B110" s="76"/>
      <c r="C110" s="77"/>
      <c r="D110" s="76"/>
      <c r="E110" s="76"/>
      <c r="F110" s="76"/>
      <c r="G110" s="76"/>
      <c r="H110" s="76"/>
      <c r="I110" s="75"/>
      <c r="J110" s="78"/>
      <c r="K110" s="76"/>
      <c r="L110" s="79" t="b">
        <v>0</v>
      </c>
      <c r="M110" s="80" t="str">
        <f t="shared" si="1"/>
        <v/>
      </c>
      <c r="N110" s="79" t="b">
        <v>0</v>
      </c>
      <c r="O110" s="80" t="str">
        <f t="shared" si="2"/>
        <v/>
      </c>
      <c r="P110" s="76"/>
      <c r="Q110" s="76"/>
      <c r="R110" s="76" t="b">
        <v>0</v>
      </c>
      <c r="S110" s="82" t="b">
        <v>0</v>
      </c>
      <c r="T110" s="76"/>
      <c r="U110" s="79"/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/>
      <c r="B111" s="76"/>
      <c r="C111" s="77"/>
      <c r="D111" s="76"/>
      <c r="E111" s="76"/>
      <c r="F111" s="76"/>
      <c r="G111" s="76"/>
      <c r="H111" s="76"/>
      <c r="I111" s="75"/>
      <c r="J111" s="78"/>
      <c r="K111" s="76"/>
      <c r="L111" s="79" t="b">
        <v>0</v>
      </c>
      <c r="M111" s="80" t="str">
        <f t="shared" si="1"/>
        <v/>
      </c>
      <c r="N111" s="79" t="b">
        <v>0</v>
      </c>
      <c r="O111" s="80" t="str">
        <f t="shared" si="2"/>
        <v/>
      </c>
      <c r="P111" s="76"/>
      <c r="Q111" s="76"/>
      <c r="R111" s="76" t="b">
        <v>0</v>
      </c>
      <c r="S111" s="82" t="b">
        <v>0</v>
      </c>
      <c r="T111" s="76"/>
      <c r="U111" s="79"/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/>
      <c r="B112" s="76"/>
      <c r="C112" s="77"/>
      <c r="D112" s="76"/>
      <c r="E112" s="76"/>
      <c r="F112" s="76"/>
      <c r="G112" s="76"/>
      <c r="H112" s="76"/>
      <c r="I112" s="75"/>
      <c r="J112" s="78"/>
      <c r="K112" s="76"/>
      <c r="L112" s="79" t="b">
        <v>0</v>
      </c>
      <c r="M112" s="80" t="str">
        <f t="shared" si="1"/>
        <v/>
      </c>
      <c r="N112" s="79" t="b">
        <v>0</v>
      </c>
      <c r="O112" s="80" t="str">
        <f t="shared" si="2"/>
        <v/>
      </c>
      <c r="P112" s="76"/>
      <c r="Q112" s="76"/>
      <c r="R112" s="76" t="b">
        <v>0</v>
      </c>
      <c r="S112" s="82" t="b">
        <v>0</v>
      </c>
      <c r="T112" s="76"/>
      <c r="U112" s="79"/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/>
      <c r="B113" s="76"/>
      <c r="C113" s="77"/>
      <c r="D113" s="76"/>
      <c r="E113" s="76"/>
      <c r="F113" s="76"/>
      <c r="G113" s="76"/>
      <c r="H113" s="76"/>
      <c r="I113" s="75"/>
      <c r="J113" s="78"/>
      <c r="K113" s="76"/>
      <c r="L113" s="79" t="b">
        <v>0</v>
      </c>
      <c r="M113" s="80" t="str">
        <f t="shared" si="1"/>
        <v/>
      </c>
      <c r="N113" s="79" t="b">
        <v>0</v>
      </c>
      <c r="O113" s="80" t="str">
        <f t="shared" si="2"/>
        <v/>
      </c>
      <c r="P113" s="76"/>
      <c r="Q113" s="76"/>
      <c r="R113" s="76" t="b">
        <v>0</v>
      </c>
      <c r="S113" s="82" t="b">
        <v>0</v>
      </c>
      <c r="T113" s="76"/>
      <c r="U113" s="79"/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/>
      <c r="B114" s="91"/>
      <c r="C114" s="92"/>
      <c r="D114" s="136"/>
      <c r="E114" s="94"/>
      <c r="F114" s="136"/>
      <c r="G114" s="137"/>
      <c r="H114" s="91"/>
      <c r="I114" s="75"/>
      <c r="J114" s="78"/>
      <c r="K114" s="76"/>
      <c r="L114" s="79" t="b">
        <v>0</v>
      </c>
      <c r="M114" s="80" t="str">
        <f t="shared" si="1"/>
        <v/>
      </c>
      <c r="N114" s="79" t="b">
        <v>0</v>
      </c>
      <c r="O114" s="80" t="str">
        <f t="shared" si="2"/>
        <v/>
      </c>
      <c r="P114" s="76"/>
      <c r="Q114" s="76"/>
      <c r="R114" s="76" t="b">
        <v>0</v>
      </c>
      <c r="S114" s="82" t="b">
        <v>0</v>
      </c>
      <c r="T114" s="76"/>
      <c r="U114" s="79"/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/>
      <c r="B115" s="76"/>
      <c r="C115" s="77"/>
      <c r="D115" s="76"/>
      <c r="E115" s="76"/>
      <c r="F115" s="76"/>
      <c r="G115" s="76"/>
      <c r="H115" s="76"/>
      <c r="I115" s="75"/>
      <c r="J115" s="78"/>
      <c r="K115" s="76"/>
      <c r="L115" s="79" t="b">
        <v>0</v>
      </c>
      <c r="M115" s="80" t="str">
        <f t="shared" si="1"/>
        <v/>
      </c>
      <c r="N115" s="79" t="b">
        <v>0</v>
      </c>
      <c r="O115" s="80" t="str">
        <f t="shared" si="2"/>
        <v/>
      </c>
      <c r="P115" s="76"/>
      <c r="Q115" s="76"/>
      <c r="R115" s="76" t="b">
        <v>0</v>
      </c>
      <c r="S115" s="82" t="b">
        <v>0</v>
      </c>
      <c r="T115" s="76"/>
      <c r="U115" s="79"/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/>
      <c r="B116" s="76"/>
      <c r="C116" s="77"/>
      <c r="D116" s="76"/>
      <c r="E116" s="76"/>
      <c r="F116" s="76"/>
      <c r="G116" s="76"/>
      <c r="H116" s="76"/>
      <c r="I116" s="75"/>
      <c r="J116" s="78"/>
      <c r="K116" s="76"/>
      <c r="L116" s="79" t="b">
        <v>0</v>
      </c>
      <c r="M116" s="80" t="str">
        <f t="shared" si="1"/>
        <v/>
      </c>
      <c r="N116" s="79" t="b">
        <v>0</v>
      </c>
      <c r="O116" s="80" t="str">
        <f t="shared" si="2"/>
        <v/>
      </c>
      <c r="P116" s="76"/>
      <c r="Q116" s="76"/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/>
      <c r="B117" s="76"/>
      <c r="C117" s="77"/>
      <c r="D117" s="76"/>
      <c r="E117" s="76"/>
      <c r="F117" s="76"/>
      <c r="G117" s="76"/>
      <c r="H117" s="76"/>
      <c r="I117" s="75"/>
      <c r="J117" s="78"/>
      <c r="K117" s="76"/>
      <c r="L117" s="79" t="b">
        <v>0</v>
      </c>
      <c r="M117" s="80" t="str">
        <f t="shared" si="1"/>
        <v/>
      </c>
      <c r="N117" s="79" t="b">
        <v>0</v>
      </c>
      <c r="O117" s="80" t="str">
        <f t="shared" si="2"/>
        <v/>
      </c>
      <c r="P117" s="76"/>
      <c r="Q117" s="76"/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/>
      <c r="B118" s="76"/>
      <c r="C118" s="77"/>
      <c r="D118" s="76"/>
      <c r="E118" s="76"/>
      <c r="F118" s="76"/>
      <c r="G118" s="76"/>
      <c r="H118" s="76"/>
      <c r="I118" s="75"/>
      <c r="J118" s="78"/>
      <c r="K118" s="76"/>
      <c r="L118" s="79" t="b">
        <v>0</v>
      </c>
      <c r="M118" s="80" t="str">
        <f t="shared" si="1"/>
        <v/>
      </c>
      <c r="N118" s="79" t="b">
        <v>0</v>
      </c>
      <c r="O118" s="80" t="str">
        <f t="shared" si="2"/>
        <v/>
      </c>
      <c r="P118" s="76"/>
      <c r="Q118" s="76"/>
      <c r="R118" s="76" t="b">
        <v>0</v>
      </c>
      <c r="S118" s="82" t="b">
        <v>0</v>
      </c>
      <c r="T118" s="76"/>
      <c r="U118" s="79"/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/>
      <c r="B119" s="76"/>
      <c r="C119" s="77"/>
      <c r="D119" s="76"/>
      <c r="E119" s="76"/>
      <c r="F119" s="76"/>
      <c r="G119" s="76"/>
      <c r="H119" s="76"/>
      <c r="I119" s="75"/>
      <c r="J119" s="78"/>
      <c r="K119" s="76"/>
      <c r="L119" s="79" t="b">
        <v>0</v>
      </c>
      <c r="M119" s="80" t="str">
        <f t="shared" si="1"/>
        <v/>
      </c>
      <c r="N119" s="79" t="b">
        <v>0</v>
      </c>
      <c r="O119" s="80" t="str">
        <f t="shared" si="2"/>
        <v/>
      </c>
      <c r="P119" s="76"/>
      <c r="Q119" s="76"/>
      <c r="R119" s="76" t="b">
        <v>0</v>
      </c>
      <c r="S119" s="82" t="b">
        <v>0</v>
      </c>
      <c r="T119" s="76"/>
      <c r="U119" s="79"/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/>
      <c r="B120" s="76"/>
      <c r="C120" s="77"/>
      <c r="D120" s="76"/>
      <c r="E120" s="76"/>
      <c r="F120" s="76"/>
      <c r="G120" s="76"/>
      <c r="H120" s="76"/>
      <c r="I120" s="75"/>
      <c r="J120" s="78"/>
      <c r="K120" s="76"/>
      <c r="L120" s="79" t="b">
        <v>0</v>
      </c>
      <c r="M120" s="80" t="str">
        <f t="shared" si="1"/>
        <v/>
      </c>
      <c r="N120" s="79" t="b">
        <v>0</v>
      </c>
      <c r="O120" s="80" t="str">
        <f t="shared" si="2"/>
        <v/>
      </c>
      <c r="P120" s="76"/>
      <c r="Q120" s="76"/>
      <c r="R120" s="76" t="b">
        <v>0</v>
      </c>
      <c r="S120" s="82" t="b">
        <v>0</v>
      </c>
      <c r="T120" s="76"/>
      <c r="U120" s="79"/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/>
      <c r="B121" s="76"/>
      <c r="C121" s="77"/>
      <c r="D121" s="76"/>
      <c r="E121" s="76"/>
      <c r="F121" s="76"/>
      <c r="G121" s="76"/>
      <c r="H121" s="76"/>
      <c r="I121" s="75"/>
      <c r="J121" s="78"/>
      <c r="K121" s="76"/>
      <c r="L121" s="79" t="b">
        <v>0</v>
      </c>
      <c r="M121" s="80" t="str">
        <f t="shared" si="1"/>
        <v/>
      </c>
      <c r="N121" s="79" t="b">
        <v>0</v>
      </c>
      <c r="O121" s="80" t="str">
        <f t="shared" si="2"/>
        <v/>
      </c>
      <c r="P121" s="76"/>
      <c r="Q121" s="76"/>
      <c r="R121" s="76" t="b">
        <v>0</v>
      </c>
      <c r="S121" s="82" t="b">
        <v>0</v>
      </c>
      <c r="T121" s="76"/>
      <c r="U121" s="79"/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/>
      <c r="B122" s="76"/>
      <c r="C122" s="77"/>
      <c r="D122" s="76"/>
      <c r="E122" s="76"/>
      <c r="F122" s="76"/>
      <c r="G122" s="76"/>
      <c r="H122" s="76"/>
      <c r="I122" s="75"/>
      <c r="J122" s="78"/>
      <c r="K122" s="76"/>
      <c r="L122" s="79" t="b">
        <v>0</v>
      </c>
      <c r="M122" s="80" t="str">
        <f t="shared" si="1"/>
        <v/>
      </c>
      <c r="N122" s="79" t="b">
        <v>0</v>
      </c>
      <c r="O122" s="80" t="str">
        <f t="shared" si="2"/>
        <v/>
      </c>
      <c r="P122" s="76"/>
      <c r="Q122" s="76"/>
      <c r="R122" s="76" t="b">
        <v>0</v>
      </c>
      <c r="S122" s="82" t="b">
        <v>0</v>
      </c>
      <c r="T122" s="76"/>
      <c r="U122" s="79"/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/>
      <c r="B123" s="76"/>
      <c r="C123" s="77"/>
      <c r="D123" s="76"/>
      <c r="E123" s="76"/>
      <c r="F123" s="76"/>
      <c r="G123" s="76"/>
      <c r="H123" s="76"/>
      <c r="I123" s="75"/>
      <c r="J123" s="78"/>
      <c r="K123" s="76"/>
      <c r="L123" s="79" t="b">
        <v>0</v>
      </c>
      <c r="M123" s="80" t="str">
        <f t="shared" si="1"/>
        <v/>
      </c>
      <c r="N123" s="79" t="b">
        <v>0</v>
      </c>
      <c r="O123" s="80" t="str">
        <f t="shared" si="2"/>
        <v/>
      </c>
      <c r="P123" s="76"/>
      <c r="Q123" s="76"/>
      <c r="R123" s="76" t="b">
        <v>0</v>
      </c>
      <c r="S123" s="82" t="b">
        <v>0</v>
      </c>
      <c r="T123" s="76"/>
      <c r="U123" s="79"/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/>
      <c r="B124" s="76"/>
      <c r="C124" s="77"/>
      <c r="D124" s="76"/>
      <c r="E124" s="76"/>
      <c r="F124" s="76"/>
      <c r="G124" s="76"/>
      <c r="H124" s="76"/>
      <c r="I124" s="75"/>
      <c r="J124" s="78"/>
      <c r="K124" s="76"/>
      <c r="L124" s="79" t="b">
        <v>0</v>
      </c>
      <c r="M124" s="80" t="str">
        <f t="shared" si="1"/>
        <v/>
      </c>
      <c r="N124" s="79" t="b">
        <v>0</v>
      </c>
      <c r="O124" s="80" t="str">
        <f t="shared" si="2"/>
        <v/>
      </c>
      <c r="P124" s="76"/>
      <c r="Q124" s="76"/>
      <c r="R124" s="76" t="b">
        <v>0</v>
      </c>
      <c r="S124" s="82" t="b">
        <v>0</v>
      </c>
      <c r="T124" s="76"/>
      <c r="U124" s="79"/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/>
      <c r="B125" s="76"/>
      <c r="C125" s="77"/>
      <c r="D125" s="76"/>
      <c r="E125" s="76"/>
      <c r="F125" s="76"/>
      <c r="G125" s="76"/>
      <c r="H125" s="76"/>
      <c r="I125" s="75"/>
      <c r="J125" s="78"/>
      <c r="K125" s="76"/>
      <c r="L125" s="79" t="b">
        <v>0</v>
      </c>
      <c r="M125" s="80" t="str">
        <f t="shared" si="1"/>
        <v/>
      </c>
      <c r="N125" s="79" t="b">
        <v>0</v>
      </c>
      <c r="O125" s="80" t="str">
        <f t="shared" si="2"/>
        <v/>
      </c>
      <c r="P125" s="76"/>
      <c r="Q125" s="76"/>
      <c r="R125" s="76" t="b">
        <v>0</v>
      </c>
      <c r="S125" s="82" t="b">
        <v>0</v>
      </c>
      <c r="T125" s="76"/>
      <c r="U125" s="79"/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 t="b">
        <v>0</v>
      </c>
      <c r="M126" s="80" t="str">
        <f t="shared" si="1"/>
        <v/>
      </c>
      <c r="N126" s="79" t="b">
        <v>0</v>
      </c>
      <c r="O126" s="80" t="str">
        <f t="shared" si="2"/>
        <v/>
      </c>
      <c r="P126" s="76"/>
      <c r="Q126" s="76"/>
      <c r="R126" s="76" t="b">
        <v>0</v>
      </c>
      <c r="S126" s="82" t="b">
        <v>0</v>
      </c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/>
      <c r="B127" s="76"/>
      <c r="C127" s="77"/>
      <c r="D127" s="76"/>
      <c r="E127" s="76"/>
      <c r="F127" s="76"/>
      <c r="G127" s="76"/>
      <c r="H127" s="76"/>
      <c r="I127" s="75"/>
      <c r="J127" s="78"/>
      <c r="K127" s="76"/>
      <c r="L127" s="79" t="b">
        <v>0</v>
      </c>
      <c r="M127" s="80" t="str">
        <f t="shared" si="1"/>
        <v/>
      </c>
      <c r="N127" s="79" t="b">
        <v>0</v>
      </c>
      <c r="O127" s="80" t="str">
        <f t="shared" si="2"/>
        <v/>
      </c>
      <c r="P127" s="76"/>
      <c r="Q127" s="76"/>
      <c r="R127" s="76" t="b">
        <v>0</v>
      </c>
      <c r="S127" s="82" t="b">
        <v>0</v>
      </c>
      <c r="T127" s="76"/>
      <c r="U127" s="79"/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/>
      <c r="B128" s="76"/>
      <c r="C128" s="77"/>
      <c r="D128" s="76"/>
      <c r="E128" s="76"/>
      <c r="F128" s="76"/>
      <c r="G128" s="76"/>
      <c r="H128" s="76"/>
      <c r="I128" s="75"/>
      <c r="J128" s="78"/>
      <c r="K128" s="76"/>
      <c r="L128" s="79" t="b">
        <v>0</v>
      </c>
      <c r="M128" s="80" t="str">
        <f t="shared" si="1"/>
        <v/>
      </c>
      <c r="N128" s="79" t="b">
        <v>0</v>
      </c>
      <c r="O128" s="80" t="str">
        <f t="shared" si="2"/>
        <v/>
      </c>
      <c r="P128" s="76"/>
      <c r="Q128" s="76"/>
      <c r="R128" s="76" t="b">
        <v>0</v>
      </c>
      <c r="S128" s="82" t="b">
        <v>0</v>
      </c>
      <c r="T128" s="76"/>
      <c r="U128" s="79"/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/>
      <c r="B129" s="76"/>
      <c r="C129" s="77"/>
      <c r="D129" s="76"/>
      <c r="E129" s="76"/>
      <c r="F129" s="76"/>
      <c r="G129" s="76"/>
      <c r="H129" s="76"/>
      <c r="I129" s="75"/>
      <c r="J129" s="78"/>
      <c r="K129" s="76"/>
      <c r="L129" s="79" t="b">
        <v>0</v>
      </c>
      <c r="M129" s="80" t="str">
        <f t="shared" si="1"/>
        <v/>
      </c>
      <c r="N129" s="79" t="b">
        <v>0</v>
      </c>
      <c r="O129" s="80" t="str">
        <f t="shared" si="2"/>
        <v/>
      </c>
      <c r="P129" s="76"/>
      <c r="Q129" s="76"/>
      <c r="R129" s="76" t="b">
        <v>0</v>
      </c>
      <c r="S129" s="82" t="b">
        <v>0</v>
      </c>
      <c r="T129" s="76"/>
      <c r="U129" s="79"/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/>
      <c r="B130" s="76"/>
      <c r="C130" s="77"/>
      <c r="D130" s="76"/>
      <c r="E130" s="76"/>
      <c r="F130" s="76"/>
      <c r="G130" s="76"/>
      <c r="H130" s="76"/>
      <c r="I130" s="75"/>
      <c r="J130" s="78"/>
      <c r="K130" s="76"/>
      <c r="L130" s="79" t="b">
        <v>0</v>
      </c>
      <c r="M130" s="80" t="str">
        <f t="shared" si="1"/>
        <v/>
      </c>
      <c r="N130" s="79" t="b">
        <v>0</v>
      </c>
      <c r="O130" s="80" t="str">
        <f t="shared" si="2"/>
        <v/>
      </c>
      <c r="P130" s="76"/>
      <c r="Q130" s="76"/>
      <c r="R130" s="76" t="b">
        <v>0</v>
      </c>
      <c r="S130" s="82" t="b">
        <v>0</v>
      </c>
      <c r="T130" s="76"/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/>
      <c r="B131" s="76"/>
      <c r="C131" s="77"/>
      <c r="D131" s="76"/>
      <c r="E131" s="76"/>
      <c r="F131" s="76"/>
      <c r="G131" s="76"/>
      <c r="H131" s="76"/>
      <c r="I131" s="75"/>
      <c r="J131" s="78"/>
      <c r="K131" s="76"/>
      <c r="L131" s="79" t="b">
        <v>0</v>
      </c>
      <c r="M131" s="80" t="str">
        <f t="shared" si="1"/>
        <v/>
      </c>
      <c r="N131" s="79" t="b">
        <v>0</v>
      </c>
      <c r="O131" s="80" t="str">
        <f t="shared" si="2"/>
        <v/>
      </c>
      <c r="P131" s="76"/>
      <c r="Q131" s="76"/>
      <c r="R131" s="76" t="b">
        <v>0</v>
      </c>
      <c r="S131" s="82" t="b">
        <v>0</v>
      </c>
      <c r="T131" s="76"/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/>
      <c r="B132" s="76"/>
      <c r="C132" s="77"/>
      <c r="D132" s="76"/>
      <c r="E132" s="76"/>
      <c r="F132" s="76"/>
      <c r="G132" s="76"/>
      <c r="H132" s="76"/>
      <c r="I132" s="75"/>
      <c r="J132" s="78"/>
      <c r="K132" s="76"/>
      <c r="L132" s="79" t="b">
        <v>0</v>
      </c>
      <c r="M132" s="80" t="str">
        <f t="shared" si="1"/>
        <v/>
      </c>
      <c r="N132" s="79" t="b">
        <v>0</v>
      </c>
      <c r="O132" s="80" t="str">
        <f t="shared" si="2"/>
        <v/>
      </c>
      <c r="P132" s="76"/>
      <c r="Q132" s="76"/>
      <c r="R132" s="76" t="b">
        <v>0</v>
      </c>
      <c r="S132" s="82" t="b">
        <v>0</v>
      </c>
      <c r="T132" s="76"/>
      <c r="U132" s="79"/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/>
      <c r="B133" s="76"/>
      <c r="C133" s="77"/>
      <c r="D133" s="76"/>
      <c r="E133" s="76"/>
      <c r="F133" s="76"/>
      <c r="G133" s="76"/>
      <c r="H133" s="76"/>
      <c r="I133" s="75"/>
      <c r="J133" s="78"/>
      <c r="K133" s="76"/>
      <c r="L133" s="79" t="b">
        <v>0</v>
      </c>
      <c r="M133" s="80" t="str">
        <f t="shared" si="1"/>
        <v/>
      </c>
      <c r="N133" s="79" t="b">
        <v>0</v>
      </c>
      <c r="O133" s="80" t="str">
        <f t="shared" si="2"/>
        <v/>
      </c>
      <c r="P133" s="76"/>
      <c r="Q133" s="76"/>
      <c r="R133" s="76" t="b">
        <v>0</v>
      </c>
      <c r="S133" s="82" t="b">
        <v>0</v>
      </c>
      <c r="T133" s="76"/>
      <c r="U133" s="79"/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/>
      <c r="B134" s="76"/>
      <c r="C134" s="77"/>
      <c r="D134" s="76"/>
      <c r="E134" s="76"/>
      <c r="F134" s="76"/>
      <c r="G134" s="76"/>
      <c r="H134" s="76"/>
      <c r="I134" s="75"/>
      <c r="J134" s="78"/>
      <c r="K134" s="76"/>
      <c r="L134" s="79" t="b">
        <v>0</v>
      </c>
      <c r="M134" s="80" t="str">
        <f t="shared" si="1"/>
        <v/>
      </c>
      <c r="N134" s="79" t="b">
        <v>0</v>
      </c>
      <c r="O134" s="80" t="str">
        <f t="shared" si="2"/>
        <v/>
      </c>
      <c r="P134" s="76"/>
      <c r="Q134" s="76"/>
      <c r="R134" s="76" t="b">
        <v>0</v>
      </c>
      <c r="S134" s="82" t="b">
        <v>0</v>
      </c>
      <c r="T134" s="76"/>
      <c r="U134" s="79"/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/>
      <c r="B135" s="76"/>
      <c r="C135" s="77"/>
      <c r="D135" s="76"/>
      <c r="E135" s="76"/>
      <c r="F135" s="76"/>
      <c r="G135" s="76"/>
      <c r="H135" s="76"/>
      <c r="I135" s="75"/>
      <c r="J135" s="78"/>
      <c r="K135" s="76"/>
      <c r="L135" s="79" t="b">
        <v>0</v>
      </c>
      <c r="M135" s="80" t="str">
        <f t="shared" si="1"/>
        <v/>
      </c>
      <c r="N135" s="79" t="b">
        <v>0</v>
      </c>
      <c r="O135" s="80" t="str">
        <f t="shared" si="2"/>
        <v/>
      </c>
      <c r="P135" s="76"/>
      <c r="Q135" s="76"/>
      <c r="R135" s="76" t="b">
        <v>0</v>
      </c>
      <c r="S135" s="82" t="b">
        <v>0</v>
      </c>
      <c r="T135" s="76"/>
      <c r="U135" s="79"/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/>
      <c r="B136" s="76"/>
      <c r="C136" s="77"/>
      <c r="D136" s="76"/>
      <c r="E136" s="76"/>
      <c r="F136" s="76"/>
      <c r="G136" s="76"/>
      <c r="H136" s="76"/>
      <c r="I136" s="75"/>
      <c r="J136" s="78"/>
      <c r="K136" s="76"/>
      <c r="L136" s="79" t="b">
        <v>0</v>
      </c>
      <c r="M136" s="80" t="str">
        <f t="shared" si="1"/>
        <v/>
      </c>
      <c r="N136" s="79" t="b">
        <v>0</v>
      </c>
      <c r="O136" s="80" t="str">
        <f t="shared" si="2"/>
        <v/>
      </c>
      <c r="P136" s="76"/>
      <c r="Q136" s="76"/>
      <c r="R136" s="76" t="b">
        <v>0</v>
      </c>
      <c r="S136" s="82" t="b">
        <v>0</v>
      </c>
      <c r="T136" s="76"/>
      <c r="U136" s="79"/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/>
      <c r="B137" s="76"/>
      <c r="C137" s="77"/>
      <c r="D137" s="76"/>
      <c r="E137" s="76"/>
      <c r="F137" s="76"/>
      <c r="G137" s="76"/>
      <c r="H137" s="76"/>
      <c r="I137" s="75"/>
      <c r="J137" s="78"/>
      <c r="K137" s="76"/>
      <c r="L137" s="79" t="b">
        <v>0</v>
      </c>
      <c r="M137" s="80" t="str">
        <f t="shared" si="1"/>
        <v/>
      </c>
      <c r="N137" s="79" t="b">
        <v>0</v>
      </c>
      <c r="O137" s="80" t="str">
        <f t="shared" si="2"/>
        <v/>
      </c>
      <c r="P137" s="76"/>
      <c r="Q137" s="76"/>
      <c r="R137" s="76" t="b">
        <v>0</v>
      </c>
      <c r="S137" s="82" t="b">
        <v>0</v>
      </c>
      <c r="T137" s="76"/>
      <c r="U137" s="79"/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 t="b">
        <v>0</v>
      </c>
      <c r="M138" s="80" t="str">
        <f t="shared" si="1"/>
        <v/>
      </c>
      <c r="N138" s="79" t="b">
        <v>0</v>
      </c>
      <c r="O138" s="80" t="str">
        <f t="shared" si="2"/>
        <v/>
      </c>
      <c r="P138" s="76"/>
      <c r="Q138" s="76"/>
      <c r="R138" s="76" t="b">
        <v>0</v>
      </c>
      <c r="S138" s="82" t="b">
        <v>0</v>
      </c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 t="b">
        <v>0</v>
      </c>
      <c r="M139" s="80" t="str">
        <f t="shared" si="1"/>
        <v/>
      </c>
      <c r="N139" s="79" t="b">
        <v>0</v>
      </c>
      <c r="O139" s="80" t="str">
        <f t="shared" si="2"/>
        <v/>
      </c>
      <c r="P139" s="76"/>
      <c r="Q139" s="76"/>
      <c r="R139" s="76" t="b">
        <v>0</v>
      </c>
      <c r="S139" s="82" t="b">
        <v>0</v>
      </c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si="1"/>
        <v/>
      </c>
      <c r="N140" s="79" t="b">
        <v>0</v>
      </c>
      <c r="O140" s="80" t="str">
        <f t="shared" si="2"/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1"/>
        <v/>
      </c>
      <c r="N141" s="79" t="b">
        <v>0</v>
      </c>
      <c r="O141" s="80" t="str">
        <f t="shared" si="2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1"/>
        <v/>
      </c>
      <c r="N142" s="79" t="b">
        <v>0</v>
      </c>
      <c r="O142" s="80" t="str">
        <f t="shared" si="2"/>
        <v/>
      </c>
      <c r="P142" s="76"/>
      <c r="Q142" s="76"/>
      <c r="R142" s="76" t="b">
        <v>0</v>
      </c>
      <c r="S142" s="82" t="b">
        <v>0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1"/>
        <v/>
      </c>
      <c r="N143" s="79" t="b">
        <v>0</v>
      </c>
      <c r="O143" s="80" t="str">
        <f t="shared" si="2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1"/>
        <v/>
      </c>
      <c r="N144" s="79" t="b">
        <v>0</v>
      </c>
      <c r="O144" s="80" t="str">
        <f t="shared" si="2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1"/>
        <v/>
      </c>
      <c r="N145" s="79" t="b">
        <v>0</v>
      </c>
      <c r="O145" s="80" t="str">
        <f t="shared" si="2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1"/>
        <v/>
      </c>
      <c r="N146" s="79" t="b">
        <v>0</v>
      </c>
      <c r="O146" s="80" t="str">
        <f t="shared" si="2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1"/>
        <v/>
      </c>
      <c r="N147" s="79" t="b">
        <v>0</v>
      </c>
      <c r="O147" s="80" t="str">
        <f t="shared" si="2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1"/>
        <v/>
      </c>
      <c r="N148" s="79" t="b">
        <v>0</v>
      </c>
      <c r="O148" s="80" t="str">
        <f t="shared" si="2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1"/>
        <v/>
      </c>
      <c r="N149" s="79" t="b">
        <v>0</v>
      </c>
      <c r="O149" s="80" t="str">
        <f t="shared" si="2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1"/>
        <v/>
      </c>
      <c r="N150" s="79" t="b">
        <v>0</v>
      </c>
      <c r="O150" s="80" t="str">
        <f t="shared" si="2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1"/>
        <v/>
      </c>
      <c r="N151" s="79" t="b">
        <v>0</v>
      </c>
      <c r="O151" s="80" t="str">
        <f t="shared" si="2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1"/>
        <v/>
      </c>
      <c r="N152" s="79" t="b">
        <v>0</v>
      </c>
      <c r="O152" s="80" t="str">
        <f t="shared" si="2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1"/>
        <v/>
      </c>
      <c r="N153" s="79" t="b">
        <v>0</v>
      </c>
      <c r="O153" s="80" t="str">
        <f t="shared" si="2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1"/>
        <v/>
      </c>
      <c r="N154" s="79" t="b">
        <v>0</v>
      </c>
      <c r="O154" s="80" t="str">
        <f t="shared" si="2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1"/>
        <v/>
      </c>
      <c r="N155" s="79" t="b">
        <v>0</v>
      </c>
      <c r="O155" s="80" t="str">
        <f t="shared" si="2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1"/>
        <v/>
      </c>
      <c r="N156" s="79" t="b">
        <v>0</v>
      </c>
      <c r="O156" s="80" t="str">
        <f t="shared" si="2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1"/>
        <v/>
      </c>
      <c r="N157" s="79" t="b">
        <v>0</v>
      </c>
      <c r="O157" s="80" t="str">
        <f t="shared" si="2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1"/>
        <v/>
      </c>
      <c r="N158" s="79" t="b">
        <v>0</v>
      </c>
      <c r="O158" s="80" t="str">
        <f t="shared" si="2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1"/>
        <v/>
      </c>
      <c r="N159" s="79" t="b">
        <v>0</v>
      </c>
      <c r="O159" s="80" t="str">
        <f t="shared" si="2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1"/>
        <v/>
      </c>
      <c r="N160" s="79" t="b">
        <v>0</v>
      </c>
      <c r="O160" s="80" t="str">
        <f t="shared" si="2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1"/>
        <v/>
      </c>
      <c r="N161" s="79" t="b">
        <v>0</v>
      </c>
      <c r="O161" s="80" t="str">
        <f t="shared" si="2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1"/>
        <v/>
      </c>
      <c r="N162" s="79" t="b">
        <v>0</v>
      </c>
      <c r="O162" s="80" t="str">
        <f t="shared" si="2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1"/>
        <v/>
      </c>
      <c r="N163" s="79" t="b">
        <v>0</v>
      </c>
      <c r="O163" s="80" t="str">
        <f t="shared" si="2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1"/>
        <v/>
      </c>
      <c r="N164" s="79" t="b">
        <v>0</v>
      </c>
      <c r="O164" s="80" t="str">
        <f t="shared" si="2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1"/>
        <v/>
      </c>
      <c r="N165" s="79" t="b">
        <v>0</v>
      </c>
      <c r="O165" s="80" t="str">
        <f t="shared" si="2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1"/>
        <v/>
      </c>
      <c r="N166" s="79" t="b">
        <v>0</v>
      </c>
      <c r="O166" s="80" t="str">
        <f t="shared" si="2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1"/>
        <v/>
      </c>
      <c r="N167" s="79" t="b">
        <v>0</v>
      </c>
      <c r="O167" s="80" t="str">
        <f t="shared" si="2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1"/>
        <v/>
      </c>
      <c r="N168" s="79" t="b">
        <v>0</v>
      </c>
      <c r="O168" s="80" t="str">
        <f t="shared" si="2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1"/>
        <v/>
      </c>
      <c r="N169" s="79" t="b">
        <v>0</v>
      </c>
      <c r="O169" s="80" t="str">
        <f t="shared" si="2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1"/>
        <v/>
      </c>
      <c r="N170" s="79" t="b">
        <v>0</v>
      </c>
      <c r="O170" s="80" t="str">
        <f t="shared" si="2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1"/>
        <v/>
      </c>
      <c r="N171" s="79" t="b">
        <v>0</v>
      </c>
      <c r="O171" s="80" t="str">
        <f t="shared" si="2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1"/>
        <v/>
      </c>
      <c r="N172" s="79" t="b">
        <v>0</v>
      </c>
      <c r="O172" s="80" t="str">
        <f t="shared" si="2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1"/>
        <v/>
      </c>
      <c r="N173" s="79" t="b">
        <v>0</v>
      </c>
      <c r="O173" s="80" t="str">
        <f t="shared" si="2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1"/>
        <v/>
      </c>
      <c r="N174" s="79" t="b">
        <v>0</v>
      </c>
      <c r="O174" s="80" t="str">
        <f t="shared" si="2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1"/>
        <v/>
      </c>
      <c r="N175" s="79" t="b">
        <v>0</v>
      </c>
      <c r="O175" s="80" t="str">
        <f t="shared" si="2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1"/>
        <v/>
      </c>
      <c r="N176" s="79" t="b">
        <v>0</v>
      </c>
      <c r="O176" s="80" t="str">
        <f t="shared" si="2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1"/>
        <v/>
      </c>
      <c r="N177" s="79" t="b">
        <v>0</v>
      </c>
      <c r="O177" s="80" t="str">
        <f t="shared" si="2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1"/>
        <v/>
      </c>
      <c r="N178" s="79" t="b">
        <v>0</v>
      </c>
      <c r="O178" s="80" t="str">
        <f t="shared" si="2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1"/>
        <v/>
      </c>
      <c r="N179" s="79" t="b">
        <v>0</v>
      </c>
      <c r="O179" s="80" t="str">
        <f t="shared" si="2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1"/>
        <v/>
      </c>
      <c r="N180" s="79" t="b">
        <v>0</v>
      </c>
      <c r="O180" s="80" t="str">
        <f t="shared" si="2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1"/>
        <v/>
      </c>
      <c r="N181" s="79" t="b">
        <v>0</v>
      </c>
      <c r="O181" s="80" t="str">
        <f t="shared" si="2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1"/>
        <v/>
      </c>
      <c r="N182" s="79" t="b">
        <v>0</v>
      </c>
      <c r="O182" s="80" t="str">
        <f t="shared" si="2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1"/>
        <v/>
      </c>
      <c r="N183" s="79" t="b">
        <v>0</v>
      </c>
      <c r="O183" s="80" t="str">
        <f t="shared" si="2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1"/>
        <v/>
      </c>
      <c r="N184" s="79" t="b">
        <v>0</v>
      </c>
      <c r="O184" s="80" t="str">
        <f t="shared" si="2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1"/>
        <v/>
      </c>
      <c r="N185" s="79" t="b">
        <v>0</v>
      </c>
      <c r="O185" s="80" t="str">
        <f t="shared" si="2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1"/>
        <v/>
      </c>
      <c r="N186" s="79" t="b">
        <v>0</v>
      </c>
      <c r="O186" s="80" t="str">
        <f t="shared" si="2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1"/>
        <v/>
      </c>
      <c r="N187" s="79" t="b">
        <v>0</v>
      </c>
      <c r="O187" s="80" t="str">
        <f t="shared" si="2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1"/>
        <v/>
      </c>
      <c r="N188" s="79" t="b">
        <v>0</v>
      </c>
      <c r="O188" s="80" t="str">
        <f t="shared" si="2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1"/>
        <v/>
      </c>
      <c r="N189" s="79" t="b">
        <v>0</v>
      </c>
      <c r="O189" s="80" t="str">
        <f t="shared" si="2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1"/>
        <v/>
      </c>
      <c r="N190" s="79" t="b">
        <v>0</v>
      </c>
      <c r="O190" s="80" t="str">
        <f t="shared" si="2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1"/>
        <v/>
      </c>
      <c r="N191" s="79" t="b">
        <v>0</v>
      </c>
      <c r="O191" s="80" t="str">
        <f t="shared" si="2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1"/>
        <v/>
      </c>
      <c r="N192" s="79" t="b">
        <v>0</v>
      </c>
      <c r="O192" s="80" t="str">
        <f t="shared" si="2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1"/>
        <v/>
      </c>
      <c r="N193" s="79" t="b">
        <v>0</v>
      </c>
      <c r="O193" s="80" t="str">
        <f t="shared" si="2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1"/>
        <v/>
      </c>
      <c r="N194" s="79" t="b">
        <v>0</v>
      </c>
      <c r="O194" s="80" t="str">
        <f t="shared" si="2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1"/>
        <v/>
      </c>
      <c r="N195" s="79" t="b">
        <v>0</v>
      </c>
      <c r="O195" s="80" t="str">
        <f t="shared" si="2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1"/>
        <v/>
      </c>
      <c r="N196" s="79" t="b">
        <v>0</v>
      </c>
      <c r="O196" s="80" t="str">
        <f t="shared" si="2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1"/>
        <v/>
      </c>
      <c r="N197" s="79" t="b">
        <v>0</v>
      </c>
      <c r="O197" s="80" t="str">
        <f t="shared" si="2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1"/>
        <v/>
      </c>
      <c r="N198" s="79" t="b">
        <v>0</v>
      </c>
      <c r="O198" s="80" t="str">
        <f t="shared" si="2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1"/>
        <v/>
      </c>
      <c r="N199" s="79" t="b">
        <v>0</v>
      </c>
      <c r="O199" s="80" t="str">
        <f t="shared" si="2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1"/>
        <v/>
      </c>
      <c r="N200" s="79" t="b">
        <v>0</v>
      </c>
      <c r="O200" s="80" t="str">
        <f t="shared" si="2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1"/>
        <v/>
      </c>
      <c r="N201" s="79" t="b">
        <v>0</v>
      </c>
      <c r="O201" s="80" t="str">
        <f t="shared" si="2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1"/>
        <v/>
      </c>
      <c r="N202" s="79" t="b">
        <v>0</v>
      </c>
      <c r="O202" s="80" t="str">
        <f t="shared" si="2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1"/>
        <v/>
      </c>
      <c r="N203" s="79" t="b">
        <v>0</v>
      </c>
      <c r="O203" s="80" t="str">
        <f t="shared" si="2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1"/>
        <v/>
      </c>
      <c r="N204" s="79" t="b">
        <v>0</v>
      </c>
      <c r="O204" s="80" t="str">
        <f t="shared" si="2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1"/>
        <v/>
      </c>
      <c r="N205" s="79" t="b">
        <v>0</v>
      </c>
      <c r="O205" s="80" t="str">
        <f t="shared" si="2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1"/>
        <v/>
      </c>
      <c r="N206" s="79" t="b">
        <v>0</v>
      </c>
      <c r="O206" s="80" t="str">
        <f t="shared" si="2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1"/>
        <v/>
      </c>
      <c r="N207" s="79" t="b">
        <v>0</v>
      </c>
      <c r="O207" s="80" t="str">
        <f t="shared" si="2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1"/>
        <v/>
      </c>
      <c r="N208" s="79" t="b">
        <v>0</v>
      </c>
      <c r="O208" s="80" t="str">
        <f t="shared" si="2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1"/>
        <v/>
      </c>
      <c r="N209" s="79" t="b">
        <v>0</v>
      </c>
      <c r="O209" s="80" t="str">
        <f t="shared" si="2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1"/>
        <v/>
      </c>
      <c r="N210" s="79" t="b">
        <v>0</v>
      </c>
      <c r="O210" s="80" t="str">
        <f t="shared" si="2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1"/>
        <v/>
      </c>
      <c r="N211" s="79" t="b">
        <v>0</v>
      </c>
      <c r="O211" s="80" t="str">
        <f t="shared" si="2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1"/>
        <v/>
      </c>
      <c r="N212" s="79" t="b">
        <v>0</v>
      </c>
      <c r="O212" s="80" t="str">
        <f t="shared" si="2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1"/>
        <v/>
      </c>
      <c r="N213" s="79" t="b">
        <v>0</v>
      </c>
      <c r="O213" s="80" t="str">
        <f t="shared" si="2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1"/>
        <v/>
      </c>
      <c r="N214" s="79" t="b">
        <v>0</v>
      </c>
      <c r="O214" s="80" t="str">
        <f t="shared" si="2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1"/>
        <v/>
      </c>
      <c r="N215" s="79" t="b">
        <v>0</v>
      </c>
      <c r="O215" s="80" t="str">
        <f t="shared" si="2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1"/>
        <v/>
      </c>
      <c r="N216" s="79" t="b">
        <v>0</v>
      </c>
      <c r="O216" s="80" t="str">
        <f t="shared" si="2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1"/>
        <v/>
      </c>
      <c r="N217" s="79" t="b">
        <v>0</v>
      </c>
      <c r="O217" s="80" t="str">
        <f t="shared" si="2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1"/>
        <v/>
      </c>
      <c r="N218" s="79" t="b">
        <v>0</v>
      </c>
      <c r="O218" s="80" t="str">
        <f t="shared" si="2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1"/>
        <v/>
      </c>
      <c r="N219" s="79" t="b">
        <v>0</v>
      </c>
      <c r="O219" s="80" t="str">
        <f t="shared" si="2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1"/>
        <v/>
      </c>
      <c r="N220" s="79" t="b">
        <v>0</v>
      </c>
      <c r="O220" s="80" t="str">
        <f t="shared" si="2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1"/>
        <v/>
      </c>
      <c r="N221" s="79" t="b">
        <v>0</v>
      </c>
      <c r="O221" s="80" t="str">
        <f t="shared" si="2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1"/>
        <v/>
      </c>
      <c r="N222" s="79" t="b">
        <v>0</v>
      </c>
      <c r="O222" s="80" t="str">
        <f t="shared" si="2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1"/>
        <v/>
      </c>
      <c r="N223" s="79" t="b">
        <v>0</v>
      </c>
      <c r="O223" s="80" t="str">
        <f t="shared" si="2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1"/>
        <v/>
      </c>
      <c r="N224" s="79" t="b">
        <v>0</v>
      </c>
      <c r="O224" s="80" t="str">
        <f t="shared" si="2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1"/>
        <v/>
      </c>
      <c r="N225" s="79" t="b">
        <v>0</v>
      </c>
      <c r="O225" s="80" t="str">
        <f t="shared" si="2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1"/>
        <v/>
      </c>
      <c r="N226" s="79" t="b">
        <v>0</v>
      </c>
      <c r="O226" s="80" t="str">
        <f t="shared" si="2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1"/>
        <v/>
      </c>
      <c r="N227" s="79" t="b">
        <v>0</v>
      </c>
      <c r="O227" s="80" t="str">
        <f t="shared" si="2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1"/>
        <v/>
      </c>
      <c r="N228" s="79" t="b">
        <v>0</v>
      </c>
      <c r="O228" s="80" t="str">
        <f t="shared" si="2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1"/>
        <v/>
      </c>
      <c r="N229" s="79" t="b">
        <v>0</v>
      </c>
      <c r="O229" s="80" t="str">
        <f t="shared" si="2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1"/>
        <v/>
      </c>
      <c r="N230" s="79" t="b">
        <v>0</v>
      </c>
      <c r="O230" s="80" t="str">
        <f t="shared" si="2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1"/>
        <v/>
      </c>
      <c r="N231" s="79" t="b">
        <v>0</v>
      </c>
      <c r="O231" s="80" t="str">
        <f t="shared" si="2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1"/>
        <v/>
      </c>
      <c r="N232" s="79" t="b">
        <v>0</v>
      </c>
      <c r="O232" s="80" t="str">
        <f t="shared" si="2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1"/>
        <v/>
      </c>
      <c r="N233" s="79" t="b">
        <v>0</v>
      </c>
      <c r="O233" s="80" t="str">
        <f t="shared" si="2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1"/>
        <v/>
      </c>
      <c r="N234" s="79" t="b">
        <v>0</v>
      </c>
      <c r="O234" s="80" t="str">
        <f t="shared" si="2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1"/>
        <v/>
      </c>
      <c r="N235" s="79" t="b">
        <v>0</v>
      </c>
      <c r="O235" s="80" t="str">
        <f t="shared" si="2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1"/>
        <v/>
      </c>
      <c r="N236" s="79" t="b">
        <v>0</v>
      </c>
      <c r="O236" s="80" t="str">
        <f t="shared" si="2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1"/>
        <v/>
      </c>
      <c r="N237" s="79" t="b">
        <v>0</v>
      </c>
      <c r="O237" s="80" t="str">
        <f t="shared" si="2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1"/>
        <v/>
      </c>
      <c r="N238" s="79" t="b">
        <v>0</v>
      </c>
      <c r="O238" s="80" t="str">
        <f t="shared" si="2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1"/>
        <v/>
      </c>
      <c r="N239" s="79" t="b">
        <v>0</v>
      </c>
      <c r="O239" s="80" t="str">
        <f t="shared" si="2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1"/>
        <v/>
      </c>
      <c r="N240" s="79" t="b">
        <v>0</v>
      </c>
      <c r="O240" s="80" t="str">
        <f t="shared" si="2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1"/>
        <v/>
      </c>
      <c r="N241" s="79" t="b">
        <v>0</v>
      </c>
      <c r="O241" s="80" t="str">
        <f t="shared" si="2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1"/>
        <v/>
      </c>
      <c r="N242" s="79" t="b">
        <v>0</v>
      </c>
      <c r="O242" s="80" t="str">
        <f t="shared" si="2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1"/>
        <v/>
      </c>
      <c r="N243" s="79" t="b">
        <v>0</v>
      </c>
      <c r="O243" s="80" t="str">
        <f t="shared" si="2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1"/>
        <v/>
      </c>
      <c r="N244" s="79" t="b">
        <v>0</v>
      </c>
      <c r="O244" s="80" t="str">
        <f t="shared" si="2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1"/>
        <v/>
      </c>
      <c r="N245" s="79" t="b">
        <v>0</v>
      </c>
      <c r="O245" s="80" t="str">
        <f t="shared" si="2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1"/>
        <v/>
      </c>
      <c r="N246" s="79" t="b">
        <v>0</v>
      </c>
      <c r="O246" s="80" t="str">
        <f t="shared" si="2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1"/>
        <v/>
      </c>
      <c r="N247" s="79" t="b">
        <v>0</v>
      </c>
      <c r="O247" s="80" t="str">
        <f t="shared" si="2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1"/>
        <v/>
      </c>
      <c r="N248" s="79" t="b">
        <v>0</v>
      </c>
      <c r="O248" s="80" t="str">
        <f t="shared" si="2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1"/>
        <v/>
      </c>
      <c r="N249" s="79" t="b">
        <v>0</v>
      </c>
      <c r="O249" s="80" t="str">
        <f t="shared" si="2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1"/>
        <v/>
      </c>
      <c r="N250" s="79" t="b">
        <v>0</v>
      </c>
      <c r="O250" s="80" t="str">
        <f t="shared" si="2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1"/>
        <v/>
      </c>
      <c r="N251" s="79" t="b">
        <v>0</v>
      </c>
      <c r="O251" s="80" t="str">
        <f t="shared" si="2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1"/>
        <v/>
      </c>
      <c r="N252" s="79" t="b">
        <v>0</v>
      </c>
      <c r="O252" s="80" t="str">
        <f t="shared" si="2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1"/>
        <v/>
      </c>
      <c r="N253" s="79" t="b">
        <v>0</v>
      </c>
      <c r="O253" s="80" t="str">
        <f t="shared" si="2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1"/>
        <v/>
      </c>
      <c r="N254" s="79" t="b">
        <v>0</v>
      </c>
      <c r="O254" s="80" t="str">
        <f t="shared" si="2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1"/>
        <v/>
      </c>
      <c r="N255" s="79" t="b">
        <v>0</v>
      </c>
      <c r="O255" s="80" t="str">
        <f t="shared" si="2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1"/>
        <v/>
      </c>
      <c r="N256" s="79" t="b">
        <v>0</v>
      </c>
      <c r="O256" s="80" t="str">
        <f t="shared" si="2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1"/>
        <v/>
      </c>
      <c r="N257" s="79" t="b">
        <v>0</v>
      </c>
      <c r="O257" s="80" t="str">
        <f t="shared" si="2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1"/>
        <v/>
      </c>
      <c r="N258" s="79" t="b">
        <v>0</v>
      </c>
      <c r="O258" s="80" t="str">
        <f t="shared" si="2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1"/>
        <v/>
      </c>
      <c r="N259" s="79" t="b">
        <v>0</v>
      </c>
      <c r="O259" s="80" t="str">
        <f t="shared" si="2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1"/>
        <v/>
      </c>
      <c r="N260" s="79" t="b">
        <v>0</v>
      </c>
      <c r="O260" s="80" t="str">
        <f t="shared" si="2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1"/>
        <v/>
      </c>
      <c r="N261" s="79" t="b">
        <v>0</v>
      </c>
      <c r="O261" s="80" t="str">
        <f t="shared" si="2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1"/>
        <v/>
      </c>
      <c r="N262" s="79" t="b">
        <v>0</v>
      </c>
      <c r="O262" s="80" t="str">
        <f t="shared" si="2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1"/>
        <v/>
      </c>
      <c r="N263" s="79" t="b">
        <v>0</v>
      </c>
      <c r="O263" s="80" t="str">
        <f t="shared" si="2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1"/>
        <v/>
      </c>
      <c r="N264" s="79" t="b">
        <v>0</v>
      </c>
      <c r="O264" s="80" t="str">
        <f t="shared" si="2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1"/>
        <v/>
      </c>
      <c r="N265" s="79" t="b">
        <v>0</v>
      </c>
      <c r="O265" s="80" t="str">
        <f t="shared" si="2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1"/>
        <v/>
      </c>
      <c r="N266" s="79" t="b">
        <v>0</v>
      </c>
      <c r="O266" s="80" t="str">
        <f t="shared" si="2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1"/>
        <v/>
      </c>
      <c r="N267" s="79" t="b">
        <v>0</v>
      </c>
      <c r="O267" s="80" t="str">
        <f t="shared" si="2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1"/>
        <v/>
      </c>
      <c r="N268" s="79" t="b">
        <v>0</v>
      </c>
      <c r="O268" s="80" t="str">
        <f t="shared" si="2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1"/>
        <v/>
      </c>
      <c r="N269" s="79" t="b">
        <v>0</v>
      </c>
      <c r="O269" s="80" t="str">
        <f t="shared" si="2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1"/>
        <v/>
      </c>
      <c r="N270" s="79" t="b">
        <v>0</v>
      </c>
      <c r="O270" s="80" t="str">
        <f t="shared" si="2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1"/>
        <v/>
      </c>
      <c r="N271" s="79" t="b">
        <v>0</v>
      </c>
      <c r="O271" s="80" t="str">
        <f t="shared" si="2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1"/>
        <v/>
      </c>
      <c r="N272" s="79" t="b">
        <v>0</v>
      </c>
      <c r="O272" s="80" t="str">
        <f t="shared" si="2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1"/>
        <v/>
      </c>
      <c r="N273" s="79" t="b">
        <v>0</v>
      </c>
      <c r="O273" s="80" t="str">
        <f t="shared" si="2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1"/>
        <v/>
      </c>
      <c r="N274" s="79" t="b">
        <v>0</v>
      </c>
      <c r="O274" s="80" t="str">
        <f t="shared" si="2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1"/>
        <v/>
      </c>
      <c r="N275" s="79" t="b">
        <v>0</v>
      </c>
      <c r="O275" s="80" t="str">
        <f t="shared" si="2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1"/>
        <v/>
      </c>
      <c r="N276" s="79" t="b">
        <v>0</v>
      </c>
      <c r="O276" s="80" t="str">
        <f t="shared" si="2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1"/>
        <v/>
      </c>
      <c r="N277" s="79" t="b">
        <v>0</v>
      </c>
      <c r="O277" s="80" t="str">
        <f t="shared" si="2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1"/>
        <v/>
      </c>
      <c r="N278" s="79" t="b">
        <v>0</v>
      </c>
      <c r="O278" s="80" t="str">
        <f t="shared" si="2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1"/>
        <v/>
      </c>
      <c r="N279" s="79" t="b">
        <v>0</v>
      </c>
      <c r="O279" s="80" t="str">
        <f t="shared" si="2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1"/>
        <v/>
      </c>
      <c r="N280" s="79" t="b">
        <v>0</v>
      </c>
      <c r="O280" s="80" t="str">
        <f t="shared" si="2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1"/>
        <v/>
      </c>
      <c r="N281" s="79" t="b">
        <v>0</v>
      </c>
      <c r="O281" s="80" t="str">
        <f t="shared" si="2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1"/>
        <v/>
      </c>
      <c r="N282" s="79" t="b">
        <v>0</v>
      </c>
      <c r="O282" s="80" t="str">
        <f t="shared" si="2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1"/>
        <v/>
      </c>
      <c r="N283" s="79" t="b">
        <v>0</v>
      </c>
      <c r="O283" s="80" t="str">
        <f t="shared" si="2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1"/>
        <v/>
      </c>
      <c r="N284" s="79" t="b">
        <v>0</v>
      </c>
      <c r="O284" s="80" t="str">
        <f t="shared" si="2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1"/>
        <v/>
      </c>
      <c r="N285" s="79" t="b">
        <v>0</v>
      </c>
      <c r="O285" s="80" t="str">
        <f t="shared" si="2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1"/>
        <v/>
      </c>
      <c r="N286" s="79" t="b">
        <v>0</v>
      </c>
      <c r="O286" s="80" t="str">
        <f t="shared" si="2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1"/>
        <v/>
      </c>
      <c r="N287" s="79" t="b">
        <v>0</v>
      </c>
      <c r="O287" s="80" t="str">
        <f t="shared" si="2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1"/>
        <v/>
      </c>
      <c r="N288" s="79" t="b">
        <v>0</v>
      </c>
      <c r="O288" s="80" t="str">
        <f t="shared" si="2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1"/>
        <v/>
      </c>
      <c r="N289" s="79" t="b">
        <v>0</v>
      </c>
      <c r="O289" s="80" t="str">
        <f t="shared" si="2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1"/>
        <v/>
      </c>
      <c r="N290" s="79" t="b">
        <v>0</v>
      </c>
      <c r="O290" s="80" t="str">
        <f t="shared" si="2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1"/>
        <v/>
      </c>
      <c r="N291" s="79" t="b">
        <v>0</v>
      </c>
      <c r="O291" s="80" t="str">
        <f t="shared" si="2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1"/>
        <v/>
      </c>
      <c r="N292" s="79" t="b">
        <v>0</v>
      </c>
      <c r="O292" s="80" t="str">
        <f t="shared" si="2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1"/>
        <v/>
      </c>
      <c r="N293" s="79" t="b">
        <v>0</v>
      </c>
      <c r="O293" s="80" t="str">
        <f t="shared" si="2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1"/>
        <v/>
      </c>
      <c r="N294" s="79" t="b">
        <v>0</v>
      </c>
      <c r="O294" s="80" t="str">
        <f t="shared" si="2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1"/>
        <v/>
      </c>
      <c r="N295" s="79" t="b">
        <v>0</v>
      </c>
      <c r="O295" s="80" t="str">
        <f t="shared" si="2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1"/>
        <v/>
      </c>
      <c r="N296" s="79" t="b">
        <v>0</v>
      </c>
      <c r="O296" s="80" t="str">
        <f t="shared" si="2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1"/>
        <v/>
      </c>
      <c r="N297" s="79" t="b">
        <v>0</v>
      </c>
      <c r="O297" s="80" t="str">
        <f t="shared" si="2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1"/>
        <v/>
      </c>
      <c r="N298" s="79" t="b">
        <v>0</v>
      </c>
      <c r="O298" s="80" t="str">
        <f t="shared" si="2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1"/>
        <v/>
      </c>
      <c r="N299" s="79" t="b">
        <v>0</v>
      </c>
      <c r="O299" s="80" t="str">
        <f t="shared" si="2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1"/>
        <v/>
      </c>
      <c r="N300" s="79" t="b">
        <v>0</v>
      </c>
      <c r="O300" s="80" t="str">
        <f t="shared" si="2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1"/>
        <v/>
      </c>
      <c r="N301" s="79" t="b">
        <v>0</v>
      </c>
      <c r="O301" s="80" t="str">
        <f t="shared" si="2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1"/>
        <v/>
      </c>
      <c r="N302" s="79" t="b">
        <v>0</v>
      </c>
      <c r="O302" s="80" t="str">
        <f t="shared" si="2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1"/>
        <v/>
      </c>
      <c r="N303" s="79" t="b">
        <v>0</v>
      </c>
      <c r="O303" s="80" t="str">
        <f t="shared" si="2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1"/>
        <v/>
      </c>
      <c r="N304" s="79" t="b">
        <v>0</v>
      </c>
      <c r="O304" s="80" t="str">
        <f t="shared" si="2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1"/>
        <v/>
      </c>
      <c r="N305" s="79" t="b">
        <v>0</v>
      </c>
      <c r="O305" s="80" t="str">
        <f t="shared" si="2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1"/>
        <v/>
      </c>
      <c r="N306" s="79" t="b">
        <v>0</v>
      </c>
      <c r="O306" s="80" t="str">
        <f t="shared" si="2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1"/>
        <v/>
      </c>
      <c r="N307" s="79" t="b">
        <v>0</v>
      </c>
      <c r="O307" s="80" t="str">
        <f t="shared" si="2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 maintenance"</formula>
    </cfRule>
  </conditionalFormatting>
  <conditionalFormatting sqref="A11:V307">
    <cfRule type="expression" dxfId="0" priority="9">
      <formula>$U11="รอคอนเฟิร์ม"</formula>
    </cfRule>
  </conditionalFormatting>
  <conditionalFormatting sqref="A11:V307">
    <cfRule type="expression" dxfId="0" priority="10">
      <formula>$U11="รอดูสี"</formula>
    </cfRule>
  </conditionalFormatting>
  <conditionalFormatting sqref="A11:V307">
    <cfRule type="expression" dxfId="0" priority="11">
      <formula>$U11="กระดาษชื้น"</formula>
    </cfRule>
  </conditionalFormatting>
  <conditionalFormatting sqref="A11:V307">
    <cfRule type="expression" dxfId="4" priority="12">
      <formula>$L11=True</formula>
    </cfRule>
  </conditionalFormatting>
  <conditionalFormatting sqref="A11:V307">
    <cfRule type="expression" dxfId="6" priority="13">
      <formula>$F11="ตามคิว"</formula>
    </cfRule>
  </conditionalFormatting>
  <conditionalFormatting sqref="A11:V307">
    <cfRule type="expression" dxfId="7" priority="14">
      <formula>$F11="Same Day"</formula>
    </cfRule>
  </conditionalFormatting>
  <conditionalFormatting sqref="A11:V307">
    <cfRule type="expression" dxfId="6" priority="15">
      <formula>$F11="ตัวอย่าง Mockup"</formula>
    </cfRule>
  </conditionalFormatting>
  <conditionalFormatting sqref="D17:F17">
    <cfRule type="notContainsBlanks" dxfId="8" priority="16">
      <formula>LEN(TRIM(D17))&gt;0</formula>
    </cfRule>
  </conditionalFormatting>
  <conditionalFormatting sqref="A11:V307">
    <cfRule type="expression" dxfId="5" priority="17">
      <formula>$F11="VIP"</formula>
    </cfRule>
  </conditionalFormatting>
  <conditionalFormatting sqref="D17:F17">
    <cfRule type="notContainsBlanks" dxfId="8" priority="18">
      <formula>LEN(TRIM(D17))&gt;0</formula>
    </cfRule>
  </conditionalFormatting>
  <conditionalFormatting sqref="U400:W400">
    <cfRule type="expression" dxfId="9" priority="19">
      <formula>"D11"</formula>
    </cfRule>
  </conditionalFormatting>
  <conditionalFormatting sqref="A1:B1">
    <cfRule type="notContainsBlanks" dxfId="8" priority="20">
      <formula>LEN(TRIM(A1))&gt;0</formula>
    </cfRule>
  </conditionalFormatting>
  <conditionalFormatting sqref="A11:V307">
    <cfRule type="expression" dxfId="10" priority="21">
      <formula>$F11="งานซ่อม"</formula>
    </cfRule>
  </conditionalFormatting>
  <conditionalFormatting sqref="A11:V307">
    <cfRule type="expression" dxfId="10" priority="22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307 P11:P307">
      <formula1>"Fluke,Sunney"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0</v>
      </c>
      <c r="D2" s="13" t="s">
        <v>8</v>
      </c>
      <c r="E2" s="14">
        <f>COUNTIFS(F11:F1000,"ตามคิว")</f>
        <v>0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0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0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0</v>
      </c>
      <c r="D3" s="13" t="s">
        <v>18</v>
      </c>
      <c r="E3" s="14">
        <f>COUNTIFS(F11:F1000,"Same Day")</f>
        <v>0</v>
      </c>
      <c r="F3" s="15" t="s">
        <v>9</v>
      </c>
      <c r="G3" s="27" t="s">
        <v>19</v>
      </c>
      <c r="H3" s="28">
        <f>COUNTIFS(U11:U1000,"Dicut Jwei")</f>
        <v>0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0</v>
      </c>
      <c r="Y3" s="25" t="s">
        <v>9</v>
      </c>
      <c r="Z3" s="25" t="s">
        <v>24</v>
      </c>
      <c r="AA3" s="25">
        <f>COUNTIFS(D11:E1000,"ปอนด์ 80g (โกดัง)")</f>
        <v>0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0</v>
      </c>
      <c r="F4" s="15" t="s">
        <v>9</v>
      </c>
      <c r="G4" s="27" t="s">
        <v>28</v>
      </c>
      <c r="H4" s="28">
        <f>COUNTIFS(U11:U1000,"Dicut Graptech")</f>
        <v>0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0</v>
      </c>
      <c r="Y4" s="25" t="s">
        <v>9</v>
      </c>
      <c r="Z4" s="25" t="s">
        <v>32</v>
      </c>
      <c r="AA4" s="25">
        <f>COUNTIFS(D11:E1000,"ปอนด์ 100g (โกดัง)")</f>
        <v>0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0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0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0</v>
      </c>
      <c r="AH5" s="26" t="s">
        <v>9</v>
      </c>
    </row>
    <row r="6" ht="21.75" customHeight="1">
      <c r="A6" s="11">
        <f>COUNTIFS(N11:N1000,True,B11:B1000,"*",K11:K1000,"*")</f>
        <v>0</v>
      </c>
      <c r="B6" s="2"/>
      <c r="C6" s="12" t="s">
        <v>9</v>
      </c>
      <c r="D6" s="13" t="s">
        <v>44</v>
      </c>
      <c r="E6" s="14">
        <f>COUNTIFS(F11:F1000,"ซ่อมไม่มีใบสั่ง")</f>
        <v>0</v>
      </c>
      <c r="F6" s="15" t="s">
        <v>9</v>
      </c>
      <c r="G6" s="42" t="s">
        <v>11</v>
      </c>
      <c r="H6" s="19">
        <f>COUNTIFS(Q11:Q1000,"C12000")</f>
        <v>0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0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0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0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0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0</v>
      </c>
      <c r="I8" s="51" t="s">
        <v>59</v>
      </c>
      <c r="J8" s="2"/>
      <c r="K8" s="53">
        <f>SUM(H3+H4)</f>
        <v>0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0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/>
      <c r="B11" s="76"/>
      <c r="C11" s="77"/>
      <c r="D11" s="76"/>
      <c r="E11" s="76"/>
      <c r="F11" s="76"/>
      <c r="G11" s="76"/>
      <c r="H11" s="76"/>
      <c r="I11" s="75"/>
      <c r="J11" s="78"/>
      <c r="K11" s="76"/>
      <c r="L11" s="79" t="b">
        <v>0</v>
      </c>
      <c r="M11" s="80" t="str">
        <f t="shared" ref="M11:M307" si="1">IFS(L11=FALSE,"",M11="",NOW(),TRUE,M11)</f>
        <v/>
      </c>
      <c r="N11" s="131" t="b">
        <v>0</v>
      </c>
      <c r="O11" s="80" t="str">
        <f t="shared" ref="O11:O307" si="2">IFS(N11=FALSE,"",O11="",NOW(),TRUE,O11)</f>
        <v/>
      </c>
      <c r="P11" s="76"/>
      <c r="Q11" s="76"/>
      <c r="R11" s="76" t="b">
        <v>0</v>
      </c>
      <c r="S11" s="82" t="b">
        <v>0</v>
      </c>
      <c r="T11" s="76"/>
      <c r="U11" s="79"/>
      <c r="V11" s="83"/>
      <c r="W11" s="118"/>
    </row>
    <row r="12">
      <c r="A12" s="75"/>
      <c r="B12" s="76"/>
      <c r="C12" s="77"/>
      <c r="D12" s="76"/>
      <c r="E12" s="76"/>
      <c r="F12" s="76"/>
      <c r="G12" s="76"/>
      <c r="H12" s="76"/>
      <c r="I12" s="75"/>
      <c r="J12" s="78"/>
      <c r="K12" s="76"/>
      <c r="L12" s="79" t="b">
        <v>0</v>
      </c>
      <c r="M12" s="80" t="str">
        <f t="shared" si="1"/>
        <v/>
      </c>
      <c r="N12" s="131" t="b">
        <v>0</v>
      </c>
      <c r="O12" s="80" t="str">
        <f t="shared" si="2"/>
        <v/>
      </c>
      <c r="P12" s="76"/>
      <c r="Q12" s="76"/>
      <c r="R12" s="76" t="b">
        <v>0</v>
      </c>
      <c r="S12" s="82" t="b">
        <v>0</v>
      </c>
      <c r="T12" s="76"/>
      <c r="U12" s="79"/>
      <c r="V12" s="83"/>
      <c r="W12" s="74"/>
    </row>
    <row r="13">
      <c r="A13" s="75"/>
      <c r="B13" s="76"/>
      <c r="C13" s="77"/>
      <c r="D13" s="76"/>
      <c r="E13" s="76"/>
      <c r="F13" s="76"/>
      <c r="G13" s="76"/>
      <c r="H13" s="76"/>
      <c r="I13" s="75"/>
      <c r="J13" s="78"/>
      <c r="K13" s="76"/>
      <c r="L13" s="79" t="b">
        <v>0</v>
      </c>
      <c r="M13" s="80" t="str">
        <f t="shared" si="1"/>
        <v/>
      </c>
      <c r="N13" s="131" t="b">
        <v>0</v>
      </c>
      <c r="O13" s="80" t="str">
        <f t="shared" si="2"/>
        <v/>
      </c>
      <c r="P13" s="76"/>
      <c r="Q13" s="76"/>
      <c r="R13" s="76" t="b">
        <v>0</v>
      </c>
      <c r="S13" s="82" t="b">
        <v>0</v>
      </c>
      <c r="T13" s="76"/>
      <c r="U13" s="79"/>
      <c r="V13" s="83"/>
      <c r="W13" s="74"/>
    </row>
    <row r="14">
      <c r="A14" s="75"/>
      <c r="B14" s="76"/>
      <c r="C14" s="77"/>
      <c r="D14" s="76"/>
      <c r="E14" s="76"/>
      <c r="F14" s="76"/>
      <c r="G14" s="76"/>
      <c r="H14" s="76"/>
      <c r="I14" s="75"/>
      <c r="J14" s="78"/>
      <c r="K14" s="76"/>
      <c r="L14" s="79" t="b">
        <v>0</v>
      </c>
      <c r="M14" s="80" t="str">
        <f t="shared" si="1"/>
        <v/>
      </c>
      <c r="N14" s="131" t="b">
        <v>0</v>
      </c>
      <c r="O14" s="80" t="str">
        <f t="shared" si="2"/>
        <v/>
      </c>
      <c r="P14" s="76"/>
      <c r="Q14" s="76"/>
      <c r="R14" s="76" t="b">
        <v>0</v>
      </c>
      <c r="S14" s="82" t="b">
        <v>0</v>
      </c>
      <c r="T14" s="76"/>
      <c r="U14" s="79"/>
      <c r="V14" s="83"/>
      <c r="W14" s="74"/>
    </row>
    <row r="15">
      <c r="A15" s="75"/>
      <c r="B15" s="76"/>
      <c r="C15" s="77"/>
      <c r="D15" s="76"/>
      <c r="E15" s="76"/>
      <c r="F15" s="76"/>
      <c r="G15" s="76"/>
      <c r="H15" s="76"/>
      <c r="I15" s="75"/>
      <c r="J15" s="78"/>
      <c r="K15" s="76"/>
      <c r="L15" s="79" t="b">
        <v>0</v>
      </c>
      <c r="M15" s="80" t="str">
        <f t="shared" si="1"/>
        <v/>
      </c>
      <c r="N15" s="131" t="b">
        <v>0</v>
      </c>
      <c r="O15" s="80" t="str">
        <f t="shared" si="2"/>
        <v/>
      </c>
      <c r="P15" s="76"/>
      <c r="Q15" s="76"/>
      <c r="R15" s="76" t="b">
        <v>0</v>
      </c>
      <c r="S15" s="82" t="b">
        <v>0</v>
      </c>
      <c r="T15" s="76"/>
      <c r="U15" s="79"/>
      <c r="V15" s="83"/>
      <c r="W15" s="118"/>
    </row>
    <row r="16">
      <c r="A16" s="75"/>
      <c r="B16" s="76"/>
      <c r="C16" s="77"/>
      <c r="D16" s="76"/>
      <c r="E16" s="76"/>
      <c r="F16" s="76"/>
      <c r="G16" s="76"/>
      <c r="H16" s="76"/>
      <c r="I16" s="75"/>
      <c r="J16" s="78"/>
      <c r="K16" s="76"/>
      <c r="L16" s="79" t="b">
        <v>0</v>
      </c>
      <c r="M16" s="80" t="str">
        <f t="shared" si="1"/>
        <v/>
      </c>
      <c r="N16" s="131" t="b">
        <v>0</v>
      </c>
      <c r="O16" s="80" t="str">
        <f t="shared" si="2"/>
        <v/>
      </c>
      <c r="P16" s="76"/>
      <c r="Q16" s="76"/>
      <c r="R16" s="76" t="b">
        <v>0</v>
      </c>
      <c r="S16" s="82" t="b">
        <v>0</v>
      </c>
      <c r="T16" s="76"/>
      <c r="U16" s="79"/>
      <c r="V16" s="83"/>
      <c r="W16" s="118"/>
    </row>
    <row r="17">
      <c r="A17" s="75"/>
      <c r="B17" s="76"/>
      <c r="C17" s="77"/>
      <c r="D17" s="76"/>
      <c r="E17" s="76"/>
      <c r="F17" s="76"/>
      <c r="G17" s="76"/>
      <c r="H17" s="76"/>
      <c r="I17" s="75"/>
      <c r="J17" s="78"/>
      <c r="K17" s="76"/>
      <c r="L17" s="79" t="b">
        <v>0</v>
      </c>
      <c r="M17" s="80" t="str">
        <f t="shared" si="1"/>
        <v/>
      </c>
      <c r="N17" s="131" t="b">
        <v>0</v>
      </c>
      <c r="O17" s="80" t="str">
        <f t="shared" si="2"/>
        <v/>
      </c>
      <c r="P17" s="76"/>
      <c r="Q17" s="76"/>
      <c r="R17" s="76" t="b">
        <v>0</v>
      </c>
      <c r="S17" s="82" t="b">
        <v>0</v>
      </c>
      <c r="T17" s="76"/>
      <c r="U17" s="79"/>
      <c r="V17" s="83"/>
      <c r="W17" s="74"/>
    </row>
    <row r="18">
      <c r="A18" s="75"/>
      <c r="B18" s="76"/>
      <c r="C18" s="77"/>
      <c r="D18" s="76"/>
      <c r="E18" s="76"/>
      <c r="F18" s="76"/>
      <c r="G18" s="76"/>
      <c r="H18" s="76"/>
      <c r="I18" s="75"/>
      <c r="J18" s="78"/>
      <c r="K18" s="76"/>
      <c r="L18" s="79" t="b">
        <v>0</v>
      </c>
      <c r="M18" s="80" t="str">
        <f t="shared" si="1"/>
        <v/>
      </c>
      <c r="N18" s="131" t="b">
        <v>0</v>
      </c>
      <c r="O18" s="80" t="str">
        <f t="shared" si="2"/>
        <v/>
      </c>
      <c r="P18" s="76"/>
      <c r="Q18" s="76"/>
      <c r="R18" s="76" t="b">
        <v>0</v>
      </c>
      <c r="S18" s="82" t="b">
        <v>0</v>
      </c>
      <c r="T18" s="76"/>
      <c r="U18" s="79"/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/>
      <c r="B19" s="76"/>
      <c r="C19" s="77"/>
      <c r="D19" s="76"/>
      <c r="E19" s="76"/>
      <c r="F19" s="76"/>
      <c r="G19" s="76"/>
      <c r="H19" s="76"/>
      <c r="I19" s="75"/>
      <c r="J19" s="78"/>
      <c r="K19" s="76"/>
      <c r="L19" s="79" t="b">
        <v>0</v>
      </c>
      <c r="M19" s="80" t="str">
        <f t="shared" si="1"/>
        <v/>
      </c>
      <c r="N19" s="131" t="b">
        <v>0</v>
      </c>
      <c r="O19" s="80" t="str">
        <f t="shared" si="2"/>
        <v/>
      </c>
      <c r="P19" s="76"/>
      <c r="Q19" s="76"/>
      <c r="R19" s="76" t="b">
        <v>0</v>
      </c>
      <c r="S19" s="82" t="b">
        <v>0</v>
      </c>
      <c r="T19" s="76"/>
      <c r="U19" s="79"/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/>
      <c r="B20" s="76"/>
      <c r="C20" s="77"/>
      <c r="D20" s="76"/>
      <c r="E20" s="76"/>
      <c r="F20" s="76"/>
      <c r="G20" s="76"/>
      <c r="H20" s="76"/>
      <c r="I20" s="75"/>
      <c r="J20" s="78"/>
      <c r="K20" s="76"/>
      <c r="L20" s="79" t="b">
        <v>0</v>
      </c>
      <c r="M20" s="80" t="str">
        <f t="shared" si="1"/>
        <v/>
      </c>
      <c r="N20" s="131" t="b">
        <v>0</v>
      </c>
      <c r="O20" s="80" t="str">
        <f t="shared" si="2"/>
        <v/>
      </c>
      <c r="P20" s="76"/>
      <c r="Q20" s="76"/>
      <c r="R20" s="76" t="b">
        <v>0</v>
      </c>
      <c r="S20" s="82" t="b">
        <v>0</v>
      </c>
      <c r="T20" s="76"/>
      <c r="U20" s="79"/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/>
      <c r="B21" s="76"/>
      <c r="C21" s="77"/>
      <c r="D21" s="76"/>
      <c r="E21" s="76"/>
      <c r="F21" s="76"/>
      <c r="G21" s="76"/>
      <c r="H21" s="76"/>
      <c r="I21" s="75"/>
      <c r="J21" s="78"/>
      <c r="K21" s="76"/>
      <c r="L21" s="79" t="b">
        <v>0</v>
      </c>
      <c r="M21" s="80" t="str">
        <f t="shared" si="1"/>
        <v/>
      </c>
      <c r="N21" s="131" t="b">
        <v>0</v>
      </c>
      <c r="O21" s="80" t="str">
        <f t="shared" si="2"/>
        <v/>
      </c>
      <c r="P21" s="76"/>
      <c r="Q21" s="76"/>
      <c r="R21" s="76" t="b">
        <v>0</v>
      </c>
      <c r="S21" s="82" t="b">
        <v>0</v>
      </c>
      <c r="T21" s="76"/>
      <c r="U21" s="79"/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/>
      <c r="B22" s="76"/>
      <c r="C22" s="77"/>
      <c r="D22" s="76"/>
      <c r="E22" s="76"/>
      <c r="F22" s="76"/>
      <c r="G22" s="76"/>
      <c r="H22" s="76"/>
      <c r="I22" s="75"/>
      <c r="J22" s="78"/>
      <c r="K22" s="76"/>
      <c r="L22" s="79" t="b">
        <v>0</v>
      </c>
      <c r="M22" s="80" t="str">
        <f t="shared" si="1"/>
        <v/>
      </c>
      <c r="N22" s="131" t="b">
        <v>0</v>
      </c>
      <c r="O22" s="80" t="str">
        <f t="shared" si="2"/>
        <v/>
      </c>
      <c r="P22" s="76"/>
      <c r="Q22" s="76"/>
      <c r="R22" s="76" t="b">
        <v>0</v>
      </c>
      <c r="S22" s="82" t="b">
        <v>0</v>
      </c>
      <c r="T22" s="76"/>
      <c r="U22" s="79"/>
      <c r="V22" s="83"/>
      <c r="W22" s="74"/>
      <c r="X22" s="74"/>
      <c r="AB22" s="74"/>
      <c r="AC22" s="74"/>
      <c r="AD22" s="74"/>
    </row>
    <row r="23">
      <c r="A23" s="75"/>
      <c r="B23" s="76"/>
      <c r="C23" s="77"/>
      <c r="D23" s="76"/>
      <c r="E23" s="76"/>
      <c r="F23" s="76"/>
      <c r="G23" s="76"/>
      <c r="H23" s="76"/>
      <c r="I23" s="75"/>
      <c r="J23" s="78"/>
      <c r="K23" s="76"/>
      <c r="L23" s="79" t="b">
        <v>0</v>
      </c>
      <c r="M23" s="80" t="str">
        <f t="shared" si="1"/>
        <v/>
      </c>
      <c r="N23" s="131" t="b">
        <v>0</v>
      </c>
      <c r="O23" s="80" t="str">
        <f t="shared" si="2"/>
        <v/>
      </c>
      <c r="P23" s="76"/>
      <c r="Q23" s="76"/>
      <c r="R23" s="76" t="b">
        <v>0</v>
      </c>
      <c r="S23" s="82" t="b">
        <v>0</v>
      </c>
      <c r="T23" s="76"/>
      <c r="U23" s="79"/>
      <c r="V23" s="83"/>
      <c r="W23" s="74"/>
      <c r="X23" s="74"/>
      <c r="AB23" s="74"/>
      <c r="AC23" s="74"/>
      <c r="AD23" s="74"/>
    </row>
    <row r="24">
      <c r="A24" s="75"/>
      <c r="B24" s="76"/>
      <c r="C24" s="77"/>
      <c r="D24" s="76"/>
      <c r="E24" s="76"/>
      <c r="F24" s="76"/>
      <c r="G24" s="76"/>
      <c r="H24" s="76"/>
      <c r="I24" s="75"/>
      <c r="J24" s="78"/>
      <c r="K24" s="76"/>
      <c r="L24" s="79" t="b">
        <v>0</v>
      </c>
      <c r="M24" s="80" t="str">
        <f t="shared" si="1"/>
        <v/>
      </c>
      <c r="N24" s="131" t="b">
        <v>0</v>
      </c>
      <c r="O24" s="80" t="str">
        <f t="shared" si="2"/>
        <v/>
      </c>
      <c r="P24" s="76"/>
      <c r="Q24" s="76"/>
      <c r="R24" s="76" t="b">
        <v>0</v>
      </c>
      <c r="S24" s="82" t="b">
        <v>0</v>
      </c>
      <c r="T24" s="76"/>
      <c r="U24" s="79"/>
      <c r="V24" s="83"/>
      <c r="W24" s="74"/>
      <c r="X24" s="74"/>
    </row>
    <row r="25">
      <c r="A25" s="75"/>
      <c r="B25" s="76"/>
      <c r="C25" s="77"/>
      <c r="D25" s="76"/>
      <c r="E25" s="76"/>
      <c r="F25" s="76"/>
      <c r="G25" s="76"/>
      <c r="H25" s="76"/>
      <c r="I25" s="75"/>
      <c r="J25" s="78"/>
      <c r="K25" s="76"/>
      <c r="L25" s="79" t="b">
        <v>0</v>
      </c>
      <c r="M25" s="80" t="str">
        <f t="shared" si="1"/>
        <v/>
      </c>
      <c r="N25" s="131" t="b">
        <v>0</v>
      </c>
      <c r="O25" s="80" t="str">
        <f t="shared" si="2"/>
        <v/>
      </c>
      <c r="P25" s="76"/>
      <c r="Q25" s="76"/>
      <c r="R25" s="76" t="b">
        <v>0</v>
      </c>
      <c r="S25" s="82" t="b">
        <v>0</v>
      </c>
      <c r="T25" s="76"/>
      <c r="U25" s="79"/>
      <c r="V25" s="83"/>
      <c r="W25" s="74"/>
      <c r="X25" s="74"/>
    </row>
    <row r="26">
      <c r="A26" s="75"/>
      <c r="B26" s="76"/>
      <c r="C26" s="77"/>
      <c r="D26" s="76"/>
      <c r="E26" s="76"/>
      <c r="F26" s="76"/>
      <c r="G26" s="76"/>
      <c r="H26" s="76"/>
      <c r="I26" s="75"/>
      <c r="J26" s="78"/>
      <c r="K26" s="76"/>
      <c r="L26" s="79" t="b">
        <v>0</v>
      </c>
      <c r="M26" s="80" t="str">
        <f t="shared" si="1"/>
        <v/>
      </c>
      <c r="N26" s="131" t="b">
        <v>0</v>
      </c>
      <c r="O26" s="80" t="str">
        <f t="shared" si="2"/>
        <v/>
      </c>
      <c r="P26" s="76"/>
      <c r="Q26" s="76"/>
      <c r="R26" s="76" t="b">
        <v>0</v>
      </c>
      <c r="S26" s="82" t="b">
        <v>0</v>
      </c>
      <c r="T26" s="76"/>
      <c r="U26" s="79"/>
      <c r="V26" s="83"/>
      <c r="W26" s="74"/>
      <c r="X26" s="74"/>
    </row>
    <row r="27">
      <c r="A27" s="75"/>
      <c r="B27" s="76"/>
      <c r="C27" s="77"/>
      <c r="D27" s="76"/>
      <c r="E27" s="76"/>
      <c r="F27" s="76"/>
      <c r="G27" s="76"/>
      <c r="H27" s="76"/>
      <c r="I27" s="75"/>
      <c r="J27" s="78"/>
      <c r="K27" s="76"/>
      <c r="L27" s="79" t="b">
        <v>0</v>
      </c>
      <c r="M27" s="80" t="str">
        <f t="shared" si="1"/>
        <v/>
      </c>
      <c r="N27" s="131" t="b">
        <v>0</v>
      </c>
      <c r="O27" s="80" t="str">
        <f t="shared" si="2"/>
        <v/>
      </c>
      <c r="P27" s="76"/>
      <c r="Q27" s="76"/>
      <c r="R27" s="76" t="b">
        <v>0</v>
      </c>
      <c r="S27" s="82" t="b">
        <v>0</v>
      </c>
      <c r="T27" s="76"/>
      <c r="U27" s="79"/>
      <c r="V27" s="83"/>
      <c r="W27" s="74"/>
      <c r="X27" s="86"/>
    </row>
    <row r="28">
      <c r="A28" s="75"/>
      <c r="B28" s="76"/>
      <c r="C28" s="77"/>
      <c r="D28" s="76"/>
      <c r="E28" s="76"/>
      <c r="F28" s="76"/>
      <c r="G28" s="76"/>
      <c r="H28" s="76"/>
      <c r="I28" s="75"/>
      <c r="J28" s="78"/>
      <c r="K28" s="76"/>
      <c r="L28" s="79" t="b">
        <v>0</v>
      </c>
      <c r="M28" s="80" t="str">
        <f t="shared" si="1"/>
        <v/>
      </c>
      <c r="N28" s="131" t="b">
        <v>0</v>
      </c>
      <c r="O28" s="80" t="str">
        <f t="shared" si="2"/>
        <v/>
      </c>
      <c r="P28" s="76"/>
      <c r="Q28" s="76"/>
      <c r="R28" s="76" t="b">
        <v>0</v>
      </c>
      <c r="S28" s="82" t="b">
        <v>0</v>
      </c>
      <c r="T28" s="76"/>
      <c r="U28" s="79"/>
      <c r="V28" s="83"/>
      <c r="W28" s="74"/>
      <c r="X28" s="86"/>
    </row>
    <row r="29">
      <c r="A29" s="75"/>
      <c r="B29" s="76"/>
      <c r="C29" s="77"/>
      <c r="D29" s="76"/>
      <c r="E29" s="76"/>
      <c r="F29" s="76"/>
      <c r="G29" s="76"/>
      <c r="H29" s="76"/>
      <c r="I29" s="75"/>
      <c r="J29" s="78"/>
      <c r="K29" s="76"/>
      <c r="L29" s="79" t="b">
        <v>0</v>
      </c>
      <c r="M29" s="80" t="str">
        <f t="shared" si="1"/>
        <v/>
      </c>
      <c r="N29" s="131" t="b">
        <v>0</v>
      </c>
      <c r="O29" s="80" t="str">
        <f t="shared" si="2"/>
        <v/>
      </c>
      <c r="P29" s="76"/>
      <c r="Q29" s="76"/>
      <c r="R29" s="76" t="b">
        <v>0</v>
      </c>
      <c r="S29" s="82" t="b">
        <v>0</v>
      </c>
      <c r="T29" s="76"/>
      <c r="U29" s="79"/>
      <c r="V29" s="83"/>
      <c r="W29" s="74"/>
      <c r="X29" s="86"/>
      <c r="AE29" s="87"/>
      <c r="AF29" s="87"/>
      <c r="AG29" s="87"/>
      <c r="AH29" s="87"/>
    </row>
    <row r="30">
      <c r="A30" s="75"/>
      <c r="B30" s="76"/>
      <c r="C30" s="77"/>
      <c r="D30" s="76"/>
      <c r="E30" s="76"/>
      <c r="F30" s="76"/>
      <c r="G30" s="76"/>
      <c r="H30" s="76"/>
      <c r="I30" s="75"/>
      <c r="J30" s="78"/>
      <c r="K30" s="76"/>
      <c r="L30" s="79" t="b">
        <v>0</v>
      </c>
      <c r="M30" s="80" t="str">
        <f t="shared" si="1"/>
        <v/>
      </c>
      <c r="N30" s="131" t="b">
        <v>0</v>
      </c>
      <c r="O30" s="80" t="str">
        <f t="shared" si="2"/>
        <v/>
      </c>
      <c r="P30" s="76"/>
      <c r="Q30" s="76"/>
      <c r="R30" s="76" t="b">
        <v>0</v>
      </c>
      <c r="S30" s="82" t="b">
        <v>0</v>
      </c>
      <c r="T30" s="76"/>
      <c r="U30" s="79"/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/>
      <c r="B31" s="76"/>
      <c r="C31" s="77"/>
      <c r="D31" s="76"/>
      <c r="E31" s="76"/>
      <c r="F31" s="76"/>
      <c r="G31" s="76"/>
      <c r="H31" s="76"/>
      <c r="I31" s="75"/>
      <c r="J31" s="78"/>
      <c r="K31" s="76"/>
      <c r="L31" s="79" t="b">
        <v>0</v>
      </c>
      <c r="M31" s="80" t="str">
        <f t="shared" si="1"/>
        <v/>
      </c>
      <c r="N31" s="131" t="b">
        <v>0</v>
      </c>
      <c r="O31" s="80" t="str">
        <f t="shared" si="2"/>
        <v/>
      </c>
      <c r="P31" s="76"/>
      <c r="Q31" s="76"/>
      <c r="R31" s="76" t="b">
        <v>0</v>
      </c>
      <c r="S31" s="82" t="b">
        <v>0</v>
      </c>
      <c r="T31" s="76"/>
      <c r="U31" s="79"/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/>
      <c r="B32" s="76"/>
      <c r="C32" s="77"/>
      <c r="D32" s="76"/>
      <c r="E32" s="76"/>
      <c r="F32" s="76"/>
      <c r="G32" s="76"/>
      <c r="H32" s="76"/>
      <c r="I32" s="75"/>
      <c r="J32" s="78"/>
      <c r="K32" s="76"/>
      <c r="L32" s="79" t="b">
        <v>0</v>
      </c>
      <c r="M32" s="80" t="str">
        <f t="shared" si="1"/>
        <v/>
      </c>
      <c r="N32" s="131" t="b">
        <v>0</v>
      </c>
      <c r="O32" s="80" t="str">
        <f t="shared" si="2"/>
        <v/>
      </c>
      <c r="P32" s="76"/>
      <c r="Q32" s="76"/>
      <c r="R32" s="76" t="b">
        <v>0</v>
      </c>
      <c r="S32" s="82" t="b">
        <v>0</v>
      </c>
      <c r="T32" s="76"/>
      <c r="U32" s="79"/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/>
      <c r="B33" s="76"/>
      <c r="C33" s="77"/>
      <c r="D33" s="76"/>
      <c r="E33" s="76"/>
      <c r="F33" s="76"/>
      <c r="G33" s="76"/>
      <c r="H33" s="76"/>
      <c r="I33" s="75"/>
      <c r="J33" s="78"/>
      <c r="K33" s="76"/>
      <c r="L33" s="79" t="b">
        <v>0</v>
      </c>
      <c r="M33" s="80" t="str">
        <f t="shared" si="1"/>
        <v/>
      </c>
      <c r="N33" s="131" t="b">
        <v>0</v>
      </c>
      <c r="O33" s="80" t="str">
        <f t="shared" si="2"/>
        <v/>
      </c>
      <c r="P33" s="76"/>
      <c r="Q33" s="76"/>
      <c r="R33" s="76" t="b">
        <v>0</v>
      </c>
      <c r="S33" s="82" t="b">
        <v>0</v>
      </c>
      <c r="T33" s="76"/>
      <c r="U33" s="79"/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/>
      <c r="B34" s="76"/>
      <c r="C34" s="77"/>
      <c r="D34" s="76"/>
      <c r="E34" s="76"/>
      <c r="F34" s="76"/>
      <c r="G34" s="76"/>
      <c r="H34" s="76"/>
      <c r="I34" s="75"/>
      <c r="J34" s="78"/>
      <c r="K34" s="76"/>
      <c r="L34" s="79" t="b">
        <v>0</v>
      </c>
      <c r="M34" s="80" t="str">
        <f t="shared" si="1"/>
        <v/>
      </c>
      <c r="N34" s="131" t="b">
        <v>0</v>
      </c>
      <c r="O34" s="80" t="str">
        <f t="shared" si="2"/>
        <v/>
      </c>
      <c r="P34" s="76"/>
      <c r="Q34" s="76"/>
      <c r="R34" s="76" t="b">
        <v>0</v>
      </c>
      <c r="S34" s="82" t="b">
        <v>0</v>
      </c>
      <c r="T34" s="76"/>
      <c r="U34" s="79"/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/>
      <c r="B35" s="76"/>
      <c r="C35" s="77"/>
      <c r="D35" s="76"/>
      <c r="E35" s="76"/>
      <c r="F35" s="76"/>
      <c r="G35" s="76"/>
      <c r="H35" s="76"/>
      <c r="I35" s="75"/>
      <c r="J35" s="78"/>
      <c r="K35" s="76"/>
      <c r="L35" s="79" t="b">
        <v>0</v>
      </c>
      <c r="M35" s="80" t="str">
        <f t="shared" si="1"/>
        <v/>
      </c>
      <c r="N35" s="131" t="b">
        <v>0</v>
      </c>
      <c r="O35" s="80" t="str">
        <f t="shared" si="2"/>
        <v/>
      </c>
      <c r="P35" s="76"/>
      <c r="Q35" s="76"/>
      <c r="R35" s="76" t="b">
        <v>0</v>
      </c>
      <c r="S35" s="82" t="b">
        <v>0</v>
      </c>
      <c r="T35" s="76"/>
      <c r="U35" s="79"/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/>
      <c r="B36" s="76"/>
      <c r="C36" s="77"/>
      <c r="D36" s="76"/>
      <c r="E36" s="76"/>
      <c r="F36" s="76"/>
      <c r="G36" s="76"/>
      <c r="H36" s="76"/>
      <c r="I36" s="75"/>
      <c r="J36" s="78"/>
      <c r="K36" s="76"/>
      <c r="L36" s="79" t="b">
        <v>0</v>
      </c>
      <c r="M36" s="80" t="str">
        <f t="shared" si="1"/>
        <v/>
      </c>
      <c r="N36" s="131" t="b">
        <v>0</v>
      </c>
      <c r="O36" s="80" t="str">
        <f t="shared" si="2"/>
        <v/>
      </c>
      <c r="P36" s="76"/>
      <c r="Q36" s="76"/>
      <c r="R36" s="76" t="b">
        <v>0</v>
      </c>
      <c r="S36" s="82" t="b">
        <v>0</v>
      </c>
      <c r="T36" s="76"/>
      <c r="U36" s="79"/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/>
      <c r="B37" s="76"/>
      <c r="C37" s="77"/>
      <c r="D37" s="76"/>
      <c r="E37" s="76"/>
      <c r="F37" s="76"/>
      <c r="G37" s="76"/>
      <c r="H37" s="76"/>
      <c r="I37" s="75"/>
      <c r="J37" s="78"/>
      <c r="K37" s="76"/>
      <c r="L37" s="79" t="b">
        <v>0</v>
      </c>
      <c r="M37" s="80" t="str">
        <f t="shared" si="1"/>
        <v/>
      </c>
      <c r="N37" s="131" t="b">
        <v>0</v>
      </c>
      <c r="O37" s="80" t="str">
        <f t="shared" si="2"/>
        <v/>
      </c>
      <c r="P37" s="76"/>
      <c r="Q37" s="76"/>
      <c r="R37" s="76" t="b">
        <v>0</v>
      </c>
      <c r="S37" s="82" t="b">
        <v>0</v>
      </c>
      <c r="T37" s="76"/>
      <c r="U37" s="79"/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/>
      <c r="B38" s="76"/>
      <c r="C38" s="77"/>
      <c r="D38" s="76"/>
      <c r="E38" s="76"/>
      <c r="F38" s="76"/>
      <c r="G38" s="76"/>
      <c r="H38" s="76"/>
      <c r="I38" s="75"/>
      <c r="J38" s="78"/>
      <c r="K38" s="76"/>
      <c r="L38" s="79" t="b">
        <v>0</v>
      </c>
      <c r="M38" s="80" t="str">
        <f t="shared" si="1"/>
        <v/>
      </c>
      <c r="N38" s="131" t="b">
        <v>0</v>
      </c>
      <c r="O38" s="80" t="str">
        <f t="shared" si="2"/>
        <v/>
      </c>
      <c r="P38" s="76"/>
      <c r="Q38" s="76"/>
      <c r="R38" s="76" t="b">
        <v>0</v>
      </c>
      <c r="S38" s="82" t="b">
        <v>0</v>
      </c>
      <c r="T38" s="76"/>
      <c r="U38" s="79"/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/>
      <c r="B39" s="76"/>
      <c r="C39" s="77"/>
      <c r="D39" s="76"/>
      <c r="E39" s="76"/>
      <c r="F39" s="76"/>
      <c r="G39" s="76"/>
      <c r="H39" s="76"/>
      <c r="I39" s="75"/>
      <c r="J39" s="78"/>
      <c r="K39" s="76"/>
      <c r="L39" s="79" t="b">
        <v>0</v>
      </c>
      <c r="M39" s="80" t="str">
        <f t="shared" si="1"/>
        <v/>
      </c>
      <c r="N39" s="131" t="b">
        <v>0</v>
      </c>
      <c r="O39" s="80" t="str">
        <f t="shared" si="2"/>
        <v/>
      </c>
      <c r="P39" s="76"/>
      <c r="Q39" s="76"/>
      <c r="R39" s="76" t="b">
        <v>0</v>
      </c>
      <c r="S39" s="82" t="b">
        <v>0</v>
      </c>
      <c r="T39" s="76"/>
      <c r="U39" s="79"/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/>
      <c r="B40" s="76"/>
      <c r="C40" s="77"/>
      <c r="D40" s="76"/>
      <c r="E40" s="76"/>
      <c r="F40" s="76"/>
      <c r="G40" s="76"/>
      <c r="H40" s="76"/>
      <c r="I40" s="75"/>
      <c r="J40" s="78"/>
      <c r="K40" s="76"/>
      <c r="L40" s="79" t="b">
        <v>0</v>
      </c>
      <c r="M40" s="80" t="str">
        <f t="shared" si="1"/>
        <v/>
      </c>
      <c r="N40" s="131" t="b">
        <v>0</v>
      </c>
      <c r="O40" s="80" t="str">
        <f t="shared" si="2"/>
        <v/>
      </c>
      <c r="P40" s="76"/>
      <c r="Q40" s="76"/>
      <c r="R40" s="76" t="b">
        <v>0</v>
      </c>
      <c r="S40" s="82" t="b">
        <v>0</v>
      </c>
      <c r="T40" s="76"/>
      <c r="U40" s="79"/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/>
      <c r="B41" s="76"/>
      <c r="C41" s="77"/>
      <c r="D41" s="76"/>
      <c r="E41" s="76"/>
      <c r="F41" s="76"/>
      <c r="G41" s="76"/>
      <c r="H41" s="76"/>
      <c r="I41" s="75"/>
      <c r="J41" s="78"/>
      <c r="K41" s="76"/>
      <c r="L41" s="79" t="b">
        <v>0</v>
      </c>
      <c r="M41" s="80" t="str">
        <f t="shared" si="1"/>
        <v/>
      </c>
      <c r="N41" s="131" t="b">
        <v>0</v>
      </c>
      <c r="O41" s="80" t="str">
        <f t="shared" si="2"/>
        <v/>
      </c>
      <c r="P41" s="76"/>
      <c r="Q41" s="76"/>
      <c r="R41" s="76" t="b">
        <v>0</v>
      </c>
      <c r="S41" s="82" t="b">
        <v>0</v>
      </c>
      <c r="T41" s="76"/>
      <c r="U41" s="79"/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/>
      <c r="B42" s="76"/>
      <c r="C42" s="77"/>
      <c r="D42" s="76"/>
      <c r="E42" s="76"/>
      <c r="F42" s="76"/>
      <c r="G42" s="76"/>
      <c r="H42" s="76"/>
      <c r="I42" s="75"/>
      <c r="J42" s="78"/>
      <c r="K42" s="76"/>
      <c r="L42" s="79" t="b">
        <v>0</v>
      </c>
      <c r="M42" s="80" t="str">
        <f t="shared" si="1"/>
        <v/>
      </c>
      <c r="N42" s="131" t="b">
        <v>0</v>
      </c>
      <c r="O42" s="80" t="str">
        <f t="shared" si="2"/>
        <v/>
      </c>
      <c r="P42" s="76"/>
      <c r="Q42" s="76"/>
      <c r="R42" s="76" t="b">
        <v>0</v>
      </c>
      <c r="S42" s="82" t="b">
        <v>0</v>
      </c>
      <c r="T42" s="76"/>
      <c r="U42" s="79"/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/>
      <c r="B43" s="76"/>
      <c r="C43" s="77"/>
      <c r="D43" s="76"/>
      <c r="E43" s="76"/>
      <c r="F43" s="76"/>
      <c r="G43" s="76"/>
      <c r="H43" s="76"/>
      <c r="I43" s="75"/>
      <c r="J43" s="78"/>
      <c r="K43" s="76"/>
      <c r="L43" s="79" t="b">
        <v>0</v>
      </c>
      <c r="M43" s="80" t="str">
        <f t="shared" si="1"/>
        <v/>
      </c>
      <c r="N43" s="131" t="b">
        <v>0</v>
      </c>
      <c r="O43" s="80" t="str">
        <f t="shared" si="2"/>
        <v/>
      </c>
      <c r="P43" s="76"/>
      <c r="Q43" s="76"/>
      <c r="R43" s="76" t="b">
        <v>0</v>
      </c>
      <c r="S43" s="82" t="b">
        <v>0</v>
      </c>
      <c r="T43" s="76"/>
      <c r="U43" s="79"/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/>
      <c r="B44" s="76"/>
      <c r="C44" s="77"/>
      <c r="D44" s="76"/>
      <c r="E44" s="76"/>
      <c r="F44" s="76"/>
      <c r="G44" s="76"/>
      <c r="H44" s="76"/>
      <c r="I44" s="75"/>
      <c r="J44" s="78"/>
      <c r="K44" s="76"/>
      <c r="L44" s="79" t="b">
        <v>0</v>
      </c>
      <c r="M44" s="80" t="str">
        <f t="shared" si="1"/>
        <v/>
      </c>
      <c r="N44" s="131" t="b">
        <v>0</v>
      </c>
      <c r="O44" s="80" t="str">
        <f t="shared" si="2"/>
        <v/>
      </c>
      <c r="P44" s="76"/>
      <c r="Q44" s="76"/>
      <c r="R44" s="76" t="b">
        <v>0</v>
      </c>
      <c r="S44" s="82" t="b">
        <v>0</v>
      </c>
      <c r="T44" s="76"/>
      <c r="U44" s="79"/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/>
      <c r="B45" s="76"/>
      <c r="C45" s="77"/>
      <c r="D45" s="76"/>
      <c r="E45" s="76"/>
      <c r="F45" s="76"/>
      <c r="G45" s="76"/>
      <c r="H45" s="76"/>
      <c r="I45" s="75"/>
      <c r="J45" s="78"/>
      <c r="K45" s="76"/>
      <c r="L45" s="79" t="b">
        <v>0</v>
      </c>
      <c r="M45" s="80" t="str">
        <f t="shared" si="1"/>
        <v/>
      </c>
      <c r="N45" s="131" t="b">
        <v>0</v>
      </c>
      <c r="O45" s="80" t="str">
        <f t="shared" si="2"/>
        <v/>
      </c>
      <c r="P45" s="76"/>
      <c r="Q45" s="76"/>
      <c r="R45" s="76" t="b">
        <v>0</v>
      </c>
      <c r="S45" s="82" t="b">
        <v>0</v>
      </c>
      <c r="T45" s="76"/>
      <c r="U45" s="79"/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/>
      <c r="B46" s="76"/>
      <c r="C46" s="77"/>
      <c r="D46" s="76"/>
      <c r="E46" s="76"/>
      <c r="F46" s="76"/>
      <c r="G46" s="76"/>
      <c r="H46" s="76"/>
      <c r="I46" s="75"/>
      <c r="J46" s="78"/>
      <c r="K46" s="76"/>
      <c r="L46" s="79" t="b">
        <v>0</v>
      </c>
      <c r="M46" s="80" t="str">
        <f t="shared" si="1"/>
        <v/>
      </c>
      <c r="N46" s="131" t="b">
        <v>0</v>
      </c>
      <c r="O46" s="80" t="str">
        <f t="shared" si="2"/>
        <v/>
      </c>
      <c r="P46" s="76"/>
      <c r="Q46" s="76"/>
      <c r="R46" s="76" t="b">
        <v>0</v>
      </c>
      <c r="S46" s="82" t="b">
        <v>0</v>
      </c>
      <c r="T46" s="76"/>
      <c r="U46" s="79"/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/>
      <c r="B47" s="76"/>
      <c r="C47" s="77"/>
      <c r="D47" s="76"/>
      <c r="E47" s="76"/>
      <c r="F47" s="76"/>
      <c r="G47" s="76"/>
      <c r="H47" s="76"/>
      <c r="I47" s="75"/>
      <c r="J47" s="78"/>
      <c r="K47" s="76"/>
      <c r="L47" s="79" t="b">
        <v>0</v>
      </c>
      <c r="M47" s="80" t="str">
        <f t="shared" si="1"/>
        <v/>
      </c>
      <c r="N47" s="131" t="b">
        <v>0</v>
      </c>
      <c r="O47" s="80" t="str">
        <f t="shared" si="2"/>
        <v/>
      </c>
      <c r="P47" s="76"/>
      <c r="Q47" s="76"/>
      <c r="R47" s="76" t="b">
        <v>0</v>
      </c>
      <c r="S47" s="82" t="b">
        <v>0</v>
      </c>
      <c r="T47" s="76"/>
      <c r="U47" s="79"/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/>
      <c r="B48" s="76"/>
      <c r="C48" s="77"/>
      <c r="D48" s="76"/>
      <c r="E48" s="76"/>
      <c r="F48" s="76"/>
      <c r="G48" s="76"/>
      <c r="H48" s="76"/>
      <c r="I48" s="75"/>
      <c r="J48" s="78"/>
      <c r="K48" s="76"/>
      <c r="L48" s="79" t="b">
        <v>0</v>
      </c>
      <c r="M48" s="80" t="str">
        <f t="shared" si="1"/>
        <v/>
      </c>
      <c r="N48" s="131" t="b">
        <v>0</v>
      </c>
      <c r="O48" s="80" t="str">
        <f t="shared" si="2"/>
        <v/>
      </c>
      <c r="P48" s="76"/>
      <c r="Q48" s="76"/>
      <c r="R48" s="76" t="b">
        <v>0</v>
      </c>
      <c r="S48" s="82" t="b">
        <v>0</v>
      </c>
      <c r="T48" s="76"/>
      <c r="U48" s="79"/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/>
      <c r="B49" s="76"/>
      <c r="C49" s="77"/>
      <c r="D49" s="76"/>
      <c r="E49" s="76"/>
      <c r="F49" s="76"/>
      <c r="G49" s="76"/>
      <c r="H49" s="76"/>
      <c r="I49" s="75"/>
      <c r="J49" s="78"/>
      <c r="K49" s="76"/>
      <c r="L49" s="79" t="b">
        <v>0</v>
      </c>
      <c r="M49" s="80" t="str">
        <f t="shared" si="1"/>
        <v/>
      </c>
      <c r="N49" s="131" t="b">
        <v>0</v>
      </c>
      <c r="O49" s="80" t="str">
        <f t="shared" si="2"/>
        <v/>
      </c>
      <c r="P49" s="76"/>
      <c r="Q49" s="76"/>
      <c r="R49" s="76" t="b">
        <v>0</v>
      </c>
      <c r="S49" s="82" t="b">
        <v>0</v>
      </c>
      <c r="T49" s="76"/>
      <c r="U49" s="79"/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/>
      <c r="B50" s="76"/>
      <c r="C50" s="77"/>
      <c r="D50" s="76"/>
      <c r="E50" s="76"/>
      <c r="F50" s="76"/>
      <c r="G50" s="76"/>
      <c r="H50" s="76"/>
      <c r="I50" s="75"/>
      <c r="J50" s="78"/>
      <c r="K50" s="76"/>
      <c r="L50" s="79" t="b">
        <v>0</v>
      </c>
      <c r="M50" s="80" t="str">
        <f t="shared" si="1"/>
        <v/>
      </c>
      <c r="N50" s="131" t="b">
        <v>0</v>
      </c>
      <c r="O50" s="80" t="str">
        <f t="shared" si="2"/>
        <v/>
      </c>
      <c r="P50" s="76"/>
      <c r="Q50" s="76"/>
      <c r="R50" s="76" t="b">
        <v>0</v>
      </c>
      <c r="S50" s="82" t="b">
        <v>0</v>
      </c>
      <c r="T50" s="76"/>
      <c r="U50" s="79"/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/>
      <c r="B51" s="76"/>
      <c r="C51" s="77"/>
      <c r="D51" s="76"/>
      <c r="E51" s="76"/>
      <c r="F51" s="76"/>
      <c r="G51" s="76"/>
      <c r="H51" s="76"/>
      <c r="I51" s="75"/>
      <c r="J51" s="78"/>
      <c r="K51" s="76"/>
      <c r="L51" s="79" t="b">
        <v>0</v>
      </c>
      <c r="M51" s="80" t="str">
        <f t="shared" si="1"/>
        <v/>
      </c>
      <c r="N51" s="131" t="b">
        <v>0</v>
      </c>
      <c r="O51" s="80" t="str">
        <f t="shared" si="2"/>
        <v/>
      </c>
      <c r="P51" s="76"/>
      <c r="Q51" s="76"/>
      <c r="R51" s="76" t="b">
        <v>0</v>
      </c>
      <c r="S51" s="82" t="b">
        <v>0</v>
      </c>
      <c r="T51" s="76"/>
      <c r="U51" s="79"/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/>
      <c r="B52" s="76"/>
      <c r="C52" s="77"/>
      <c r="D52" s="76"/>
      <c r="E52" s="76"/>
      <c r="F52" s="76"/>
      <c r="G52" s="76"/>
      <c r="H52" s="76"/>
      <c r="I52" s="75"/>
      <c r="J52" s="78"/>
      <c r="K52" s="76"/>
      <c r="L52" s="79" t="b">
        <v>0</v>
      </c>
      <c r="M52" s="80" t="str">
        <f t="shared" si="1"/>
        <v/>
      </c>
      <c r="N52" s="131" t="b">
        <v>0</v>
      </c>
      <c r="O52" s="80" t="str">
        <f t="shared" si="2"/>
        <v/>
      </c>
      <c r="P52" s="76"/>
      <c r="Q52" s="76"/>
      <c r="R52" s="76" t="b">
        <v>0</v>
      </c>
      <c r="S52" s="82" t="b">
        <v>0</v>
      </c>
      <c r="T52" s="76"/>
      <c r="U52" s="79"/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/>
      <c r="B53" s="76"/>
      <c r="C53" s="77"/>
      <c r="D53" s="76"/>
      <c r="E53" s="76"/>
      <c r="F53" s="76"/>
      <c r="G53" s="76"/>
      <c r="H53" s="76"/>
      <c r="I53" s="75"/>
      <c r="J53" s="78"/>
      <c r="K53" s="76"/>
      <c r="L53" s="79" t="b">
        <v>0</v>
      </c>
      <c r="M53" s="80" t="str">
        <f t="shared" si="1"/>
        <v/>
      </c>
      <c r="N53" s="131" t="b">
        <v>0</v>
      </c>
      <c r="O53" s="80" t="str">
        <f t="shared" si="2"/>
        <v/>
      </c>
      <c r="P53" s="76"/>
      <c r="Q53" s="76"/>
      <c r="R53" s="76" t="b">
        <v>0</v>
      </c>
      <c r="S53" s="82" t="b">
        <v>0</v>
      </c>
      <c r="T53" s="76"/>
      <c r="U53" s="79"/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/>
      <c r="B54" s="76"/>
      <c r="C54" s="77"/>
      <c r="D54" s="76"/>
      <c r="E54" s="76"/>
      <c r="F54" s="76"/>
      <c r="G54" s="76"/>
      <c r="H54" s="76"/>
      <c r="I54" s="75"/>
      <c r="J54" s="78"/>
      <c r="K54" s="76"/>
      <c r="L54" s="79" t="b">
        <v>0</v>
      </c>
      <c r="M54" s="80" t="str">
        <f t="shared" si="1"/>
        <v/>
      </c>
      <c r="N54" s="131" t="b">
        <v>0</v>
      </c>
      <c r="O54" s="80" t="str">
        <f t="shared" si="2"/>
        <v/>
      </c>
      <c r="P54" s="76"/>
      <c r="Q54" s="76"/>
      <c r="R54" s="76" t="b">
        <v>0</v>
      </c>
      <c r="S54" s="82" t="b">
        <v>0</v>
      </c>
      <c r="T54" s="76"/>
      <c r="U54" s="79"/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/>
      <c r="B55" s="76"/>
      <c r="C55" s="77"/>
      <c r="D55" s="76"/>
      <c r="E55" s="76"/>
      <c r="F55" s="76"/>
      <c r="G55" s="76"/>
      <c r="H55" s="76"/>
      <c r="I55" s="75"/>
      <c r="J55" s="78"/>
      <c r="K55" s="76"/>
      <c r="L55" s="79" t="b">
        <v>0</v>
      </c>
      <c r="M55" s="80" t="str">
        <f t="shared" si="1"/>
        <v/>
      </c>
      <c r="N55" s="131" t="b">
        <v>0</v>
      </c>
      <c r="O55" s="80" t="str">
        <f t="shared" si="2"/>
        <v/>
      </c>
      <c r="P55" s="76"/>
      <c r="Q55" s="76"/>
      <c r="R55" s="76" t="b">
        <v>0</v>
      </c>
      <c r="S55" s="82" t="b">
        <v>0</v>
      </c>
      <c r="T55" s="76"/>
      <c r="U55" s="79"/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/>
      <c r="B56" s="76"/>
      <c r="C56" s="77"/>
      <c r="D56" s="76"/>
      <c r="E56" s="76"/>
      <c r="F56" s="76"/>
      <c r="G56" s="76"/>
      <c r="H56" s="76"/>
      <c r="I56" s="75"/>
      <c r="J56" s="78"/>
      <c r="K56" s="76"/>
      <c r="L56" s="79" t="b">
        <v>0</v>
      </c>
      <c r="M56" s="80" t="str">
        <f t="shared" si="1"/>
        <v/>
      </c>
      <c r="N56" s="131" t="b">
        <v>0</v>
      </c>
      <c r="O56" s="80" t="str">
        <f t="shared" si="2"/>
        <v/>
      </c>
      <c r="P56" s="76"/>
      <c r="Q56" s="76"/>
      <c r="R56" s="76" t="b">
        <v>0</v>
      </c>
      <c r="S56" s="82" t="b">
        <v>0</v>
      </c>
      <c r="T56" s="76"/>
      <c r="U56" s="79"/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/>
      <c r="B57" s="76"/>
      <c r="C57" s="77"/>
      <c r="D57" s="76"/>
      <c r="E57" s="76"/>
      <c r="F57" s="76"/>
      <c r="G57" s="76"/>
      <c r="H57" s="76"/>
      <c r="I57" s="75"/>
      <c r="J57" s="78"/>
      <c r="K57" s="76"/>
      <c r="L57" s="79" t="b">
        <v>0</v>
      </c>
      <c r="M57" s="80" t="str">
        <f t="shared" si="1"/>
        <v/>
      </c>
      <c r="N57" s="131" t="b">
        <v>0</v>
      </c>
      <c r="O57" s="80" t="str">
        <f t="shared" si="2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/>
      <c r="B58" s="76"/>
      <c r="C58" s="77"/>
      <c r="D58" s="76"/>
      <c r="E58" s="76"/>
      <c r="F58" s="76"/>
      <c r="G58" s="76"/>
      <c r="H58" s="76"/>
      <c r="I58" s="75"/>
      <c r="J58" s="78"/>
      <c r="K58" s="76"/>
      <c r="L58" s="79" t="b">
        <v>0</v>
      </c>
      <c r="M58" s="80" t="str">
        <f t="shared" si="1"/>
        <v/>
      </c>
      <c r="N58" s="131" t="b">
        <v>0</v>
      </c>
      <c r="O58" s="80" t="str">
        <f t="shared" si="2"/>
        <v/>
      </c>
      <c r="P58" s="76"/>
      <c r="Q58" s="76"/>
      <c r="R58" s="76" t="b">
        <v>0</v>
      </c>
      <c r="S58" s="82" t="b">
        <v>0</v>
      </c>
      <c r="T58" s="76"/>
      <c r="U58" s="79"/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/>
      <c r="B59" s="76"/>
      <c r="C59" s="77"/>
      <c r="D59" s="76"/>
      <c r="E59" s="76"/>
      <c r="F59" s="76"/>
      <c r="G59" s="76"/>
      <c r="H59" s="76"/>
      <c r="I59" s="75"/>
      <c r="J59" s="78"/>
      <c r="K59" s="76"/>
      <c r="L59" s="79" t="b">
        <v>0</v>
      </c>
      <c r="M59" s="80" t="str">
        <f t="shared" si="1"/>
        <v/>
      </c>
      <c r="N59" s="131" t="b">
        <v>0</v>
      </c>
      <c r="O59" s="80" t="str">
        <f t="shared" si="2"/>
        <v/>
      </c>
      <c r="P59" s="76"/>
      <c r="Q59" s="76"/>
      <c r="R59" s="76" t="b">
        <v>0</v>
      </c>
      <c r="S59" s="82" t="b">
        <v>0</v>
      </c>
      <c r="T59" s="76"/>
      <c r="U59" s="79"/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/>
      <c r="B60" s="76"/>
      <c r="C60" s="77"/>
      <c r="D60" s="76"/>
      <c r="E60" s="76"/>
      <c r="F60" s="76"/>
      <c r="G60" s="76"/>
      <c r="H60" s="76"/>
      <c r="I60" s="75"/>
      <c r="J60" s="78"/>
      <c r="K60" s="76"/>
      <c r="L60" s="79" t="b">
        <v>0</v>
      </c>
      <c r="M60" s="80" t="str">
        <f t="shared" si="1"/>
        <v/>
      </c>
      <c r="N60" s="131" t="b">
        <v>0</v>
      </c>
      <c r="O60" s="80" t="str">
        <f t="shared" si="2"/>
        <v/>
      </c>
      <c r="P60" s="76"/>
      <c r="Q60" s="76"/>
      <c r="R60" s="76" t="b">
        <v>0</v>
      </c>
      <c r="S60" s="82" t="b">
        <v>0</v>
      </c>
      <c r="T60" s="76"/>
      <c r="U60" s="79"/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/>
      <c r="B61" s="76"/>
      <c r="C61" s="77"/>
      <c r="D61" s="76"/>
      <c r="E61" s="76"/>
      <c r="F61" s="76"/>
      <c r="G61" s="76"/>
      <c r="H61" s="76"/>
      <c r="I61" s="75"/>
      <c r="J61" s="78"/>
      <c r="K61" s="76"/>
      <c r="L61" s="79" t="b">
        <v>0</v>
      </c>
      <c r="M61" s="80" t="str">
        <f t="shared" si="1"/>
        <v/>
      </c>
      <c r="N61" s="131" t="b">
        <v>0</v>
      </c>
      <c r="O61" s="80" t="str">
        <f t="shared" si="2"/>
        <v/>
      </c>
      <c r="P61" s="76"/>
      <c r="Q61" s="76"/>
      <c r="R61" s="76" t="b">
        <v>0</v>
      </c>
      <c r="S61" s="82" t="b">
        <v>0</v>
      </c>
      <c r="T61" s="76"/>
      <c r="U61" s="79"/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/>
      <c r="B62" s="76"/>
      <c r="C62" s="77"/>
      <c r="D62" s="76"/>
      <c r="E62" s="76"/>
      <c r="F62" s="76"/>
      <c r="G62" s="76"/>
      <c r="H62" s="76"/>
      <c r="I62" s="75"/>
      <c r="J62" s="78"/>
      <c r="K62" s="76"/>
      <c r="L62" s="79" t="b">
        <v>0</v>
      </c>
      <c r="M62" s="80" t="str">
        <f t="shared" si="1"/>
        <v/>
      </c>
      <c r="N62" s="131" t="b">
        <v>0</v>
      </c>
      <c r="O62" s="80" t="str">
        <f t="shared" si="2"/>
        <v/>
      </c>
      <c r="P62" s="76"/>
      <c r="Q62" s="76"/>
      <c r="R62" s="76" t="b">
        <v>0</v>
      </c>
      <c r="S62" s="82" t="b">
        <v>0</v>
      </c>
      <c r="T62" s="76"/>
      <c r="U62" s="79"/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/>
      <c r="B63" s="76"/>
      <c r="C63" s="77"/>
      <c r="D63" s="76"/>
      <c r="E63" s="76"/>
      <c r="F63" s="76"/>
      <c r="G63" s="76"/>
      <c r="H63" s="76"/>
      <c r="I63" s="75"/>
      <c r="J63" s="78"/>
      <c r="K63" s="76"/>
      <c r="L63" s="79" t="b">
        <v>0</v>
      </c>
      <c r="M63" s="80" t="str">
        <f t="shared" si="1"/>
        <v/>
      </c>
      <c r="N63" s="131" t="b">
        <v>0</v>
      </c>
      <c r="O63" s="80" t="str">
        <f t="shared" si="2"/>
        <v/>
      </c>
      <c r="P63" s="76"/>
      <c r="Q63" s="76"/>
      <c r="R63" s="76" t="b">
        <v>0</v>
      </c>
      <c r="S63" s="82" t="b">
        <v>0</v>
      </c>
      <c r="T63" s="76"/>
      <c r="U63" s="79"/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/>
      <c r="B64" s="76"/>
      <c r="C64" s="77"/>
      <c r="D64" s="76"/>
      <c r="E64" s="76"/>
      <c r="F64" s="76"/>
      <c r="G64" s="76"/>
      <c r="H64" s="76"/>
      <c r="I64" s="75"/>
      <c r="J64" s="78"/>
      <c r="K64" s="76"/>
      <c r="L64" s="79" t="b">
        <v>0</v>
      </c>
      <c r="M64" s="80" t="str">
        <f t="shared" si="1"/>
        <v/>
      </c>
      <c r="N64" s="131" t="b">
        <v>0</v>
      </c>
      <c r="O64" s="80" t="str">
        <f t="shared" si="2"/>
        <v/>
      </c>
      <c r="P64" s="76"/>
      <c r="Q64" s="76"/>
      <c r="R64" s="76" t="b">
        <v>0</v>
      </c>
      <c r="S64" s="82" t="b">
        <v>0</v>
      </c>
      <c r="T64" s="76"/>
      <c r="U64" s="79"/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/>
      <c r="B65" s="76"/>
      <c r="C65" s="77"/>
      <c r="D65" s="76"/>
      <c r="E65" s="76"/>
      <c r="F65" s="76"/>
      <c r="G65" s="76"/>
      <c r="H65" s="76"/>
      <c r="I65" s="75"/>
      <c r="J65" s="78"/>
      <c r="K65" s="76"/>
      <c r="L65" s="79" t="b">
        <v>0</v>
      </c>
      <c r="M65" s="80" t="str">
        <f t="shared" si="1"/>
        <v/>
      </c>
      <c r="N65" s="131" t="b">
        <v>0</v>
      </c>
      <c r="O65" s="80" t="str">
        <f t="shared" si="2"/>
        <v/>
      </c>
      <c r="P65" s="76"/>
      <c r="Q65" s="76"/>
      <c r="R65" s="76" t="b">
        <v>0</v>
      </c>
      <c r="S65" s="82" t="b">
        <v>0</v>
      </c>
      <c r="T65" s="76"/>
      <c r="U65" s="79"/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/>
      <c r="B66" s="76"/>
      <c r="C66" s="77"/>
      <c r="D66" s="76"/>
      <c r="E66" s="76"/>
      <c r="F66" s="76"/>
      <c r="G66" s="76"/>
      <c r="H66" s="76"/>
      <c r="I66" s="75"/>
      <c r="J66" s="78"/>
      <c r="K66" s="76"/>
      <c r="L66" s="79" t="b">
        <v>0</v>
      </c>
      <c r="M66" s="80" t="str">
        <f t="shared" si="1"/>
        <v/>
      </c>
      <c r="N66" s="131" t="b">
        <v>0</v>
      </c>
      <c r="O66" s="80" t="str">
        <f t="shared" si="2"/>
        <v/>
      </c>
      <c r="P66" s="76"/>
      <c r="Q66" s="76"/>
      <c r="R66" s="76" t="b">
        <v>0</v>
      </c>
      <c r="S66" s="82" t="b">
        <v>0</v>
      </c>
      <c r="T66" s="76"/>
      <c r="U66" s="79"/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/>
      <c r="B67" s="76"/>
      <c r="C67" s="77"/>
      <c r="D67" s="76"/>
      <c r="E67" s="76"/>
      <c r="F67" s="76"/>
      <c r="G67" s="76"/>
      <c r="H67" s="76"/>
      <c r="I67" s="75"/>
      <c r="J67" s="78"/>
      <c r="K67" s="76"/>
      <c r="L67" s="79" t="b">
        <v>0</v>
      </c>
      <c r="M67" s="80" t="str">
        <f t="shared" si="1"/>
        <v/>
      </c>
      <c r="N67" s="131" t="b">
        <v>0</v>
      </c>
      <c r="O67" s="80" t="str">
        <f t="shared" si="2"/>
        <v/>
      </c>
      <c r="P67" s="76"/>
      <c r="Q67" s="76"/>
      <c r="R67" s="76" t="b">
        <v>0</v>
      </c>
      <c r="S67" s="82" t="b">
        <v>0</v>
      </c>
      <c r="T67" s="76"/>
      <c r="U67" s="79"/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/>
      <c r="B68" s="76"/>
      <c r="C68" s="77"/>
      <c r="D68" s="76"/>
      <c r="E68" s="76"/>
      <c r="F68" s="76"/>
      <c r="G68" s="76"/>
      <c r="H68" s="76"/>
      <c r="I68" s="75"/>
      <c r="J68" s="78"/>
      <c r="K68" s="76"/>
      <c r="L68" s="79" t="b">
        <v>0</v>
      </c>
      <c r="M68" s="80" t="str">
        <f t="shared" si="1"/>
        <v/>
      </c>
      <c r="N68" s="131" t="b">
        <v>0</v>
      </c>
      <c r="O68" s="80" t="str">
        <f t="shared" si="2"/>
        <v/>
      </c>
      <c r="P68" s="76"/>
      <c r="Q68" s="76"/>
      <c r="R68" s="76" t="b">
        <v>0</v>
      </c>
      <c r="S68" s="82" t="b">
        <v>0</v>
      </c>
      <c r="T68" s="76"/>
      <c r="U68" s="79"/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/>
      <c r="B69" s="76"/>
      <c r="C69" s="77"/>
      <c r="D69" s="76"/>
      <c r="E69" s="76"/>
      <c r="F69" s="76"/>
      <c r="G69" s="76"/>
      <c r="H69" s="76"/>
      <c r="I69" s="75"/>
      <c r="J69" s="78"/>
      <c r="K69" s="76"/>
      <c r="L69" s="79" t="b">
        <v>0</v>
      </c>
      <c r="M69" s="80" t="str">
        <f t="shared" si="1"/>
        <v/>
      </c>
      <c r="N69" s="131" t="b">
        <v>0</v>
      </c>
      <c r="O69" s="80" t="str">
        <f t="shared" si="2"/>
        <v/>
      </c>
      <c r="P69" s="76"/>
      <c r="Q69" s="76"/>
      <c r="R69" s="76" t="b">
        <v>0</v>
      </c>
      <c r="S69" s="82" t="b">
        <v>0</v>
      </c>
      <c r="T69" s="76"/>
      <c r="U69" s="79"/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/>
      <c r="B70" s="76"/>
      <c r="C70" s="77"/>
      <c r="D70" s="76"/>
      <c r="E70" s="76"/>
      <c r="F70" s="76"/>
      <c r="G70" s="76"/>
      <c r="H70" s="76"/>
      <c r="I70" s="75"/>
      <c r="J70" s="78"/>
      <c r="K70" s="76"/>
      <c r="L70" s="79" t="b">
        <v>0</v>
      </c>
      <c r="M70" s="80" t="str">
        <f t="shared" si="1"/>
        <v/>
      </c>
      <c r="N70" s="131" t="b">
        <v>0</v>
      </c>
      <c r="O70" s="80" t="str">
        <f t="shared" si="2"/>
        <v/>
      </c>
      <c r="P70" s="76"/>
      <c r="Q70" s="76"/>
      <c r="R70" s="76" t="b">
        <v>0</v>
      </c>
      <c r="S70" s="82" t="b">
        <v>0</v>
      </c>
      <c r="T70" s="76"/>
      <c r="U70" s="79"/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/>
      <c r="B71" s="76"/>
      <c r="C71" s="77"/>
      <c r="D71" s="76"/>
      <c r="E71" s="76"/>
      <c r="F71" s="76"/>
      <c r="G71" s="76"/>
      <c r="H71" s="76"/>
      <c r="I71" s="75"/>
      <c r="J71" s="78"/>
      <c r="K71" s="76"/>
      <c r="L71" s="79" t="b">
        <v>0</v>
      </c>
      <c r="M71" s="80" t="str">
        <f t="shared" si="1"/>
        <v/>
      </c>
      <c r="N71" s="131" t="b">
        <v>0</v>
      </c>
      <c r="O71" s="80" t="str">
        <f t="shared" si="2"/>
        <v/>
      </c>
      <c r="P71" s="76"/>
      <c r="Q71" s="76"/>
      <c r="R71" s="76" t="b">
        <v>0</v>
      </c>
      <c r="S71" s="82" t="b">
        <v>0</v>
      </c>
      <c r="T71" s="76"/>
      <c r="U71" s="79"/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/>
      <c r="B72" s="76"/>
      <c r="C72" s="77"/>
      <c r="D72" s="76"/>
      <c r="E72" s="76"/>
      <c r="F72" s="76"/>
      <c r="G72" s="76"/>
      <c r="H72" s="76"/>
      <c r="I72" s="75"/>
      <c r="J72" s="78"/>
      <c r="K72" s="76"/>
      <c r="L72" s="79" t="b">
        <v>0</v>
      </c>
      <c r="M72" s="80" t="str">
        <f t="shared" si="1"/>
        <v/>
      </c>
      <c r="N72" s="131" t="b">
        <v>0</v>
      </c>
      <c r="O72" s="80" t="str">
        <f t="shared" si="2"/>
        <v/>
      </c>
      <c r="P72" s="76"/>
      <c r="Q72" s="76"/>
      <c r="R72" s="76" t="b">
        <v>0</v>
      </c>
      <c r="S72" s="82" t="b">
        <v>0</v>
      </c>
      <c r="T72" s="76"/>
      <c r="U72" s="79"/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/>
      <c r="B73" s="76"/>
      <c r="C73" s="77"/>
      <c r="D73" s="76"/>
      <c r="E73" s="76"/>
      <c r="F73" s="76"/>
      <c r="G73" s="76"/>
      <c r="H73" s="76"/>
      <c r="I73" s="75"/>
      <c r="J73" s="78"/>
      <c r="K73" s="76"/>
      <c r="L73" s="79" t="b">
        <v>0</v>
      </c>
      <c r="M73" s="80" t="str">
        <f t="shared" si="1"/>
        <v/>
      </c>
      <c r="N73" s="131" t="b">
        <v>0</v>
      </c>
      <c r="O73" s="80" t="str">
        <f t="shared" si="2"/>
        <v/>
      </c>
      <c r="P73" s="76"/>
      <c r="Q73" s="76"/>
      <c r="R73" s="76" t="b">
        <v>0</v>
      </c>
      <c r="S73" s="82" t="b">
        <v>0</v>
      </c>
      <c r="T73" s="76"/>
      <c r="U73" s="79"/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/>
      <c r="B74" s="76"/>
      <c r="C74" s="77"/>
      <c r="D74" s="76"/>
      <c r="E74" s="76"/>
      <c r="F74" s="76"/>
      <c r="G74" s="76"/>
      <c r="H74" s="76"/>
      <c r="I74" s="75"/>
      <c r="J74" s="78"/>
      <c r="K74" s="76"/>
      <c r="L74" s="79" t="b">
        <v>0</v>
      </c>
      <c r="M74" s="80" t="str">
        <f t="shared" si="1"/>
        <v/>
      </c>
      <c r="N74" s="131" t="b">
        <v>0</v>
      </c>
      <c r="O74" s="80" t="str">
        <f t="shared" si="2"/>
        <v/>
      </c>
      <c r="P74" s="76"/>
      <c r="Q74" s="76"/>
      <c r="R74" s="76" t="b">
        <v>0</v>
      </c>
      <c r="S74" s="82" t="b">
        <v>0</v>
      </c>
      <c r="T74" s="76"/>
      <c r="U74" s="79"/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/>
      <c r="B75" s="76"/>
      <c r="C75" s="77"/>
      <c r="D75" s="76"/>
      <c r="E75" s="76"/>
      <c r="F75" s="76"/>
      <c r="G75" s="76"/>
      <c r="H75" s="76"/>
      <c r="I75" s="75"/>
      <c r="J75" s="78"/>
      <c r="K75" s="76"/>
      <c r="L75" s="79" t="b">
        <v>0</v>
      </c>
      <c r="M75" s="80" t="str">
        <f t="shared" si="1"/>
        <v/>
      </c>
      <c r="N75" s="131" t="b">
        <v>0</v>
      </c>
      <c r="O75" s="80" t="str">
        <f t="shared" si="2"/>
        <v/>
      </c>
      <c r="P75" s="76"/>
      <c r="Q75" s="76"/>
      <c r="R75" s="76" t="b">
        <v>0</v>
      </c>
      <c r="S75" s="82" t="b">
        <v>0</v>
      </c>
      <c r="T75" s="76"/>
      <c r="U75" s="79"/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/>
      <c r="B76" s="76"/>
      <c r="C76" s="77"/>
      <c r="D76" s="76"/>
      <c r="E76" s="76"/>
      <c r="F76" s="76"/>
      <c r="G76" s="76"/>
      <c r="H76" s="76"/>
      <c r="I76" s="75"/>
      <c r="J76" s="78"/>
      <c r="K76" s="76"/>
      <c r="L76" s="79" t="b">
        <v>0</v>
      </c>
      <c r="M76" s="80" t="str">
        <f t="shared" si="1"/>
        <v/>
      </c>
      <c r="N76" s="131" t="b">
        <v>0</v>
      </c>
      <c r="O76" s="80" t="str">
        <f t="shared" si="2"/>
        <v/>
      </c>
      <c r="P76" s="76"/>
      <c r="Q76" s="76"/>
      <c r="R76" s="76" t="b">
        <v>0</v>
      </c>
      <c r="S76" s="82" t="b">
        <v>0</v>
      </c>
      <c r="T76" s="76"/>
      <c r="U76" s="79"/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/>
      <c r="B77" s="76"/>
      <c r="C77" s="77"/>
      <c r="D77" s="76"/>
      <c r="E77" s="76"/>
      <c r="F77" s="76"/>
      <c r="G77" s="76"/>
      <c r="H77" s="76"/>
      <c r="I77" s="75"/>
      <c r="J77" s="78"/>
      <c r="K77" s="76"/>
      <c r="L77" s="79" t="b">
        <v>0</v>
      </c>
      <c r="M77" s="80" t="str">
        <f t="shared" si="1"/>
        <v/>
      </c>
      <c r="N77" s="131" t="b">
        <v>0</v>
      </c>
      <c r="O77" s="80" t="str">
        <f t="shared" si="2"/>
        <v/>
      </c>
      <c r="P77" s="76"/>
      <c r="Q77" s="76"/>
      <c r="R77" s="76" t="b">
        <v>0</v>
      </c>
      <c r="S77" s="82" t="b">
        <v>0</v>
      </c>
      <c r="T77" s="76"/>
      <c r="U77" s="79"/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/>
      <c r="B78" s="76"/>
      <c r="C78" s="77"/>
      <c r="D78" s="76"/>
      <c r="E78" s="76"/>
      <c r="F78" s="76"/>
      <c r="G78" s="76"/>
      <c r="H78" s="76"/>
      <c r="I78" s="75"/>
      <c r="J78" s="78"/>
      <c r="K78" s="76"/>
      <c r="L78" s="79" t="b">
        <v>0</v>
      </c>
      <c r="M78" s="80" t="str">
        <f t="shared" si="1"/>
        <v/>
      </c>
      <c r="N78" s="131" t="b">
        <v>0</v>
      </c>
      <c r="O78" s="80" t="str">
        <f t="shared" si="2"/>
        <v/>
      </c>
      <c r="P78" s="76"/>
      <c r="Q78" s="76"/>
      <c r="R78" s="76" t="b">
        <v>0</v>
      </c>
      <c r="S78" s="82" t="b">
        <v>0</v>
      </c>
      <c r="T78" s="76"/>
      <c r="U78" s="79"/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76"/>
      <c r="C79" s="77"/>
      <c r="D79" s="76"/>
      <c r="E79" s="76"/>
      <c r="F79" s="76"/>
      <c r="G79" s="76"/>
      <c r="H79" s="76"/>
      <c r="I79" s="75"/>
      <c r="J79" s="78"/>
      <c r="K79" s="76"/>
      <c r="L79" s="79" t="b">
        <v>0</v>
      </c>
      <c r="M79" s="80" t="str">
        <f t="shared" si="1"/>
        <v/>
      </c>
      <c r="N79" s="131" t="b">
        <v>0</v>
      </c>
      <c r="O79" s="80" t="str">
        <f t="shared" si="2"/>
        <v/>
      </c>
      <c r="P79" s="76"/>
      <c r="Q79" s="76"/>
      <c r="R79" s="76" t="b">
        <v>0</v>
      </c>
      <c r="S79" s="82" t="b">
        <v>0</v>
      </c>
      <c r="T79" s="76"/>
      <c r="U79" s="79"/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/>
      <c r="B80" s="76"/>
      <c r="C80" s="77"/>
      <c r="D80" s="76"/>
      <c r="E80" s="76"/>
      <c r="F80" s="76"/>
      <c r="G80" s="76"/>
      <c r="H80" s="76"/>
      <c r="I80" s="75"/>
      <c r="J80" s="78"/>
      <c r="K80" s="76"/>
      <c r="L80" s="79" t="b">
        <v>0</v>
      </c>
      <c r="M80" s="80" t="str">
        <f t="shared" si="1"/>
        <v/>
      </c>
      <c r="N80" s="131" t="b">
        <v>0</v>
      </c>
      <c r="O80" s="80" t="str">
        <f t="shared" si="2"/>
        <v/>
      </c>
      <c r="P80" s="76"/>
      <c r="Q80" s="76"/>
      <c r="R80" s="76" t="b">
        <v>0</v>
      </c>
      <c r="S80" s="82" t="b">
        <v>0</v>
      </c>
      <c r="T80" s="76"/>
      <c r="U80" s="79"/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76"/>
      <c r="C81" s="77"/>
      <c r="D81" s="76"/>
      <c r="E81" s="76"/>
      <c r="F81" s="76"/>
      <c r="G81" s="76"/>
      <c r="H81" s="76"/>
      <c r="I81" s="75"/>
      <c r="J81" s="78"/>
      <c r="K81" s="76"/>
      <c r="L81" s="79" t="b">
        <v>0</v>
      </c>
      <c r="M81" s="80" t="str">
        <f t="shared" si="1"/>
        <v/>
      </c>
      <c r="N81" s="131" t="b">
        <v>0</v>
      </c>
      <c r="O81" s="80" t="str">
        <f t="shared" si="2"/>
        <v/>
      </c>
      <c r="P81" s="76"/>
      <c r="Q81" s="76"/>
      <c r="R81" s="76" t="b">
        <v>0</v>
      </c>
      <c r="S81" s="82" t="b">
        <v>0</v>
      </c>
      <c r="T81" s="76"/>
      <c r="U81" s="79"/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/>
      <c r="B82" s="76"/>
      <c r="C82" s="77"/>
      <c r="D82" s="76"/>
      <c r="E82" s="76"/>
      <c r="F82" s="76"/>
      <c r="G82" s="76"/>
      <c r="H82" s="76"/>
      <c r="I82" s="75"/>
      <c r="J82" s="78"/>
      <c r="K82" s="76"/>
      <c r="L82" s="79" t="b">
        <v>0</v>
      </c>
      <c r="M82" s="80" t="str">
        <f t="shared" si="1"/>
        <v/>
      </c>
      <c r="N82" s="131" t="b">
        <v>0</v>
      </c>
      <c r="O82" s="80" t="str">
        <f t="shared" si="2"/>
        <v/>
      </c>
      <c r="P82" s="76"/>
      <c r="Q82" s="76"/>
      <c r="R82" s="76" t="b">
        <v>0</v>
      </c>
      <c r="S82" s="82" t="b">
        <v>0</v>
      </c>
      <c r="T82" s="76"/>
      <c r="U82" s="79"/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/>
      <c r="B83" s="76"/>
      <c r="C83" s="77"/>
      <c r="D83" s="76"/>
      <c r="E83" s="76"/>
      <c r="F83" s="76"/>
      <c r="G83" s="76"/>
      <c r="H83" s="76"/>
      <c r="I83" s="75"/>
      <c r="J83" s="78"/>
      <c r="K83" s="76"/>
      <c r="L83" s="79" t="b">
        <v>0</v>
      </c>
      <c r="M83" s="80" t="str">
        <f t="shared" si="1"/>
        <v/>
      </c>
      <c r="N83" s="79" t="b">
        <v>0</v>
      </c>
      <c r="O83" s="80" t="str">
        <f t="shared" si="2"/>
        <v/>
      </c>
      <c r="P83" s="76"/>
      <c r="Q83" s="76"/>
      <c r="R83" s="76" t="b">
        <v>0</v>
      </c>
      <c r="S83" s="82" t="b">
        <v>0</v>
      </c>
      <c r="T83" s="76"/>
      <c r="U83" s="79"/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/>
      <c r="B84" s="76"/>
      <c r="C84" s="77"/>
      <c r="D84" s="76"/>
      <c r="E84" s="76"/>
      <c r="F84" s="76"/>
      <c r="G84" s="76"/>
      <c r="H84" s="76"/>
      <c r="I84" s="75"/>
      <c r="J84" s="78"/>
      <c r="K84" s="76"/>
      <c r="L84" s="79" t="b">
        <v>0</v>
      </c>
      <c r="M84" s="80" t="str">
        <f t="shared" si="1"/>
        <v/>
      </c>
      <c r="N84" s="79" t="b">
        <v>0</v>
      </c>
      <c r="O84" s="80" t="str">
        <f t="shared" si="2"/>
        <v/>
      </c>
      <c r="P84" s="76"/>
      <c r="Q84" s="76"/>
      <c r="R84" s="76" t="b">
        <v>0</v>
      </c>
      <c r="S84" s="82" t="b">
        <v>0</v>
      </c>
      <c r="T84" s="76"/>
      <c r="U84" s="79"/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/>
      <c r="B85" s="76"/>
      <c r="C85" s="77"/>
      <c r="D85" s="76"/>
      <c r="E85" s="76"/>
      <c r="F85" s="76"/>
      <c r="G85" s="76"/>
      <c r="H85" s="76"/>
      <c r="I85" s="75"/>
      <c r="J85" s="78"/>
      <c r="K85" s="76"/>
      <c r="L85" s="79" t="b">
        <v>0</v>
      </c>
      <c r="M85" s="80" t="str">
        <f t="shared" si="1"/>
        <v/>
      </c>
      <c r="N85" s="79" t="b">
        <v>0</v>
      </c>
      <c r="O85" s="80" t="str">
        <f t="shared" si="2"/>
        <v/>
      </c>
      <c r="P85" s="76"/>
      <c r="Q85" s="76"/>
      <c r="R85" s="76" t="b">
        <v>0</v>
      </c>
      <c r="S85" s="82" t="b">
        <v>0</v>
      </c>
      <c r="T85" s="76"/>
      <c r="U85" s="79"/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/>
      <c r="B86" s="76"/>
      <c r="C86" s="77"/>
      <c r="D86" s="76"/>
      <c r="E86" s="76"/>
      <c r="F86" s="76"/>
      <c r="G86" s="76"/>
      <c r="H86" s="76"/>
      <c r="I86" s="75"/>
      <c r="J86" s="78"/>
      <c r="K86" s="76"/>
      <c r="L86" s="79" t="b">
        <v>0</v>
      </c>
      <c r="M86" s="80" t="str">
        <f t="shared" si="1"/>
        <v/>
      </c>
      <c r="N86" s="79" t="b">
        <v>0</v>
      </c>
      <c r="O86" s="80" t="str">
        <f t="shared" si="2"/>
        <v/>
      </c>
      <c r="P86" s="76"/>
      <c r="Q86" s="76"/>
      <c r="R86" s="76" t="b">
        <v>0</v>
      </c>
      <c r="S86" s="82" t="b">
        <v>0</v>
      </c>
      <c r="T86" s="76"/>
      <c r="U86" s="79"/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76"/>
      <c r="C87" s="77"/>
      <c r="D87" s="76"/>
      <c r="E87" s="76"/>
      <c r="F87" s="76"/>
      <c r="G87" s="76"/>
      <c r="H87" s="76"/>
      <c r="I87" s="75"/>
      <c r="J87" s="78"/>
      <c r="K87" s="76"/>
      <c r="L87" s="79" t="b">
        <v>0</v>
      </c>
      <c r="M87" s="80" t="str">
        <f t="shared" si="1"/>
        <v/>
      </c>
      <c r="N87" s="79" t="b">
        <v>0</v>
      </c>
      <c r="O87" s="80" t="str">
        <f t="shared" si="2"/>
        <v/>
      </c>
      <c r="P87" s="76"/>
      <c r="Q87" s="76"/>
      <c r="R87" s="76" t="b">
        <v>0</v>
      </c>
      <c r="S87" s="82" t="b">
        <v>0</v>
      </c>
      <c r="T87" s="76"/>
      <c r="U87" s="79"/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/>
      <c r="B88" s="76"/>
      <c r="C88" s="77"/>
      <c r="D88" s="76"/>
      <c r="E88" s="76"/>
      <c r="F88" s="76"/>
      <c r="G88" s="76"/>
      <c r="H88" s="76"/>
      <c r="I88" s="75"/>
      <c r="J88" s="78"/>
      <c r="K88" s="76"/>
      <c r="L88" s="79" t="b">
        <v>0</v>
      </c>
      <c r="M88" s="80" t="str">
        <f t="shared" si="1"/>
        <v/>
      </c>
      <c r="N88" s="79" t="b">
        <v>0</v>
      </c>
      <c r="O88" s="80" t="str">
        <f t="shared" si="2"/>
        <v/>
      </c>
      <c r="P88" s="76"/>
      <c r="Q88" s="76"/>
      <c r="R88" s="76" t="b">
        <v>0</v>
      </c>
      <c r="S88" s="82" t="b">
        <v>0</v>
      </c>
      <c r="T88" s="76"/>
      <c r="U88" s="79"/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76"/>
      <c r="C89" s="77"/>
      <c r="D89" s="76"/>
      <c r="E89" s="76"/>
      <c r="F89" s="76"/>
      <c r="G89" s="76"/>
      <c r="H89" s="76"/>
      <c r="I89" s="75"/>
      <c r="J89" s="78"/>
      <c r="K89" s="76"/>
      <c r="L89" s="79" t="b">
        <v>0</v>
      </c>
      <c r="M89" s="80" t="str">
        <f t="shared" si="1"/>
        <v/>
      </c>
      <c r="N89" s="79" t="b">
        <v>0</v>
      </c>
      <c r="O89" s="80" t="str">
        <f t="shared" si="2"/>
        <v/>
      </c>
      <c r="P89" s="76"/>
      <c r="Q89" s="76"/>
      <c r="R89" s="76" t="b">
        <v>0</v>
      </c>
      <c r="S89" s="82" t="b">
        <v>0</v>
      </c>
      <c r="T89" s="76"/>
      <c r="U89" s="79"/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/>
      <c r="B90" s="76"/>
      <c r="C90" s="77"/>
      <c r="D90" s="76"/>
      <c r="E90" s="76"/>
      <c r="F90" s="76"/>
      <c r="G90" s="76"/>
      <c r="H90" s="76"/>
      <c r="I90" s="75"/>
      <c r="J90" s="78"/>
      <c r="K90" s="76"/>
      <c r="L90" s="79" t="b">
        <v>0</v>
      </c>
      <c r="M90" s="80" t="str">
        <f t="shared" si="1"/>
        <v/>
      </c>
      <c r="N90" s="79" t="b">
        <v>0</v>
      </c>
      <c r="O90" s="80" t="str">
        <f t="shared" si="2"/>
        <v/>
      </c>
      <c r="P90" s="76"/>
      <c r="Q90" s="76"/>
      <c r="R90" s="76" t="b">
        <v>0</v>
      </c>
      <c r="S90" s="82" t="b">
        <v>0</v>
      </c>
      <c r="T90" s="76"/>
      <c r="U90" s="79"/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76"/>
      <c r="C91" s="77"/>
      <c r="D91" s="76"/>
      <c r="E91" s="76"/>
      <c r="F91" s="76"/>
      <c r="G91" s="76"/>
      <c r="H91" s="76"/>
      <c r="I91" s="75"/>
      <c r="J91" s="78"/>
      <c r="K91" s="76"/>
      <c r="L91" s="79" t="b">
        <v>0</v>
      </c>
      <c r="M91" s="80" t="str">
        <f t="shared" si="1"/>
        <v/>
      </c>
      <c r="N91" s="79" t="b">
        <v>0</v>
      </c>
      <c r="O91" s="80" t="str">
        <f t="shared" si="2"/>
        <v/>
      </c>
      <c r="P91" s="76"/>
      <c r="Q91" s="76"/>
      <c r="R91" s="76" t="b">
        <v>0</v>
      </c>
      <c r="S91" s="82" t="b">
        <v>0</v>
      </c>
      <c r="T91" s="76"/>
      <c r="U91" s="79"/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76"/>
      <c r="C92" s="77"/>
      <c r="D92" s="76"/>
      <c r="E92" s="76"/>
      <c r="F92" s="76"/>
      <c r="G92" s="76"/>
      <c r="H92" s="76"/>
      <c r="I92" s="75"/>
      <c r="J92" s="78"/>
      <c r="K92" s="76"/>
      <c r="L92" s="79" t="b">
        <v>0</v>
      </c>
      <c r="M92" s="80" t="str">
        <f t="shared" si="1"/>
        <v/>
      </c>
      <c r="N92" s="79" t="b">
        <v>0</v>
      </c>
      <c r="O92" s="80" t="str">
        <f t="shared" si="2"/>
        <v/>
      </c>
      <c r="P92" s="76"/>
      <c r="Q92" s="76"/>
      <c r="R92" s="76" t="b">
        <v>0</v>
      </c>
      <c r="S92" s="82" t="b">
        <v>0</v>
      </c>
      <c r="T92" s="76"/>
      <c r="U92" s="79"/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76"/>
      <c r="C93" s="77"/>
      <c r="D93" s="76"/>
      <c r="E93" s="76"/>
      <c r="F93" s="76"/>
      <c r="G93" s="76"/>
      <c r="H93" s="76"/>
      <c r="I93" s="75"/>
      <c r="J93" s="78"/>
      <c r="K93" s="76"/>
      <c r="L93" s="79" t="b">
        <v>0</v>
      </c>
      <c r="M93" s="80" t="str">
        <f t="shared" si="1"/>
        <v/>
      </c>
      <c r="N93" s="79" t="b">
        <v>0</v>
      </c>
      <c r="O93" s="80" t="str">
        <f t="shared" si="2"/>
        <v/>
      </c>
      <c r="P93" s="76"/>
      <c r="Q93" s="76"/>
      <c r="R93" s="76" t="b">
        <v>0</v>
      </c>
      <c r="S93" s="82" t="b">
        <v>0</v>
      </c>
      <c r="T93" s="76"/>
      <c r="U93" s="79"/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/>
      <c r="B94" s="76"/>
      <c r="C94" s="77"/>
      <c r="D94" s="76"/>
      <c r="E94" s="76"/>
      <c r="F94" s="76"/>
      <c r="G94" s="76"/>
      <c r="H94" s="76"/>
      <c r="I94" s="75"/>
      <c r="J94" s="78"/>
      <c r="K94" s="76"/>
      <c r="L94" s="79" t="b">
        <v>0</v>
      </c>
      <c r="M94" s="80" t="str">
        <f t="shared" si="1"/>
        <v/>
      </c>
      <c r="N94" s="79" t="b">
        <v>0</v>
      </c>
      <c r="O94" s="80" t="str">
        <f t="shared" si="2"/>
        <v/>
      </c>
      <c r="P94" s="76"/>
      <c r="Q94" s="76"/>
      <c r="R94" s="76" t="b">
        <v>0</v>
      </c>
      <c r="S94" s="82" t="b">
        <v>0</v>
      </c>
      <c r="T94" s="76"/>
      <c r="U94" s="79"/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/>
      <c r="B95" s="76"/>
      <c r="C95" s="77"/>
      <c r="D95" s="76"/>
      <c r="E95" s="76"/>
      <c r="F95" s="76"/>
      <c r="G95" s="76"/>
      <c r="H95" s="76"/>
      <c r="I95" s="75"/>
      <c r="J95" s="78"/>
      <c r="K95" s="76"/>
      <c r="L95" s="79" t="b">
        <v>0</v>
      </c>
      <c r="M95" s="80" t="str">
        <f t="shared" si="1"/>
        <v/>
      </c>
      <c r="N95" s="79" t="b">
        <v>0</v>
      </c>
      <c r="O95" s="80" t="str">
        <f t="shared" si="2"/>
        <v/>
      </c>
      <c r="P95" s="76"/>
      <c r="Q95" s="76"/>
      <c r="R95" s="76" t="b">
        <v>0</v>
      </c>
      <c r="S95" s="82" t="b">
        <v>0</v>
      </c>
      <c r="T95" s="76"/>
      <c r="U95" s="79"/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76"/>
      <c r="C96" s="77"/>
      <c r="D96" s="76"/>
      <c r="E96" s="76"/>
      <c r="F96" s="76"/>
      <c r="G96" s="76"/>
      <c r="H96" s="76"/>
      <c r="I96" s="75"/>
      <c r="J96" s="78"/>
      <c r="K96" s="76"/>
      <c r="L96" s="79" t="b">
        <v>0</v>
      </c>
      <c r="M96" s="80" t="str">
        <f t="shared" si="1"/>
        <v/>
      </c>
      <c r="N96" s="79" t="b">
        <v>0</v>
      </c>
      <c r="O96" s="80" t="str">
        <f t="shared" si="2"/>
        <v/>
      </c>
      <c r="P96" s="76"/>
      <c r="Q96" s="76"/>
      <c r="R96" s="76" t="b">
        <v>0</v>
      </c>
      <c r="S96" s="82" t="b">
        <v>0</v>
      </c>
      <c r="T96" s="76"/>
      <c r="U96" s="79"/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76"/>
      <c r="C97" s="77"/>
      <c r="D97" s="76"/>
      <c r="E97" s="76"/>
      <c r="F97" s="76"/>
      <c r="G97" s="76"/>
      <c r="H97" s="76"/>
      <c r="I97" s="75"/>
      <c r="J97" s="78"/>
      <c r="K97" s="76"/>
      <c r="L97" s="79" t="b">
        <v>0</v>
      </c>
      <c r="M97" s="80" t="str">
        <f t="shared" si="1"/>
        <v/>
      </c>
      <c r="N97" s="79" t="b">
        <v>0</v>
      </c>
      <c r="O97" s="80" t="str">
        <f t="shared" si="2"/>
        <v/>
      </c>
      <c r="P97" s="76"/>
      <c r="Q97" s="76"/>
      <c r="R97" s="76" t="b">
        <v>0</v>
      </c>
      <c r="S97" s="82" t="b">
        <v>0</v>
      </c>
      <c r="T97" s="76"/>
      <c r="U97" s="79"/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76"/>
      <c r="C98" s="77"/>
      <c r="D98" s="76"/>
      <c r="E98" s="76"/>
      <c r="F98" s="76"/>
      <c r="G98" s="76"/>
      <c r="H98" s="76"/>
      <c r="I98" s="75"/>
      <c r="J98" s="78"/>
      <c r="K98" s="76"/>
      <c r="L98" s="79" t="b">
        <v>0</v>
      </c>
      <c r="M98" s="80" t="str">
        <f t="shared" si="1"/>
        <v/>
      </c>
      <c r="N98" s="79" t="b">
        <v>0</v>
      </c>
      <c r="O98" s="80" t="str">
        <f t="shared" si="2"/>
        <v/>
      </c>
      <c r="P98" s="76"/>
      <c r="Q98" s="76"/>
      <c r="R98" s="76" t="b">
        <v>0</v>
      </c>
      <c r="S98" s="82" t="b">
        <v>0</v>
      </c>
      <c r="T98" s="76"/>
      <c r="U98" s="79"/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76"/>
      <c r="C99" s="77"/>
      <c r="D99" s="76"/>
      <c r="E99" s="76"/>
      <c r="F99" s="76"/>
      <c r="G99" s="76"/>
      <c r="H99" s="76"/>
      <c r="I99" s="75"/>
      <c r="J99" s="78"/>
      <c r="K99" s="76"/>
      <c r="L99" s="79" t="b">
        <v>0</v>
      </c>
      <c r="M99" s="80" t="str">
        <f t="shared" si="1"/>
        <v/>
      </c>
      <c r="N99" s="79" t="b">
        <v>0</v>
      </c>
      <c r="O99" s="80" t="str">
        <f t="shared" si="2"/>
        <v/>
      </c>
      <c r="P99" s="76"/>
      <c r="Q99" s="76"/>
      <c r="R99" s="76" t="b">
        <v>0</v>
      </c>
      <c r="S99" s="82" t="b">
        <v>0</v>
      </c>
      <c r="T99" s="76"/>
      <c r="U99" s="79"/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76"/>
      <c r="C100" s="77"/>
      <c r="D100" s="76"/>
      <c r="E100" s="76"/>
      <c r="F100" s="76"/>
      <c r="G100" s="76"/>
      <c r="H100" s="76"/>
      <c r="I100" s="75"/>
      <c r="J100" s="78"/>
      <c r="K100" s="76"/>
      <c r="L100" s="79" t="b">
        <v>0</v>
      </c>
      <c r="M100" s="80" t="str">
        <f t="shared" si="1"/>
        <v/>
      </c>
      <c r="N100" s="79" t="b">
        <v>0</v>
      </c>
      <c r="O100" s="80" t="str">
        <f t="shared" si="2"/>
        <v/>
      </c>
      <c r="P100" s="76"/>
      <c r="Q100" s="76"/>
      <c r="R100" s="76" t="b">
        <v>0</v>
      </c>
      <c r="S100" s="82" t="b">
        <v>0</v>
      </c>
      <c r="T100" s="76"/>
      <c r="U100" s="79"/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76"/>
      <c r="C101" s="77"/>
      <c r="D101" s="76"/>
      <c r="E101" s="76"/>
      <c r="F101" s="76"/>
      <c r="G101" s="76"/>
      <c r="H101" s="76"/>
      <c r="I101" s="75"/>
      <c r="J101" s="78"/>
      <c r="K101" s="76"/>
      <c r="L101" s="79" t="b">
        <v>0</v>
      </c>
      <c r="M101" s="80" t="str">
        <f t="shared" si="1"/>
        <v/>
      </c>
      <c r="N101" s="79" t="b">
        <v>0</v>
      </c>
      <c r="O101" s="80" t="str">
        <f t="shared" si="2"/>
        <v/>
      </c>
      <c r="P101" s="76"/>
      <c r="Q101" s="76"/>
      <c r="R101" s="76" t="b">
        <v>0</v>
      </c>
      <c r="S101" s="82" t="b">
        <v>0</v>
      </c>
      <c r="T101" s="76"/>
      <c r="U101" s="79"/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76"/>
      <c r="C102" s="77"/>
      <c r="D102" s="76"/>
      <c r="E102" s="76"/>
      <c r="F102" s="76"/>
      <c r="G102" s="76"/>
      <c r="H102" s="76"/>
      <c r="I102" s="75"/>
      <c r="J102" s="78"/>
      <c r="K102" s="76"/>
      <c r="L102" s="79" t="b">
        <v>0</v>
      </c>
      <c r="M102" s="80" t="str">
        <f t="shared" si="1"/>
        <v/>
      </c>
      <c r="N102" s="79" t="b">
        <v>0</v>
      </c>
      <c r="O102" s="80" t="str">
        <f t="shared" si="2"/>
        <v/>
      </c>
      <c r="P102" s="76"/>
      <c r="Q102" s="76"/>
      <c r="R102" s="76" t="b">
        <v>0</v>
      </c>
      <c r="S102" s="82" t="b">
        <v>0</v>
      </c>
      <c r="T102" s="76"/>
      <c r="U102" s="79"/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76"/>
      <c r="C103" s="77"/>
      <c r="D103" s="76"/>
      <c r="E103" s="76"/>
      <c r="F103" s="76"/>
      <c r="G103" s="76"/>
      <c r="H103" s="76"/>
      <c r="I103" s="75"/>
      <c r="J103" s="78"/>
      <c r="K103" s="76"/>
      <c r="L103" s="79" t="b">
        <v>0</v>
      </c>
      <c r="M103" s="80" t="str">
        <f t="shared" si="1"/>
        <v/>
      </c>
      <c r="N103" s="79" t="b">
        <v>0</v>
      </c>
      <c r="O103" s="80" t="str">
        <f t="shared" si="2"/>
        <v/>
      </c>
      <c r="P103" s="76"/>
      <c r="Q103" s="76"/>
      <c r="R103" s="76" t="b">
        <v>0</v>
      </c>
      <c r="S103" s="82" t="b">
        <v>0</v>
      </c>
      <c r="T103" s="76"/>
      <c r="U103" s="79"/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76"/>
      <c r="C104" s="77"/>
      <c r="D104" s="76"/>
      <c r="E104" s="76"/>
      <c r="F104" s="76"/>
      <c r="G104" s="76"/>
      <c r="H104" s="76"/>
      <c r="I104" s="75"/>
      <c r="J104" s="78"/>
      <c r="K104" s="76"/>
      <c r="L104" s="79" t="b">
        <v>0</v>
      </c>
      <c r="M104" s="80" t="str">
        <f t="shared" si="1"/>
        <v/>
      </c>
      <c r="N104" s="79" t="b">
        <v>0</v>
      </c>
      <c r="O104" s="80" t="str">
        <f t="shared" si="2"/>
        <v/>
      </c>
      <c r="P104" s="76"/>
      <c r="Q104" s="76"/>
      <c r="R104" s="76" t="b">
        <v>0</v>
      </c>
      <c r="S104" s="82" t="b">
        <v>0</v>
      </c>
      <c r="T104" s="76"/>
      <c r="U104" s="79"/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76"/>
      <c r="C105" s="77"/>
      <c r="D105" s="76"/>
      <c r="E105" s="76"/>
      <c r="F105" s="76"/>
      <c r="G105" s="76"/>
      <c r="H105" s="76"/>
      <c r="I105" s="75"/>
      <c r="J105" s="78"/>
      <c r="K105" s="76"/>
      <c r="L105" s="79" t="b">
        <v>0</v>
      </c>
      <c r="M105" s="80" t="str">
        <f t="shared" si="1"/>
        <v/>
      </c>
      <c r="N105" s="79" t="b">
        <v>0</v>
      </c>
      <c r="O105" s="80" t="str">
        <f t="shared" si="2"/>
        <v/>
      </c>
      <c r="P105" s="76"/>
      <c r="Q105" s="76"/>
      <c r="R105" s="76" t="b">
        <v>0</v>
      </c>
      <c r="S105" s="82" t="b">
        <v>0</v>
      </c>
      <c r="T105" s="76"/>
      <c r="U105" s="79"/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/>
      <c r="B106" s="76"/>
      <c r="C106" s="77"/>
      <c r="D106" s="76"/>
      <c r="E106" s="76"/>
      <c r="F106" s="76"/>
      <c r="G106" s="76"/>
      <c r="H106" s="76"/>
      <c r="I106" s="75"/>
      <c r="J106" s="78"/>
      <c r="K106" s="76"/>
      <c r="L106" s="79" t="b">
        <v>0</v>
      </c>
      <c r="M106" s="80" t="str">
        <f t="shared" si="1"/>
        <v/>
      </c>
      <c r="N106" s="79" t="b">
        <v>0</v>
      </c>
      <c r="O106" s="80" t="str">
        <f t="shared" si="2"/>
        <v/>
      </c>
      <c r="P106" s="76"/>
      <c r="Q106" s="76"/>
      <c r="R106" s="76" t="b">
        <v>0</v>
      </c>
      <c r="S106" s="82" t="b">
        <v>0</v>
      </c>
      <c r="T106" s="76"/>
      <c r="U106" s="79"/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/>
      <c r="B107" s="76"/>
      <c r="C107" s="77"/>
      <c r="D107" s="76"/>
      <c r="E107" s="76"/>
      <c r="F107" s="76"/>
      <c r="G107" s="76"/>
      <c r="H107" s="76"/>
      <c r="I107" s="75"/>
      <c r="J107" s="78"/>
      <c r="K107" s="76"/>
      <c r="L107" s="79" t="b">
        <v>0</v>
      </c>
      <c r="M107" s="80" t="str">
        <f t="shared" si="1"/>
        <v/>
      </c>
      <c r="N107" s="79" t="b">
        <v>0</v>
      </c>
      <c r="O107" s="80" t="str">
        <f t="shared" si="2"/>
        <v/>
      </c>
      <c r="P107" s="76"/>
      <c r="Q107" s="76"/>
      <c r="R107" s="76" t="b">
        <v>0</v>
      </c>
      <c r="S107" s="82" t="b">
        <v>0</v>
      </c>
      <c r="T107" s="76"/>
      <c r="U107" s="79"/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/>
      <c r="B108" s="76"/>
      <c r="C108" s="77"/>
      <c r="D108" s="76"/>
      <c r="E108" s="76"/>
      <c r="F108" s="76"/>
      <c r="G108" s="76"/>
      <c r="H108" s="76"/>
      <c r="I108" s="75"/>
      <c r="J108" s="78"/>
      <c r="K108" s="76"/>
      <c r="L108" s="79" t="b">
        <v>0</v>
      </c>
      <c r="M108" s="80" t="str">
        <f t="shared" si="1"/>
        <v/>
      </c>
      <c r="N108" s="79" t="b">
        <v>0</v>
      </c>
      <c r="O108" s="80" t="str">
        <f t="shared" si="2"/>
        <v/>
      </c>
      <c r="P108" s="76"/>
      <c r="Q108" s="76"/>
      <c r="R108" s="76" t="b">
        <v>0</v>
      </c>
      <c r="S108" s="82" t="b">
        <v>0</v>
      </c>
      <c r="T108" s="76"/>
      <c r="U108" s="79"/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/>
      <c r="B109" s="76"/>
      <c r="C109" s="77"/>
      <c r="D109" s="76"/>
      <c r="E109" s="76"/>
      <c r="F109" s="76"/>
      <c r="G109" s="76"/>
      <c r="H109" s="76"/>
      <c r="I109" s="75"/>
      <c r="J109" s="78"/>
      <c r="K109" s="76"/>
      <c r="L109" s="79" t="b">
        <v>0</v>
      </c>
      <c r="M109" s="80" t="str">
        <f t="shared" si="1"/>
        <v/>
      </c>
      <c r="N109" s="79" t="b">
        <v>0</v>
      </c>
      <c r="O109" s="80" t="str">
        <f t="shared" si="2"/>
        <v/>
      </c>
      <c r="P109" s="76"/>
      <c r="Q109" s="76"/>
      <c r="R109" s="76" t="b">
        <v>0</v>
      </c>
      <c r="S109" s="82" t="b">
        <v>0</v>
      </c>
      <c r="T109" s="76"/>
      <c r="U109" s="79"/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/>
      <c r="B110" s="76"/>
      <c r="C110" s="77"/>
      <c r="D110" s="76"/>
      <c r="E110" s="76"/>
      <c r="F110" s="76"/>
      <c r="G110" s="76"/>
      <c r="H110" s="76"/>
      <c r="I110" s="75"/>
      <c r="J110" s="78"/>
      <c r="K110" s="76"/>
      <c r="L110" s="79" t="b">
        <v>0</v>
      </c>
      <c r="M110" s="80" t="str">
        <f t="shared" si="1"/>
        <v/>
      </c>
      <c r="N110" s="79" t="b">
        <v>0</v>
      </c>
      <c r="O110" s="80" t="str">
        <f t="shared" si="2"/>
        <v/>
      </c>
      <c r="P110" s="76"/>
      <c r="Q110" s="76"/>
      <c r="R110" s="76" t="b">
        <v>0</v>
      </c>
      <c r="S110" s="82" t="b">
        <v>0</v>
      </c>
      <c r="T110" s="76"/>
      <c r="U110" s="79"/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/>
      <c r="B111" s="76"/>
      <c r="C111" s="77"/>
      <c r="D111" s="76"/>
      <c r="E111" s="76"/>
      <c r="F111" s="76"/>
      <c r="G111" s="76"/>
      <c r="H111" s="76"/>
      <c r="I111" s="75"/>
      <c r="J111" s="78"/>
      <c r="K111" s="76"/>
      <c r="L111" s="79" t="b">
        <v>0</v>
      </c>
      <c r="M111" s="80" t="str">
        <f t="shared" si="1"/>
        <v/>
      </c>
      <c r="N111" s="79" t="b">
        <v>0</v>
      </c>
      <c r="O111" s="80" t="str">
        <f t="shared" si="2"/>
        <v/>
      </c>
      <c r="P111" s="76"/>
      <c r="Q111" s="76"/>
      <c r="R111" s="76" t="b">
        <v>0</v>
      </c>
      <c r="S111" s="82" t="b">
        <v>0</v>
      </c>
      <c r="T111" s="76"/>
      <c r="U111" s="79"/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/>
      <c r="B112" s="76"/>
      <c r="C112" s="77"/>
      <c r="D112" s="76"/>
      <c r="E112" s="76"/>
      <c r="F112" s="76"/>
      <c r="G112" s="76"/>
      <c r="H112" s="76"/>
      <c r="I112" s="75"/>
      <c r="J112" s="78"/>
      <c r="K112" s="76"/>
      <c r="L112" s="79" t="b">
        <v>0</v>
      </c>
      <c r="M112" s="80" t="str">
        <f t="shared" si="1"/>
        <v/>
      </c>
      <c r="N112" s="79" t="b">
        <v>0</v>
      </c>
      <c r="O112" s="80" t="str">
        <f t="shared" si="2"/>
        <v/>
      </c>
      <c r="P112" s="76"/>
      <c r="Q112" s="76"/>
      <c r="R112" s="76" t="b">
        <v>0</v>
      </c>
      <c r="S112" s="82" t="b">
        <v>0</v>
      </c>
      <c r="T112" s="76"/>
      <c r="U112" s="79"/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/>
      <c r="B113" s="76"/>
      <c r="C113" s="77"/>
      <c r="D113" s="76"/>
      <c r="E113" s="76"/>
      <c r="F113" s="76"/>
      <c r="G113" s="76"/>
      <c r="H113" s="76"/>
      <c r="I113" s="75"/>
      <c r="J113" s="78"/>
      <c r="K113" s="76"/>
      <c r="L113" s="79" t="b">
        <v>0</v>
      </c>
      <c r="M113" s="80" t="str">
        <f t="shared" si="1"/>
        <v/>
      </c>
      <c r="N113" s="79" t="b">
        <v>0</v>
      </c>
      <c r="O113" s="80" t="str">
        <f t="shared" si="2"/>
        <v/>
      </c>
      <c r="P113" s="76"/>
      <c r="Q113" s="76"/>
      <c r="R113" s="76" t="b">
        <v>0</v>
      </c>
      <c r="S113" s="82" t="b">
        <v>0</v>
      </c>
      <c r="T113" s="76"/>
      <c r="U113" s="79"/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/>
      <c r="B114" s="91"/>
      <c r="C114" s="92"/>
      <c r="D114" s="136"/>
      <c r="E114" s="94"/>
      <c r="F114" s="136"/>
      <c r="G114" s="137"/>
      <c r="H114" s="91"/>
      <c r="I114" s="75"/>
      <c r="J114" s="78"/>
      <c r="K114" s="76"/>
      <c r="L114" s="79" t="b">
        <v>0</v>
      </c>
      <c r="M114" s="80" t="str">
        <f t="shared" si="1"/>
        <v/>
      </c>
      <c r="N114" s="79" t="b">
        <v>0</v>
      </c>
      <c r="O114" s="80" t="str">
        <f t="shared" si="2"/>
        <v/>
      </c>
      <c r="P114" s="76"/>
      <c r="Q114" s="76"/>
      <c r="R114" s="76" t="b">
        <v>0</v>
      </c>
      <c r="S114" s="82" t="b">
        <v>0</v>
      </c>
      <c r="T114" s="76"/>
      <c r="U114" s="79"/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/>
      <c r="B115" s="76"/>
      <c r="C115" s="77"/>
      <c r="D115" s="76"/>
      <c r="E115" s="76"/>
      <c r="F115" s="76"/>
      <c r="G115" s="76"/>
      <c r="H115" s="76"/>
      <c r="I115" s="75"/>
      <c r="J115" s="78"/>
      <c r="K115" s="76"/>
      <c r="L115" s="79" t="b">
        <v>0</v>
      </c>
      <c r="M115" s="80" t="str">
        <f t="shared" si="1"/>
        <v/>
      </c>
      <c r="N115" s="79" t="b">
        <v>0</v>
      </c>
      <c r="O115" s="80" t="str">
        <f t="shared" si="2"/>
        <v/>
      </c>
      <c r="P115" s="76"/>
      <c r="Q115" s="76"/>
      <c r="R115" s="76" t="b">
        <v>0</v>
      </c>
      <c r="S115" s="82" t="b">
        <v>0</v>
      </c>
      <c r="T115" s="76"/>
      <c r="U115" s="79"/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/>
      <c r="B116" s="76"/>
      <c r="C116" s="77"/>
      <c r="D116" s="76"/>
      <c r="E116" s="76"/>
      <c r="F116" s="76"/>
      <c r="G116" s="76"/>
      <c r="H116" s="76"/>
      <c r="I116" s="75"/>
      <c r="J116" s="78"/>
      <c r="K116" s="76"/>
      <c r="L116" s="79" t="b">
        <v>0</v>
      </c>
      <c r="M116" s="80" t="str">
        <f t="shared" si="1"/>
        <v/>
      </c>
      <c r="N116" s="79" t="b">
        <v>0</v>
      </c>
      <c r="O116" s="80" t="str">
        <f t="shared" si="2"/>
        <v/>
      </c>
      <c r="P116" s="76"/>
      <c r="Q116" s="76"/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/>
      <c r="B117" s="76"/>
      <c r="C117" s="77"/>
      <c r="D117" s="76"/>
      <c r="E117" s="76"/>
      <c r="F117" s="76"/>
      <c r="G117" s="76"/>
      <c r="H117" s="76"/>
      <c r="I117" s="75"/>
      <c r="J117" s="78"/>
      <c r="K117" s="76"/>
      <c r="L117" s="79" t="b">
        <v>0</v>
      </c>
      <c r="M117" s="80" t="str">
        <f t="shared" si="1"/>
        <v/>
      </c>
      <c r="N117" s="79" t="b">
        <v>0</v>
      </c>
      <c r="O117" s="80" t="str">
        <f t="shared" si="2"/>
        <v/>
      </c>
      <c r="P117" s="76"/>
      <c r="Q117" s="76"/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/>
      <c r="B118" s="76"/>
      <c r="C118" s="77"/>
      <c r="D118" s="76"/>
      <c r="E118" s="76"/>
      <c r="F118" s="76"/>
      <c r="G118" s="76"/>
      <c r="H118" s="76"/>
      <c r="I118" s="75"/>
      <c r="J118" s="78"/>
      <c r="K118" s="76"/>
      <c r="L118" s="79" t="b">
        <v>0</v>
      </c>
      <c r="M118" s="80" t="str">
        <f t="shared" si="1"/>
        <v/>
      </c>
      <c r="N118" s="79" t="b">
        <v>0</v>
      </c>
      <c r="O118" s="80" t="str">
        <f t="shared" si="2"/>
        <v/>
      </c>
      <c r="P118" s="76"/>
      <c r="Q118" s="76"/>
      <c r="R118" s="76" t="b">
        <v>0</v>
      </c>
      <c r="S118" s="82" t="b">
        <v>0</v>
      </c>
      <c r="T118" s="76"/>
      <c r="U118" s="79"/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/>
      <c r="B119" s="76"/>
      <c r="C119" s="77"/>
      <c r="D119" s="76"/>
      <c r="E119" s="76"/>
      <c r="F119" s="76"/>
      <c r="G119" s="76"/>
      <c r="H119" s="76"/>
      <c r="I119" s="75"/>
      <c r="J119" s="78"/>
      <c r="K119" s="76"/>
      <c r="L119" s="79" t="b">
        <v>0</v>
      </c>
      <c r="M119" s="80" t="str">
        <f t="shared" si="1"/>
        <v/>
      </c>
      <c r="N119" s="79" t="b">
        <v>0</v>
      </c>
      <c r="O119" s="80" t="str">
        <f t="shared" si="2"/>
        <v/>
      </c>
      <c r="P119" s="76"/>
      <c r="Q119" s="76"/>
      <c r="R119" s="76" t="b">
        <v>0</v>
      </c>
      <c r="S119" s="82" t="b">
        <v>0</v>
      </c>
      <c r="T119" s="76"/>
      <c r="U119" s="79"/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/>
      <c r="B120" s="76"/>
      <c r="C120" s="77"/>
      <c r="D120" s="76"/>
      <c r="E120" s="76"/>
      <c r="F120" s="76"/>
      <c r="G120" s="76"/>
      <c r="H120" s="76"/>
      <c r="I120" s="75"/>
      <c r="J120" s="78"/>
      <c r="K120" s="76"/>
      <c r="L120" s="79" t="b">
        <v>0</v>
      </c>
      <c r="M120" s="80" t="str">
        <f t="shared" si="1"/>
        <v/>
      </c>
      <c r="N120" s="79" t="b">
        <v>0</v>
      </c>
      <c r="O120" s="80" t="str">
        <f t="shared" si="2"/>
        <v/>
      </c>
      <c r="P120" s="76"/>
      <c r="Q120" s="76"/>
      <c r="R120" s="76" t="b">
        <v>0</v>
      </c>
      <c r="S120" s="82" t="b">
        <v>0</v>
      </c>
      <c r="T120" s="76"/>
      <c r="U120" s="79"/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/>
      <c r="B121" s="76"/>
      <c r="C121" s="77"/>
      <c r="D121" s="76"/>
      <c r="E121" s="76"/>
      <c r="F121" s="76"/>
      <c r="G121" s="76"/>
      <c r="H121" s="76"/>
      <c r="I121" s="75"/>
      <c r="J121" s="78"/>
      <c r="K121" s="76"/>
      <c r="L121" s="79" t="b">
        <v>0</v>
      </c>
      <c r="M121" s="80" t="str">
        <f t="shared" si="1"/>
        <v/>
      </c>
      <c r="N121" s="79" t="b">
        <v>0</v>
      </c>
      <c r="O121" s="80" t="str">
        <f t="shared" si="2"/>
        <v/>
      </c>
      <c r="P121" s="76"/>
      <c r="Q121" s="76"/>
      <c r="R121" s="76" t="b">
        <v>0</v>
      </c>
      <c r="S121" s="82" t="b">
        <v>0</v>
      </c>
      <c r="T121" s="76"/>
      <c r="U121" s="79"/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/>
      <c r="B122" s="76"/>
      <c r="C122" s="77"/>
      <c r="D122" s="76"/>
      <c r="E122" s="76"/>
      <c r="F122" s="76"/>
      <c r="G122" s="76"/>
      <c r="H122" s="76"/>
      <c r="I122" s="75"/>
      <c r="J122" s="78"/>
      <c r="K122" s="76"/>
      <c r="L122" s="79" t="b">
        <v>0</v>
      </c>
      <c r="M122" s="80" t="str">
        <f t="shared" si="1"/>
        <v/>
      </c>
      <c r="N122" s="79" t="b">
        <v>0</v>
      </c>
      <c r="O122" s="80" t="str">
        <f t="shared" si="2"/>
        <v/>
      </c>
      <c r="P122" s="76"/>
      <c r="Q122" s="76"/>
      <c r="R122" s="76" t="b">
        <v>0</v>
      </c>
      <c r="S122" s="82" t="b">
        <v>0</v>
      </c>
      <c r="T122" s="76"/>
      <c r="U122" s="79"/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/>
      <c r="B123" s="76"/>
      <c r="C123" s="77"/>
      <c r="D123" s="76"/>
      <c r="E123" s="76"/>
      <c r="F123" s="76"/>
      <c r="G123" s="76"/>
      <c r="H123" s="76"/>
      <c r="I123" s="75"/>
      <c r="J123" s="78"/>
      <c r="K123" s="76"/>
      <c r="L123" s="79" t="b">
        <v>0</v>
      </c>
      <c r="M123" s="80" t="str">
        <f t="shared" si="1"/>
        <v/>
      </c>
      <c r="N123" s="79" t="b">
        <v>0</v>
      </c>
      <c r="O123" s="80" t="str">
        <f t="shared" si="2"/>
        <v/>
      </c>
      <c r="P123" s="76"/>
      <c r="Q123" s="76"/>
      <c r="R123" s="76" t="b">
        <v>0</v>
      </c>
      <c r="S123" s="82" t="b">
        <v>0</v>
      </c>
      <c r="T123" s="76"/>
      <c r="U123" s="79"/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/>
      <c r="B124" s="76"/>
      <c r="C124" s="77"/>
      <c r="D124" s="76"/>
      <c r="E124" s="76"/>
      <c r="F124" s="76"/>
      <c r="G124" s="76"/>
      <c r="H124" s="76"/>
      <c r="I124" s="75"/>
      <c r="J124" s="78"/>
      <c r="K124" s="76"/>
      <c r="L124" s="79" t="b">
        <v>0</v>
      </c>
      <c r="M124" s="80" t="str">
        <f t="shared" si="1"/>
        <v/>
      </c>
      <c r="N124" s="79" t="b">
        <v>0</v>
      </c>
      <c r="O124" s="80" t="str">
        <f t="shared" si="2"/>
        <v/>
      </c>
      <c r="P124" s="76"/>
      <c r="Q124" s="76"/>
      <c r="R124" s="76" t="b">
        <v>0</v>
      </c>
      <c r="S124" s="82" t="b">
        <v>0</v>
      </c>
      <c r="T124" s="76"/>
      <c r="U124" s="79"/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/>
      <c r="B125" s="76"/>
      <c r="C125" s="77"/>
      <c r="D125" s="76"/>
      <c r="E125" s="76"/>
      <c r="F125" s="76"/>
      <c r="G125" s="76"/>
      <c r="H125" s="76"/>
      <c r="I125" s="75"/>
      <c r="J125" s="78"/>
      <c r="K125" s="76"/>
      <c r="L125" s="79" t="b">
        <v>0</v>
      </c>
      <c r="M125" s="80" t="str">
        <f t="shared" si="1"/>
        <v/>
      </c>
      <c r="N125" s="79" t="b">
        <v>0</v>
      </c>
      <c r="O125" s="80" t="str">
        <f t="shared" si="2"/>
        <v/>
      </c>
      <c r="P125" s="76"/>
      <c r="Q125" s="76"/>
      <c r="R125" s="76" t="b">
        <v>0</v>
      </c>
      <c r="S125" s="82" t="b">
        <v>0</v>
      </c>
      <c r="T125" s="76"/>
      <c r="U125" s="79"/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 t="b">
        <v>0</v>
      </c>
      <c r="M126" s="80" t="str">
        <f t="shared" si="1"/>
        <v/>
      </c>
      <c r="N126" s="79" t="b">
        <v>0</v>
      </c>
      <c r="O126" s="80" t="str">
        <f t="shared" si="2"/>
        <v/>
      </c>
      <c r="P126" s="76"/>
      <c r="Q126" s="76"/>
      <c r="R126" s="76" t="b">
        <v>0</v>
      </c>
      <c r="S126" s="82" t="b">
        <v>0</v>
      </c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/>
      <c r="B127" s="76"/>
      <c r="C127" s="77"/>
      <c r="D127" s="76"/>
      <c r="E127" s="76"/>
      <c r="F127" s="76"/>
      <c r="G127" s="76"/>
      <c r="H127" s="76"/>
      <c r="I127" s="75"/>
      <c r="J127" s="78"/>
      <c r="K127" s="76"/>
      <c r="L127" s="79" t="b">
        <v>0</v>
      </c>
      <c r="M127" s="80" t="str">
        <f t="shared" si="1"/>
        <v/>
      </c>
      <c r="N127" s="79" t="b">
        <v>0</v>
      </c>
      <c r="O127" s="80" t="str">
        <f t="shared" si="2"/>
        <v/>
      </c>
      <c r="P127" s="76"/>
      <c r="Q127" s="76"/>
      <c r="R127" s="76" t="b">
        <v>0</v>
      </c>
      <c r="S127" s="82" t="b">
        <v>0</v>
      </c>
      <c r="T127" s="76"/>
      <c r="U127" s="79"/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/>
      <c r="B128" s="76"/>
      <c r="C128" s="77"/>
      <c r="D128" s="76"/>
      <c r="E128" s="76"/>
      <c r="F128" s="76"/>
      <c r="G128" s="76"/>
      <c r="H128" s="76"/>
      <c r="I128" s="75"/>
      <c r="J128" s="78"/>
      <c r="K128" s="76"/>
      <c r="L128" s="79" t="b">
        <v>0</v>
      </c>
      <c r="M128" s="80" t="str">
        <f t="shared" si="1"/>
        <v/>
      </c>
      <c r="N128" s="79" t="b">
        <v>0</v>
      </c>
      <c r="O128" s="80" t="str">
        <f t="shared" si="2"/>
        <v/>
      </c>
      <c r="P128" s="76"/>
      <c r="Q128" s="76"/>
      <c r="R128" s="76" t="b">
        <v>0</v>
      </c>
      <c r="S128" s="82" t="b">
        <v>0</v>
      </c>
      <c r="T128" s="76"/>
      <c r="U128" s="79"/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/>
      <c r="B129" s="76"/>
      <c r="C129" s="77"/>
      <c r="D129" s="76"/>
      <c r="E129" s="76"/>
      <c r="F129" s="76"/>
      <c r="G129" s="76"/>
      <c r="H129" s="76"/>
      <c r="I129" s="75"/>
      <c r="J129" s="78"/>
      <c r="K129" s="76"/>
      <c r="L129" s="79" t="b">
        <v>0</v>
      </c>
      <c r="M129" s="80" t="str">
        <f t="shared" si="1"/>
        <v/>
      </c>
      <c r="N129" s="79" t="b">
        <v>0</v>
      </c>
      <c r="O129" s="80" t="str">
        <f t="shared" si="2"/>
        <v/>
      </c>
      <c r="P129" s="76"/>
      <c r="Q129" s="76"/>
      <c r="R129" s="76" t="b">
        <v>0</v>
      </c>
      <c r="S129" s="82" t="b">
        <v>0</v>
      </c>
      <c r="T129" s="76"/>
      <c r="U129" s="79"/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/>
      <c r="B130" s="76"/>
      <c r="C130" s="77"/>
      <c r="D130" s="76"/>
      <c r="E130" s="76"/>
      <c r="F130" s="76"/>
      <c r="G130" s="76"/>
      <c r="H130" s="76"/>
      <c r="I130" s="75"/>
      <c r="J130" s="78"/>
      <c r="K130" s="76"/>
      <c r="L130" s="79" t="b">
        <v>0</v>
      </c>
      <c r="M130" s="80" t="str">
        <f t="shared" si="1"/>
        <v/>
      </c>
      <c r="N130" s="79" t="b">
        <v>0</v>
      </c>
      <c r="O130" s="80" t="str">
        <f t="shared" si="2"/>
        <v/>
      </c>
      <c r="P130" s="76"/>
      <c r="Q130" s="76"/>
      <c r="R130" s="76" t="b">
        <v>0</v>
      </c>
      <c r="S130" s="82" t="b">
        <v>0</v>
      </c>
      <c r="T130" s="76"/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/>
      <c r="B131" s="76"/>
      <c r="C131" s="77"/>
      <c r="D131" s="76"/>
      <c r="E131" s="76"/>
      <c r="F131" s="76"/>
      <c r="G131" s="76"/>
      <c r="H131" s="76"/>
      <c r="I131" s="75"/>
      <c r="J131" s="78"/>
      <c r="K131" s="76"/>
      <c r="L131" s="79" t="b">
        <v>0</v>
      </c>
      <c r="M131" s="80" t="str">
        <f t="shared" si="1"/>
        <v/>
      </c>
      <c r="N131" s="79" t="b">
        <v>0</v>
      </c>
      <c r="O131" s="80" t="str">
        <f t="shared" si="2"/>
        <v/>
      </c>
      <c r="P131" s="76"/>
      <c r="Q131" s="76"/>
      <c r="R131" s="76" t="b">
        <v>0</v>
      </c>
      <c r="S131" s="82" t="b">
        <v>0</v>
      </c>
      <c r="T131" s="76"/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/>
      <c r="B132" s="76"/>
      <c r="C132" s="77"/>
      <c r="D132" s="76"/>
      <c r="E132" s="76"/>
      <c r="F132" s="76"/>
      <c r="G132" s="76"/>
      <c r="H132" s="76"/>
      <c r="I132" s="75"/>
      <c r="J132" s="78"/>
      <c r="K132" s="76"/>
      <c r="L132" s="79" t="b">
        <v>0</v>
      </c>
      <c r="M132" s="80" t="str">
        <f t="shared" si="1"/>
        <v/>
      </c>
      <c r="N132" s="79" t="b">
        <v>0</v>
      </c>
      <c r="O132" s="80" t="str">
        <f t="shared" si="2"/>
        <v/>
      </c>
      <c r="P132" s="76"/>
      <c r="Q132" s="76"/>
      <c r="R132" s="76" t="b">
        <v>0</v>
      </c>
      <c r="S132" s="82" t="b">
        <v>0</v>
      </c>
      <c r="T132" s="76"/>
      <c r="U132" s="79"/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/>
      <c r="B133" s="76"/>
      <c r="C133" s="77"/>
      <c r="D133" s="76"/>
      <c r="E133" s="76"/>
      <c r="F133" s="76"/>
      <c r="G133" s="76"/>
      <c r="H133" s="76"/>
      <c r="I133" s="75"/>
      <c r="J133" s="78"/>
      <c r="K133" s="76"/>
      <c r="L133" s="79" t="b">
        <v>0</v>
      </c>
      <c r="M133" s="80" t="str">
        <f t="shared" si="1"/>
        <v/>
      </c>
      <c r="N133" s="79" t="b">
        <v>0</v>
      </c>
      <c r="O133" s="80" t="str">
        <f t="shared" si="2"/>
        <v/>
      </c>
      <c r="P133" s="76"/>
      <c r="Q133" s="76"/>
      <c r="R133" s="76" t="b">
        <v>0</v>
      </c>
      <c r="S133" s="82" t="b">
        <v>0</v>
      </c>
      <c r="T133" s="76"/>
      <c r="U133" s="79"/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/>
      <c r="B134" s="76"/>
      <c r="C134" s="77"/>
      <c r="D134" s="76"/>
      <c r="E134" s="76"/>
      <c r="F134" s="76"/>
      <c r="G134" s="76"/>
      <c r="H134" s="76"/>
      <c r="I134" s="75"/>
      <c r="J134" s="78"/>
      <c r="K134" s="76"/>
      <c r="L134" s="79" t="b">
        <v>0</v>
      </c>
      <c r="M134" s="80" t="str">
        <f t="shared" si="1"/>
        <v/>
      </c>
      <c r="N134" s="79" t="b">
        <v>0</v>
      </c>
      <c r="O134" s="80" t="str">
        <f t="shared" si="2"/>
        <v/>
      </c>
      <c r="P134" s="76"/>
      <c r="Q134" s="76"/>
      <c r="R134" s="76" t="b">
        <v>0</v>
      </c>
      <c r="S134" s="82" t="b">
        <v>0</v>
      </c>
      <c r="T134" s="76"/>
      <c r="U134" s="79"/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/>
      <c r="B135" s="76"/>
      <c r="C135" s="77"/>
      <c r="D135" s="76"/>
      <c r="E135" s="76"/>
      <c r="F135" s="76"/>
      <c r="G135" s="76"/>
      <c r="H135" s="76"/>
      <c r="I135" s="75"/>
      <c r="J135" s="78"/>
      <c r="K135" s="76"/>
      <c r="L135" s="79" t="b">
        <v>0</v>
      </c>
      <c r="M135" s="80" t="str">
        <f t="shared" si="1"/>
        <v/>
      </c>
      <c r="N135" s="79" t="b">
        <v>0</v>
      </c>
      <c r="O135" s="80" t="str">
        <f t="shared" si="2"/>
        <v/>
      </c>
      <c r="P135" s="76"/>
      <c r="Q135" s="76"/>
      <c r="R135" s="76" t="b">
        <v>0</v>
      </c>
      <c r="S135" s="82" t="b">
        <v>0</v>
      </c>
      <c r="T135" s="76"/>
      <c r="U135" s="79"/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/>
      <c r="B136" s="76"/>
      <c r="C136" s="77"/>
      <c r="D136" s="76"/>
      <c r="E136" s="76"/>
      <c r="F136" s="76"/>
      <c r="G136" s="76"/>
      <c r="H136" s="76"/>
      <c r="I136" s="75"/>
      <c r="J136" s="78"/>
      <c r="K136" s="76"/>
      <c r="L136" s="79" t="b">
        <v>0</v>
      </c>
      <c r="M136" s="80" t="str">
        <f t="shared" si="1"/>
        <v/>
      </c>
      <c r="N136" s="79" t="b">
        <v>0</v>
      </c>
      <c r="O136" s="80" t="str">
        <f t="shared" si="2"/>
        <v/>
      </c>
      <c r="P136" s="76"/>
      <c r="Q136" s="76"/>
      <c r="R136" s="76" t="b">
        <v>0</v>
      </c>
      <c r="S136" s="82" t="b">
        <v>0</v>
      </c>
      <c r="T136" s="76"/>
      <c r="U136" s="79"/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/>
      <c r="B137" s="76"/>
      <c r="C137" s="77"/>
      <c r="D137" s="76"/>
      <c r="E137" s="76"/>
      <c r="F137" s="76"/>
      <c r="G137" s="76"/>
      <c r="H137" s="76"/>
      <c r="I137" s="75"/>
      <c r="J137" s="78"/>
      <c r="K137" s="76"/>
      <c r="L137" s="79" t="b">
        <v>0</v>
      </c>
      <c r="M137" s="80" t="str">
        <f t="shared" si="1"/>
        <v/>
      </c>
      <c r="N137" s="79" t="b">
        <v>0</v>
      </c>
      <c r="O137" s="80" t="str">
        <f t="shared" si="2"/>
        <v/>
      </c>
      <c r="P137" s="76"/>
      <c r="Q137" s="76"/>
      <c r="R137" s="76" t="b">
        <v>0</v>
      </c>
      <c r="S137" s="82" t="b">
        <v>0</v>
      </c>
      <c r="T137" s="76"/>
      <c r="U137" s="79"/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 t="b">
        <v>0</v>
      </c>
      <c r="M138" s="80" t="str">
        <f t="shared" si="1"/>
        <v/>
      </c>
      <c r="N138" s="79" t="b">
        <v>0</v>
      </c>
      <c r="O138" s="80" t="str">
        <f t="shared" si="2"/>
        <v/>
      </c>
      <c r="P138" s="76"/>
      <c r="Q138" s="76"/>
      <c r="R138" s="76" t="b">
        <v>0</v>
      </c>
      <c r="S138" s="82" t="b">
        <v>0</v>
      </c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 t="b">
        <v>0</v>
      </c>
      <c r="M139" s="80" t="str">
        <f t="shared" si="1"/>
        <v/>
      </c>
      <c r="N139" s="79" t="b">
        <v>0</v>
      </c>
      <c r="O139" s="80" t="str">
        <f t="shared" si="2"/>
        <v/>
      </c>
      <c r="P139" s="76"/>
      <c r="Q139" s="76"/>
      <c r="R139" s="76" t="b">
        <v>0</v>
      </c>
      <c r="S139" s="82" t="b">
        <v>0</v>
      </c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si="1"/>
        <v/>
      </c>
      <c r="N140" s="79" t="b">
        <v>0</v>
      </c>
      <c r="O140" s="80" t="str">
        <f t="shared" si="2"/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1"/>
        <v/>
      </c>
      <c r="N141" s="79" t="b">
        <v>0</v>
      </c>
      <c r="O141" s="80" t="str">
        <f t="shared" si="2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1"/>
        <v/>
      </c>
      <c r="N142" s="79" t="b">
        <v>0</v>
      </c>
      <c r="O142" s="80" t="str">
        <f t="shared" si="2"/>
        <v/>
      </c>
      <c r="P142" s="76"/>
      <c r="Q142" s="76"/>
      <c r="R142" s="76" t="b">
        <v>0</v>
      </c>
      <c r="S142" s="82" t="b">
        <v>0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1"/>
        <v/>
      </c>
      <c r="N143" s="79" t="b">
        <v>0</v>
      </c>
      <c r="O143" s="80" t="str">
        <f t="shared" si="2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1"/>
        <v/>
      </c>
      <c r="N144" s="79" t="b">
        <v>0</v>
      </c>
      <c r="O144" s="80" t="str">
        <f t="shared" si="2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1"/>
        <v/>
      </c>
      <c r="N145" s="79" t="b">
        <v>0</v>
      </c>
      <c r="O145" s="80" t="str">
        <f t="shared" si="2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1"/>
        <v/>
      </c>
      <c r="N146" s="79" t="b">
        <v>0</v>
      </c>
      <c r="O146" s="80" t="str">
        <f t="shared" si="2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1"/>
        <v/>
      </c>
      <c r="N147" s="79" t="b">
        <v>0</v>
      </c>
      <c r="O147" s="80" t="str">
        <f t="shared" si="2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1"/>
        <v/>
      </c>
      <c r="N148" s="79" t="b">
        <v>0</v>
      </c>
      <c r="O148" s="80" t="str">
        <f t="shared" si="2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1"/>
        <v/>
      </c>
      <c r="N149" s="79" t="b">
        <v>0</v>
      </c>
      <c r="O149" s="80" t="str">
        <f t="shared" si="2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1"/>
        <v/>
      </c>
      <c r="N150" s="79" t="b">
        <v>0</v>
      </c>
      <c r="O150" s="80" t="str">
        <f t="shared" si="2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1"/>
        <v/>
      </c>
      <c r="N151" s="79" t="b">
        <v>0</v>
      </c>
      <c r="O151" s="80" t="str">
        <f t="shared" si="2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1"/>
        <v/>
      </c>
      <c r="N152" s="79" t="b">
        <v>0</v>
      </c>
      <c r="O152" s="80" t="str">
        <f t="shared" si="2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1"/>
        <v/>
      </c>
      <c r="N153" s="79" t="b">
        <v>0</v>
      </c>
      <c r="O153" s="80" t="str">
        <f t="shared" si="2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1"/>
        <v/>
      </c>
      <c r="N154" s="79" t="b">
        <v>0</v>
      </c>
      <c r="O154" s="80" t="str">
        <f t="shared" si="2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1"/>
        <v/>
      </c>
      <c r="N155" s="79" t="b">
        <v>0</v>
      </c>
      <c r="O155" s="80" t="str">
        <f t="shared" si="2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1"/>
        <v/>
      </c>
      <c r="N156" s="79" t="b">
        <v>0</v>
      </c>
      <c r="O156" s="80" t="str">
        <f t="shared" si="2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1"/>
        <v/>
      </c>
      <c r="N157" s="79" t="b">
        <v>0</v>
      </c>
      <c r="O157" s="80" t="str">
        <f t="shared" si="2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1"/>
        <v/>
      </c>
      <c r="N158" s="79" t="b">
        <v>0</v>
      </c>
      <c r="O158" s="80" t="str">
        <f t="shared" si="2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1"/>
        <v/>
      </c>
      <c r="N159" s="79" t="b">
        <v>0</v>
      </c>
      <c r="O159" s="80" t="str">
        <f t="shared" si="2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1"/>
        <v/>
      </c>
      <c r="N160" s="79" t="b">
        <v>0</v>
      </c>
      <c r="O160" s="80" t="str">
        <f t="shared" si="2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1"/>
        <v/>
      </c>
      <c r="N161" s="79" t="b">
        <v>0</v>
      </c>
      <c r="O161" s="80" t="str">
        <f t="shared" si="2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1"/>
        <v/>
      </c>
      <c r="N162" s="79" t="b">
        <v>0</v>
      </c>
      <c r="O162" s="80" t="str">
        <f t="shared" si="2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1"/>
        <v/>
      </c>
      <c r="N163" s="79" t="b">
        <v>0</v>
      </c>
      <c r="O163" s="80" t="str">
        <f t="shared" si="2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1"/>
        <v/>
      </c>
      <c r="N164" s="79" t="b">
        <v>0</v>
      </c>
      <c r="O164" s="80" t="str">
        <f t="shared" si="2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1"/>
        <v/>
      </c>
      <c r="N165" s="79" t="b">
        <v>0</v>
      </c>
      <c r="O165" s="80" t="str">
        <f t="shared" si="2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1"/>
        <v/>
      </c>
      <c r="N166" s="79" t="b">
        <v>0</v>
      </c>
      <c r="O166" s="80" t="str">
        <f t="shared" si="2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1"/>
        <v/>
      </c>
      <c r="N167" s="79" t="b">
        <v>0</v>
      </c>
      <c r="O167" s="80" t="str">
        <f t="shared" si="2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1"/>
        <v/>
      </c>
      <c r="N168" s="79" t="b">
        <v>0</v>
      </c>
      <c r="O168" s="80" t="str">
        <f t="shared" si="2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1"/>
        <v/>
      </c>
      <c r="N169" s="79" t="b">
        <v>0</v>
      </c>
      <c r="O169" s="80" t="str">
        <f t="shared" si="2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1"/>
        <v/>
      </c>
      <c r="N170" s="79" t="b">
        <v>0</v>
      </c>
      <c r="O170" s="80" t="str">
        <f t="shared" si="2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1"/>
        <v/>
      </c>
      <c r="N171" s="79" t="b">
        <v>0</v>
      </c>
      <c r="O171" s="80" t="str">
        <f t="shared" si="2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1"/>
        <v/>
      </c>
      <c r="N172" s="79" t="b">
        <v>0</v>
      </c>
      <c r="O172" s="80" t="str">
        <f t="shared" si="2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1"/>
        <v/>
      </c>
      <c r="N173" s="79" t="b">
        <v>0</v>
      </c>
      <c r="O173" s="80" t="str">
        <f t="shared" si="2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1"/>
        <v/>
      </c>
      <c r="N174" s="79" t="b">
        <v>0</v>
      </c>
      <c r="O174" s="80" t="str">
        <f t="shared" si="2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1"/>
        <v/>
      </c>
      <c r="N175" s="79" t="b">
        <v>0</v>
      </c>
      <c r="O175" s="80" t="str">
        <f t="shared" si="2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1"/>
        <v/>
      </c>
      <c r="N176" s="79" t="b">
        <v>0</v>
      </c>
      <c r="O176" s="80" t="str">
        <f t="shared" si="2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1"/>
        <v/>
      </c>
      <c r="N177" s="79" t="b">
        <v>0</v>
      </c>
      <c r="O177" s="80" t="str">
        <f t="shared" si="2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1"/>
        <v/>
      </c>
      <c r="N178" s="79" t="b">
        <v>0</v>
      </c>
      <c r="O178" s="80" t="str">
        <f t="shared" si="2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1"/>
        <v/>
      </c>
      <c r="N179" s="79" t="b">
        <v>0</v>
      </c>
      <c r="O179" s="80" t="str">
        <f t="shared" si="2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1"/>
        <v/>
      </c>
      <c r="N180" s="79" t="b">
        <v>0</v>
      </c>
      <c r="O180" s="80" t="str">
        <f t="shared" si="2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1"/>
        <v/>
      </c>
      <c r="N181" s="79" t="b">
        <v>0</v>
      </c>
      <c r="O181" s="80" t="str">
        <f t="shared" si="2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1"/>
        <v/>
      </c>
      <c r="N182" s="79" t="b">
        <v>0</v>
      </c>
      <c r="O182" s="80" t="str">
        <f t="shared" si="2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1"/>
        <v/>
      </c>
      <c r="N183" s="79" t="b">
        <v>0</v>
      </c>
      <c r="O183" s="80" t="str">
        <f t="shared" si="2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1"/>
        <v/>
      </c>
      <c r="N184" s="79" t="b">
        <v>0</v>
      </c>
      <c r="O184" s="80" t="str">
        <f t="shared" si="2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1"/>
        <v/>
      </c>
      <c r="N185" s="79" t="b">
        <v>0</v>
      </c>
      <c r="O185" s="80" t="str">
        <f t="shared" si="2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1"/>
        <v/>
      </c>
      <c r="N186" s="79" t="b">
        <v>0</v>
      </c>
      <c r="O186" s="80" t="str">
        <f t="shared" si="2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1"/>
        <v/>
      </c>
      <c r="N187" s="79" t="b">
        <v>0</v>
      </c>
      <c r="O187" s="80" t="str">
        <f t="shared" si="2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1"/>
        <v/>
      </c>
      <c r="N188" s="79" t="b">
        <v>0</v>
      </c>
      <c r="O188" s="80" t="str">
        <f t="shared" si="2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1"/>
        <v/>
      </c>
      <c r="N189" s="79" t="b">
        <v>0</v>
      </c>
      <c r="O189" s="80" t="str">
        <f t="shared" si="2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1"/>
        <v/>
      </c>
      <c r="N190" s="79" t="b">
        <v>0</v>
      </c>
      <c r="O190" s="80" t="str">
        <f t="shared" si="2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1"/>
        <v/>
      </c>
      <c r="N191" s="79" t="b">
        <v>0</v>
      </c>
      <c r="O191" s="80" t="str">
        <f t="shared" si="2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1"/>
        <v/>
      </c>
      <c r="N192" s="79" t="b">
        <v>0</v>
      </c>
      <c r="O192" s="80" t="str">
        <f t="shared" si="2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1"/>
        <v/>
      </c>
      <c r="N193" s="79" t="b">
        <v>0</v>
      </c>
      <c r="O193" s="80" t="str">
        <f t="shared" si="2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1"/>
        <v/>
      </c>
      <c r="N194" s="79" t="b">
        <v>0</v>
      </c>
      <c r="O194" s="80" t="str">
        <f t="shared" si="2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1"/>
        <v/>
      </c>
      <c r="N195" s="79" t="b">
        <v>0</v>
      </c>
      <c r="O195" s="80" t="str">
        <f t="shared" si="2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1"/>
        <v/>
      </c>
      <c r="N196" s="79" t="b">
        <v>0</v>
      </c>
      <c r="O196" s="80" t="str">
        <f t="shared" si="2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1"/>
        <v/>
      </c>
      <c r="N197" s="79" t="b">
        <v>0</v>
      </c>
      <c r="O197" s="80" t="str">
        <f t="shared" si="2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1"/>
        <v/>
      </c>
      <c r="N198" s="79" t="b">
        <v>0</v>
      </c>
      <c r="O198" s="80" t="str">
        <f t="shared" si="2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1"/>
        <v/>
      </c>
      <c r="N199" s="79" t="b">
        <v>0</v>
      </c>
      <c r="O199" s="80" t="str">
        <f t="shared" si="2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1"/>
        <v/>
      </c>
      <c r="N200" s="79" t="b">
        <v>0</v>
      </c>
      <c r="O200" s="80" t="str">
        <f t="shared" si="2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1"/>
        <v/>
      </c>
      <c r="N201" s="79" t="b">
        <v>0</v>
      </c>
      <c r="O201" s="80" t="str">
        <f t="shared" si="2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1"/>
        <v/>
      </c>
      <c r="N202" s="79" t="b">
        <v>0</v>
      </c>
      <c r="O202" s="80" t="str">
        <f t="shared" si="2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1"/>
        <v/>
      </c>
      <c r="N203" s="79" t="b">
        <v>0</v>
      </c>
      <c r="O203" s="80" t="str">
        <f t="shared" si="2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1"/>
        <v/>
      </c>
      <c r="N204" s="79" t="b">
        <v>0</v>
      </c>
      <c r="O204" s="80" t="str">
        <f t="shared" si="2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1"/>
        <v/>
      </c>
      <c r="N205" s="79" t="b">
        <v>0</v>
      </c>
      <c r="O205" s="80" t="str">
        <f t="shared" si="2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1"/>
        <v/>
      </c>
      <c r="N206" s="79" t="b">
        <v>0</v>
      </c>
      <c r="O206" s="80" t="str">
        <f t="shared" si="2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1"/>
        <v/>
      </c>
      <c r="N207" s="79" t="b">
        <v>0</v>
      </c>
      <c r="O207" s="80" t="str">
        <f t="shared" si="2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1"/>
        <v/>
      </c>
      <c r="N208" s="79" t="b">
        <v>0</v>
      </c>
      <c r="O208" s="80" t="str">
        <f t="shared" si="2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1"/>
        <v/>
      </c>
      <c r="N209" s="79" t="b">
        <v>0</v>
      </c>
      <c r="O209" s="80" t="str">
        <f t="shared" si="2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1"/>
        <v/>
      </c>
      <c r="N210" s="79" t="b">
        <v>0</v>
      </c>
      <c r="O210" s="80" t="str">
        <f t="shared" si="2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1"/>
        <v/>
      </c>
      <c r="N211" s="79" t="b">
        <v>0</v>
      </c>
      <c r="O211" s="80" t="str">
        <f t="shared" si="2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1"/>
        <v/>
      </c>
      <c r="N212" s="79" t="b">
        <v>0</v>
      </c>
      <c r="O212" s="80" t="str">
        <f t="shared" si="2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1"/>
        <v/>
      </c>
      <c r="N213" s="79" t="b">
        <v>0</v>
      </c>
      <c r="O213" s="80" t="str">
        <f t="shared" si="2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1"/>
        <v/>
      </c>
      <c r="N214" s="79" t="b">
        <v>0</v>
      </c>
      <c r="O214" s="80" t="str">
        <f t="shared" si="2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1"/>
        <v/>
      </c>
      <c r="N215" s="79" t="b">
        <v>0</v>
      </c>
      <c r="O215" s="80" t="str">
        <f t="shared" si="2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1"/>
        <v/>
      </c>
      <c r="N216" s="79" t="b">
        <v>0</v>
      </c>
      <c r="O216" s="80" t="str">
        <f t="shared" si="2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1"/>
        <v/>
      </c>
      <c r="N217" s="79" t="b">
        <v>0</v>
      </c>
      <c r="O217" s="80" t="str">
        <f t="shared" si="2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1"/>
        <v/>
      </c>
      <c r="N218" s="79" t="b">
        <v>0</v>
      </c>
      <c r="O218" s="80" t="str">
        <f t="shared" si="2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1"/>
        <v/>
      </c>
      <c r="N219" s="79" t="b">
        <v>0</v>
      </c>
      <c r="O219" s="80" t="str">
        <f t="shared" si="2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1"/>
        <v/>
      </c>
      <c r="N220" s="79" t="b">
        <v>0</v>
      </c>
      <c r="O220" s="80" t="str">
        <f t="shared" si="2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1"/>
        <v/>
      </c>
      <c r="N221" s="79" t="b">
        <v>0</v>
      </c>
      <c r="O221" s="80" t="str">
        <f t="shared" si="2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1"/>
        <v/>
      </c>
      <c r="N222" s="79" t="b">
        <v>0</v>
      </c>
      <c r="O222" s="80" t="str">
        <f t="shared" si="2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1"/>
        <v/>
      </c>
      <c r="N223" s="79" t="b">
        <v>0</v>
      </c>
      <c r="O223" s="80" t="str">
        <f t="shared" si="2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1"/>
        <v/>
      </c>
      <c r="N224" s="79" t="b">
        <v>0</v>
      </c>
      <c r="O224" s="80" t="str">
        <f t="shared" si="2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1"/>
        <v/>
      </c>
      <c r="N225" s="79" t="b">
        <v>0</v>
      </c>
      <c r="O225" s="80" t="str">
        <f t="shared" si="2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1"/>
        <v/>
      </c>
      <c r="N226" s="79" t="b">
        <v>0</v>
      </c>
      <c r="O226" s="80" t="str">
        <f t="shared" si="2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1"/>
        <v/>
      </c>
      <c r="N227" s="79" t="b">
        <v>0</v>
      </c>
      <c r="O227" s="80" t="str">
        <f t="shared" si="2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1"/>
        <v/>
      </c>
      <c r="N228" s="79" t="b">
        <v>0</v>
      </c>
      <c r="O228" s="80" t="str">
        <f t="shared" si="2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1"/>
        <v/>
      </c>
      <c r="N229" s="79" t="b">
        <v>0</v>
      </c>
      <c r="O229" s="80" t="str">
        <f t="shared" si="2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1"/>
        <v/>
      </c>
      <c r="N230" s="79" t="b">
        <v>0</v>
      </c>
      <c r="O230" s="80" t="str">
        <f t="shared" si="2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1"/>
        <v/>
      </c>
      <c r="N231" s="79" t="b">
        <v>0</v>
      </c>
      <c r="O231" s="80" t="str">
        <f t="shared" si="2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1"/>
        <v/>
      </c>
      <c r="N232" s="79" t="b">
        <v>0</v>
      </c>
      <c r="O232" s="80" t="str">
        <f t="shared" si="2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1"/>
        <v/>
      </c>
      <c r="N233" s="79" t="b">
        <v>0</v>
      </c>
      <c r="O233" s="80" t="str">
        <f t="shared" si="2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1"/>
        <v/>
      </c>
      <c r="N234" s="79" t="b">
        <v>0</v>
      </c>
      <c r="O234" s="80" t="str">
        <f t="shared" si="2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1"/>
        <v/>
      </c>
      <c r="N235" s="79" t="b">
        <v>0</v>
      </c>
      <c r="O235" s="80" t="str">
        <f t="shared" si="2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1"/>
        <v/>
      </c>
      <c r="N236" s="79" t="b">
        <v>0</v>
      </c>
      <c r="O236" s="80" t="str">
        <f t="shared" si="2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1"/>
        <v/>
      </c>
      <c r="N237" s="79" t="b">
        <v>0</v>
      </c>
      <c r="O237" s="80" t="str">
        <f t="shared" si="2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1"/>
        <v/>
      </c>
      <c r="N238" s="79" t="b">
        <v>0</v>
      </c>
      <c r="O238" s="80" t="str">
        <f t="shared" si="2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1"/>
        <v/>
      </c>
      <c r="N239" s="79" t="b">
        <v>0</v>
      </c>
      <c r="O239" s="80" t="str">
        <f t="shared" si="2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1"/>
        <v/>
      </c>
      <c r="N240" s="79" t="b">
        <v>0</v>
      </c>
      <c r="O240" s="80" t="str">
        <f t="shared" si="2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1"/>
        <v/>
      </c>
      <c r="N241" s="79" t="b">
        <v>0</v>
      </c>
      <c r="O241" s="80" t="str">
        <f t="shared" si="2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1"/>
        <v/>
      </c>
      <c r="N242" s="79" t="b">
        <v>0</v>
      </c>
      <c r="O242" s="80" t="str">
        <f t="shared" si="2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1"/>
        <v/>
      </c>
      <c r="N243" s="79" t="b">
        <v>0</v>
      </c>
      <c r="O243" s="80" t="str">
        <f t="shared" si="2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1"/>
        <v/>
      </c>
      <c r="N244" s="79" t="b">
        <v>0</v>
      </c>
      <c r="O244" s="80" t="str">
        <f t="shared" si="2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1"/>
        <v/>
      </c>
      <c r="N245" s="79" t="b">
        <v>0</v>
      </c>
      <c r="O245" s="80" t="str">
        <f t="shared" si="2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1"/>
        <v/>
      </c>
      <c r="N246" s="79" t="b">
        <v>0</v>
      </c>
      <c r="O246" s="80" t="str">
        <f t="shared" si="2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1"/>
        <v/>
      </c>
      <c r="N247" s="79" t="b">
        <v>0</v>
      </c>
      <c r="O247" s="80" t="str">
        <f t="shared" si="2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1"/>
        <v/>
      </c>
      <c r="N248" s="79" t="b">
        <v>0</v>
      </c>
      <c r="O248" s="80" t="str">
        <f t="shared" si="2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1"/>
        <v/>
      </c>
      <c r="N249" s="79" t="b">
        <v>0</v>
      </c>
      <c r="O249" s="80" t="str">
        <f t="shared" si="2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1"/>
        <v/>
      </c>
      <c r="N250" s="79" t="b">
        <v>0</v>
      </c>
      <c r="O250" s="80" t="str">
        <f t="shared" si="2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1"/>
        <v/>
      </c>
      <c r="N251" s="79" t="b">
        <v>0</v>
      </c>
      <c r="O251" s="80" t="str">
        <f t="shared" si="2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1"/>
        <v/>
      </c>
      <c r="N252" s="79" t="b">
        <v>0</v>
      </c>
      <c r="O252" s="80" t="str">
        <f t="shared" si="2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1"/>
        <v/>
      </c>
      <c r="N253" s="79" t="b">
        <v>0</v>
      </c>
      <c r="O253" s="80" t="str">
        <f t="shared" si="2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1"/>
        <v/>
      </c>
      <c r="N254" s="79" t="b">
        <v>0</v>
      </c>
      <c r="O254" s="80" t="str">
        <f t="shared" si="2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1"/>
        <v/>
      </c>
      <c r="N255" s="79" t="b">
        <v>0</v>
      </c>
      <c r="O255" s="80" t="str">
        <f t="shared" si="2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1"/>
        <v/>
      </c>
      <c r="N256" s="79" t="b">
        <v>0</v>
      </c>
      <c r="O256" s="80" t="str">
        <f t="shared" si="2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1"/>
        <v/>
      </c>
      <c r="N257" s="79" t="b">
        <v>0</v>
      </c>
      <c r="O257" s="80" t="str">
        <f t="shared" si="2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1"/>
        <v/>
      </c>
      <c r="N258" s="79" t="b">
        <v>0</v>
      </c>
      <c r="O258" s="80" t="str">
        <f t="shared" si="2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1"/>
        <v/>
      </c>
      <c r="N259" s="79" t="b">
        <v>0</v>
      </c>
      <c r="O259" s="80" t="str">
        <f t="shared" si="2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1"/>
        <v/>
      </c>
      <c r="N260" s="79" t="b">
        <v>0</v>
      </c>
      <c r="O260" s="80" t="str">
        <f t="shared" si="2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1"/>
        <v/>
      </c>
      <c r="N261" s="79" t="b">
        <v>0</v>
      </c>
      <c r="O261" s="80" t="str">
        <f t="shared" si="2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1"/>
        <v/>
      </c>
      <c r="N262" s="79" t="b">
        <v>0</v>
      </c>
      <c r="O262" s="80" t="str">
        <f t="shared" si="2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1"/>
        <v/>
      </c>
      <c r="N263" s="79" t="b">
        <v>0</v>
      </c>
      <c r="O263" s="80" t="str">
        <f t="shared" si="2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1"/>
        <v/>
      </c>
      <c r="N264" s="79" t="b">
        <v>0</v>
      </c>
      <c r="O264" s="80" t="str">
        <f t="shared" si="2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1"/>
        <v/>
      </c>
      <c r="N265" s="79" t="b">
        <v>0</v>
      </c>
      <c r="O265" s="80" t="str">
        <f t="shared" si="2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1"/>
        <v/>
      </c>
      <c r="N266" s="79" t="b">
        <v>0</v>
      </c>
      <c r="O266" s="80" t="str">
        <f t="shared" si="2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1"/>
        <v/>
      </c>
      <c r="N267" s="79" t="b">
        <v>0</v>
      </c>
      <c r="O267" s="80" t="str">
        <f t="shared" si="2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1"/>
        <v/>
      </c>
      <c r="N268" s="79" t="b">
        <v>0</v>
      </c>
      <c r="O268" s="80" t="str">
        <f t="shared" si="2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1"/>
        <v/>
      </c>
      <c r="N269" s="79" t="b">
        <v>0</v>
      </c>
      <c r="O269" s="80" t="str">
        <f t="shared" si="2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1"/>
        <v/>
      </c>
      <c r="N270" s="79" t="b">
        <v>0</v>
      </c>
      <c r="O270" s="80" t="str">
        <f t="shared" si="2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1"/>
        <v/>
      </c>
      <c r="N271" s="79" t="b">
        <v>0</v>
      </c>
      <c r="O271" s="80" t="str">
        <f t="shared" si="2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1"/>
        <v/>
      </c>
      <c r="N272" s="79" t="b">
        <v>0</v>
      </c>
      <c r="O272" s="80" t="str">
        <f t="shared" si="2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1"/>
        <v/>
      </c>
      <c r="N273" s="79" t="b">
        <v>0</v>
      </c>
      <c r="O273" s="80" t="str">
        <f t="shared" si="2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1"/>
        <v/>
      </c>
      <c r="N274" s="79" t="b">
        <v>0</v>
      </c>
      <c r="O274" s="80" t="str">
        <f t="shared" si="2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1"/>
        <v/>
      </c>
      <c r="N275" s="79" t="b">
        <v>0</v>
      </c>
      <c r="O275" s="80" t="str">
        <f t="shared" si="2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1"/>
        <v/>
      </c>
      <c r="N276" s="79" t="b">
        <v>0</v>
      </c>
      <c r="O276" s="80" t="str">
        <f t="shared" si="2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1"/>
        <v/>
      </c>
      <c r="N277" s="79" t="b">
        <v>0</v>
      </c>
      <c r="O277" s="80" t="str">
        <f t="shared" si="2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1"/>
        <v/>
      </c>
      <c r="N278" s="79" t="b">
        <v>0</v>
      </c>
      <c r="O278" s="80" t="str">
        <f t="shared" si="2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1"/>
        <v/>
      </c>
      <c r="N279" s="79" t="b">
        <v>0</v>
      </c>
      <c r="O279" s="80" t="str">
        <f t="shared" si="2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1"/>
        <v/>
      </c>
      <c r="N280" s="79" t="b">
        <v>0</v>
      </c>
      <c r="O280" s="80" t="str">
        <f t="shared" si="2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1"/>
        <v/>
      </c>
      <c r="N281" s="79" t="b">
        <v>0</v>
      </c>
      <c r="O281" s="80" t="str">
        <f t="shared" si="2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1"/>
        <v/>
      </c>
      <c r="N282" s="79" t="b">
        <v>0</v>
      </c>
      <c r="O282" s="80" t="str">
        <f t="shared" si="2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1"/>
        <v/>
      </c>
      <c r="N283" s="79" t="b">
        <v>0</v>
      </c>
      <c r="O283" s="80" t="str">
        <f t="shared" si="2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1"/>
        <v/>
      </c>
      <c r="N284" s="79" t="b">
        <v>0</v>
      </c>
      <c r="O284" s="80" t="str">
        <f t="shared" si="2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1"/>
        <v/>
      </c>
      <c r="N285" s="79" t="b">
        <v>0</v>
      </c>
      <c r="O285" s="80" t="str">
        <f t="shared" si="2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1"/>
        <v/>
      </c>
      <c r="N286" s="79" t="b">
        <v>0</v>
      </c>
      <c r="O286" s="80" t="str">
        <f t="shared" si="2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1"/>
        <v/>
      </c>
      <c r="N287" s="79" t="b">
        <v>0</v>
      </c>
      <c r="O287" s="80" t="str">
        <f t="shared" si="2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1"/>
        <v/>
      </c>
      <c r="N288" s="79" t="b">
        <v>0</v>
      </c>
      <c r="O288" s="80" t="str">
        <f t="shared" si="2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1"/>
        <v/>
      </c>
      <c r="N289" s="79" t="b">
        <v>0</v>
      </c>
      <c r="O289" s="80" t="str">
        <f t="shared" si="2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1"/>
        <v/>
      </c>
      <c r="N290" s="79" t="b">
        <v>0</v>
      </c>
      <c r="O290" s="80" t="str">
        <f t="shared" si="2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1"/>
        <v/>
      </c>
      <c r="N291" s="79" t="b">
        <v>0</v>
      </c>
      <c r="O291" s="80" t="str">
        <f t="shared" si="2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1"/>
        <v/>
      </c>
      <c r="N292" s="79" t="b">
        <v>0</v>
      </c>
      <c r="O292" s="80" t="str">
        <f t="shared" si="2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1"/>
        <v/>
      </c>
      <c r="N293" s="79" t="b">
        <v>0</v>
      </c>
      <c r="O293" s="80" t="str">
        <f t="shared" si="2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1"/>
        <v/>
      </c>
      <c r="N294" s="79" t="b">
        <v>0</v>
      </c>
      <c r="O294" s="80" t="str">
        <f t="shared" si="2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1"/>
        <v/>
      </c>
      <c r="N295" s="79" t="b">
        <v>0</v>
      </c>
      <c r="O295" s="80" t="str">
        <f t="shared" si="2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1"/>
        <v/>
      </c>
      <c r="N296" s="79" t="b">
        <v>0</v>
      </c>
      <c r="O296" s="80" t="str">
        <f t="shared" si="2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1"/>
        <v/>
      </c>
      <c r="N297" s="79" t="b">
        <v>0</v>
      </c>
      <c r="O297" s="80" t="str">
        <f t="shared" si="2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1"/>
        <v/>
      </c>
      <c r="N298" s="79" t="b">
        <v>0</v>
      </c>
      <c r="O298" s="80" t="str">
        <f t="shared" si="2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1"/>
        <v/>
      </c>
      <c r="N299" s="79" t="b">
        <v>0</v>
      </c>
      <c r="O299" s="80" t="str">
        <f t="shared" si="2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1"/>
        <v/>
      </c>
      <c r="N300" s="79" t="b">
        <v>0</v>
      </c>
      <c r="O300" s="80" t="str">
        <f t="shared" si="2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1"/>
        <v/>
      </c>
      <c r="N301" s="79" t="b">
        <v>0</v>
      </c>
      <c r="O301" s="80" t="str">
        <f t="shared" si="2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1"/>
        <v/>
      </c>
      <c r="N302" s="79" t="b">
        <v>0</v>
      </c>
      <c r="O302" s="80" t="str">
        <f t="shared" si="2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1"/>
        <v/>
      </c>
      <c r="N303" s="79" t="b">
        <v>0</v>
      </c>
      <c r="O303" s="80" t="str">
        <f t="shared" si="2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1"/>
        <v/>
      </c>
      <c r="N304" s="79" t="b">
        <v>0</v>
      </c>
      <c r="O304" s="80" t="str">
        <f t="shared" si="2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1"/>
        <v/>
      </c>
      <c r="N305" s="79" t="b">
        <v>0</v>
      </c>
      <c r="O305" s="80" t="str">
        <f t="shared" si="2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1"/>
        <v/>
      </c>
      <c r="N306" s="79" t="b">
        <v>0</v>
      </c>
      <c r="O306" s="80" t="str">
        <f t="shared" si="2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1"/>
        <v/>
      </c>
      <c r="N307" s="79" t="b">
        <v>0</v>
      </c>
      <c r="O307" s="80" t="str">
        <f t="shared" si="2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 maintenance"</formula>
    </cfRule>
  </conditionalFormatting>
  <conditionalFormatting sqref="A11:V307">
    <cfRule type="expression" dxfId="0" priority="9">
      <formula>$U11="รอคอนเฟิร์ม"</formula>
    </cfRule>
  </conditionalFormatting>
  <conditionalFormatting sqref="A11:V307">
    <cfRule type="expression" dxfId="0" priority="10">
      <formula>$U11="รอดูสี"</formula>
    </cfRule>
  </conditionalFormatting>
  <conditionalFormatting sqref="A11:V307">
    <cfRule type="expression" dxfId="0" priority="11">
      <formula>$U11="กระดาษชื้น"</formula>
    </cfRule>
  </conditionalFormatting>
  <conditionalFormatting sqref="A11:V307">
    <cfRule type="expression" dxfId="4" priority="12">
      <formula>$L11=True</formula>
    </cfRule>
  </conditionalFormatting>
  <conditionalFormatting sqref="A11:V307">
    <cfRule type="expression" dxfId="6" priority="13">
      <formula>$F11="ตามคิว"</formula>
    </cfRule>
  </conditionalFormatting>
  <conditionalFormatting sqref="A11:V307">
    <cfRule type="expression" dxfId="7" priority="14">
      <formula>$F11="Same Day"</formula>
    </cfRule>
  </conditionalFormatting>
  <conditionalFormatting sqref="A11:V307">
    <cfRule type="expression" dxfId="6" priority="15">
      <formula>$F11="ตัวอย่าง Mockup"</formula>
    </cfRule>
  </conditionalFormatting>
  <conditionalFormatting sqref="D17:F17">
    <cfRule type="notContainsBlanks" dxfId="8" priority="16">
      <formula>LEN(TRIM(D17))&gt;0</formula>
    </cfRule>
  </conditionalFormatting>
  <conditionalFormatting sqref="A11:V307">
    <cfRule type="expression" dxfId="5" priority="17">
      <formula>$F11="VIP"</formula>
    </cfRule>
  </conditionalFormatting>
  <conditionalFormatting sqref="D17:F17">
    <cfRule type="notContainsBlanks" dxfId="8" priority="18">
      <formula>LEN(TRIM(D17))&gt;0</formula>
    </cfRule>
  </conditionalFormatting>
  <conditionalFormatting sqref="U400:W400">
    <cfRule type="expression" dxfId="9" priority="19">
      <formula>"D11"</formula>
    </cfRule>
  </conditionalFormatting>
  <conditionalFormatting sqref="A1:B1">
    <cfRule type="notContainsBlanks" dxfId="8" priority="20">
      <formula>LEN(TRIM(A1))&gt;0</formula>
    </cfRule>
  </conditionalFormatting>
  <conditionalFormatting sqref="A11:V307">
    <cfRule type="expression" dxfId="10" priority="21">
      <formula>$F11="งานซ่อม"</formula>
    </cfRule>
  </conditionalFormatting>
  <conditionalFormatting sqref="A11:V307">
    <cfRule type="expression" dxfId="10" priority="22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307 P11:P307">
      <formula1>"Fluke,Sunney"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0</v>
      </c>
      <c r="D2" s="13" t="s">
        <v>8</v>
      </c>
      <c r="E2" s="14">
        <f>COUNTIFS(F11:F1000,"ตามคิว")</f>
        <v>0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0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0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0</v>
      </c>
      <c r="D3" s="13" t="s">
        <v>18</v>
      </c>
      <c r="E3" s="14">
        <f>COUNTIFS(F11:F1000,"Same Day")</f>
        <v>0</v>
      </c>
      <c r="F3" s="15" t="s">
        <v>9</v>
      </c>
      <c r="G3" s="27" t="s">
        <v>19</v>
      </c>
      <c r="H3" s="28">
        <f>COUNTIFS(U11:U1000,"Dicut Jwei")</f>
        <v>0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0</v>
      </c>
      <c r="Y3" s="25" t="s">
        <v>9</v>
      </c>
      <c r="Z3" s="25" t="s">
        <v>24</v>
      </c>
      <c r="AA3" s="25">
        <f>COUNTIFS(D11:E1000,"ปอนด์ 80g (โกดัง)")</f>
        <v>0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0</v>
      </c>
      <c r="F4" s="15" t="s">
        <v>9</v>
      </c>
      <c r="G4" s="27" t="s">
        <v>28</v>
      </c>
      <c r="H4" s="28">
        <f>COUNTIFS(U11:U1000,"Dicut Graptech")</f>
        <v>0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0</v>
      </c>
      <c r="Y4" s="25" t="s">
        <v>9</v>
      </c>
      <c r="Z4" s="25" t="s">
        <v>32</v>
      </c>
      <c r="AA4" s="25">
        <f>COUNTIFS(D11:E1000,"ปอนด์ 100g (โกดัง)")</f>
        <v>0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0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0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0</v>
      </c>
      <c r="AH5" s="26" t="s">
        <v>9</v>
      </c>
    </row>
    <row r="6" ht="21.75" customHeight="1">
      <c r="A6" s="11">
        <f>COUNTIFS(N11:N1000,True,B11:B1000,"*",K11:K1000,"*")</f>
        <v>0</v>
      </c>
      <c r="B6" s="2"/>
      <c r="C6" s="12" t="s">
        <v>9</v>
      </c>
      <c r="D6" s="13" t="s">
        <v>44</v>
      </c>
      <c r="E6" s="14">
        <f>COUNTIFS(F11:F1000,"ซ่อมไม่มีใบสั่ง")</f>
        <v>0</v>
      </c>
      <c r="F6" s="15" t="s">
        <v>9</v>
      </c>
      <c r="G6" s="42" t="s">
        <v>11</v>
      </c>
      <c r="H6" s="19">
        <f>COUNTIFS(Q11:Q1000,"C12000")</f>
        <v>0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0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0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0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0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0</v>
      </c>
      <c r="I8" s="51" t="s">
        <v>59</v>
      </c>
      <c r="J8" s="2"/>
      <c r="K8" s="53">
        <f>SUM(H3+H4)</f>
        <v>0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0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/>
      <c r="B11" s="76"/>
      <c r="C11" s="77"/>
      <c r="D11" s="76"/>
      <c r="E11" s="76"/>
      <c r="F11" s="76"/>
      <c r="G11" s="76"/>
      <c r="H11" s="76"/>
      <c r="I11" s="75"/>
      <c r="J11" s="78"/>
      <c r="K11" s="76"/>
      <c r="L11" s="79" t="b">
        <v>0</v>
      </c>
      <c r="M11" s="80" t="str">
        <f t="shared" ref="M11:M307" si="1">IFS(L11=FALSE,"",M11="",NOW(),TRUE,M11)</f>
        <v/>
      </c>
      <c r="N11" s="131" t="b">
        <v>0</v>
      </c>
      <c r="O11" s="80" t="str">
        <f t="shared" ref="O11:O307" si="2">IFS(N11=FALSE,"",O11="",NOW(),TRUE,O11)</f>
        <v/>
      </c>
      <c r="P11" s="76"/>
      <c r="Q11" s="76"/>
      <c r="R11" s="76" t="b">
        <v>0</v>
      </c>
      <c r="S11" s="82" t="b">
        <v>0</v>
      </c>
      <c r="T11" s="76"/>
      <c r="U11" s="79"/>
      <c r="V11" s="83"/>
      <c r="W11" s="118"/>
    </row>
    <row r="12">
      <c r="A12" s="75"/>
      <c r="B12" s="76"/>
      <c r="C12" s="77"/>
      <c r="D12" s="76"/>
      <c r="E12" s="76"/>
      <c r="F12" s="76"/>
      <c r="G12" s="76"/>
      <c r="H12" s="76"/>
      <c r="I12" s="75"/>
      <c r="J12" s="78"/>
      <c r="K12" s="76"/>
      <c r="L12" s="79" t="b">
        <v>0</v>
      </c>
      <c r="M12" s="80" t="str">
        <f t="shared" si="1"/>
        <v/>
      </c>
      <c r="N12" s="131" t="b">
        <v>0</v>
      </c>
      <c r="O12" s="80" t="str">
        <f t="shared" si="2"/>
        <v/>
      </c>
      <c r="P12" s="76"/>
      <c r="Q12" s="76"/>
      <c r="R12" s="76" t="b">
        <v>0</v>
      </c>
      <c r="S12" s="82" t="b">
        <v>0</v>
      </c>
      <c r="T12" s="76"/>
      <c r="U12" s="79"/>
      <c r="V12" s="83"/>
      <c r="W12" s="74"/>
    </row>
    <row r="13">
      <c r="A13" s="75"/>
      <c r="B13" s="76"/>
      <c r="C13" s="77"/>
      <c r="D13" s="76"/>
      <c r="E13" s="76"/>
      <c r="F13" s="76"/>
      <c r="G13" s="76"/>
      <c r="H13" s="76"/>
      <c r="I13" s="75"/>
      <c r="J13" s="78"/>
      <c r="K13" s="76"/>
      <c r="L13" s="79" t="b">
        <v>0</v>
      </c>
      <c r="M13" s="80" t="str">
        <f t="shared" si="1"/>
        <v/>
      </c>
      <c r="N13" s="131" t="b">
        <v>0</v>
      </c>
      <c r="O13" s="80" t="str">
        <f t="shared" si="2"/>
        <v/>
      </c>
      <c r="P13" s="76"/>
      <c r="Q13" s="76"/>
      <c r="R13" s="76" t="b">
        <v>0</v>
      </c>
      <c r="S13" s="82" t="b">
        <v>0</v>
      </c>
      <c r="T13" s="76"/>
      <c r="U13" s="79"/>
      <c r="V13" s="83"/>
      <c r="W13" s="74"/>
    </row>
    <row r="14">
      <c r="A14" s="75"/>
      <c r="B14" s="76"/>
      <c r="C14" s="77"/>
      <c r="D14" s="76"/>
      <c r="E14" s="76"/>
      <c r="F14" s="76"/>
      <c r="G14" s="76"/>
      <c r="H14" s="76"/>
      <c r="I14" s="75"/>
      <c r="J14" s="78"/>
      <c r="K14" s="76"/>
      <c r="L14" s="79" t="b">
        <v>0</v>
      </c>
      <c r="M14" s="80" t="str">
        <f t="shared" si="1"/>
        <v/>
      </c>
      <c r="N14" s="131" t="b">
        <v>0</v>
      </c>
      <c r="O14" s="80" t="str">
        <f t="shared" si="2"/>
        <v/>
      </c>
      <c r="P14" s="76"/>
      <c r="Q14" s="76"/>
      <c r="R14" s="76" t="b">
        <v>0</v>
      </c>
      <c r="S14" s="82" t="b">
        <v>0</v>
      </c>
      <c r="T14" s="76"/>
      <c r="U14" s="79"/>
      <c r="V14" s="83"/>
      <c r="W14" s="74"/>
    </row>
    <row r="15">
      <c r="A15" s="75"/>
      <c r="B15" s="76"/>
      <c r="C15" s="77"/>
      <c r="D15" s="76"/>
      <c r="E15" s="76"/>
      <c r="F15" s="76"/>
      <c r="G15" s="76"/>
      <c r="H15" s="76"/>
      <c r="I15" s="75"/>
      <c r="J15" s="78"/>
      <c r="K15" s="76"/>
      <c r="L15" s="79" t="b">
        <v>0</v>
      </c>
      <c r="M15" s="80" t="str">
        <f t="shared" si="1"/>
        <v/>
      </c>
      <c r="N15" s="131" t="b">
        <v>0</v>
      </c>
      <c r="O15" s="80" t="str">
        <f t="shared" si="2"/>
        <v/>
      </c>
      <c r="P15" s="76"/>
      <c r="Q15" s="76"/>
      <c r="R15" s="76" t="b">
        <v>0</v>
      </c>
      <c r="S15" s="82" t="b">
        <v>0</v>
      </c>
      <c r="T15" s="76"/>
      <c r="U15" s="79"/>
      <c r="V15" s="83"/>
      <c r="W15" s="118"/>
    </row>
    <row r="16">
      <c r="A16" s="75"/>
      <c r="B16" s="76"/>
      <c r="C16" s="77"/>
      <c r="D16" s="76"/>
      <c r="E16" s="76"/>
      <c r="F16" s="76"/>
      <c r="G16" s="76"/>
      <c r="H16" s="76"/>
      <c r="I16" s="75"/>
      <c r="J16" s="78"/>
      <c r="K16" s="76"/>
      <c r="L16" s="79" t="b">
        <v>0</v>
      </c>
      <c r="M16" s="80" t="str">
        <f t="shared" si="1"/>
        <v/>
      </c>
      <c r="N16" s="131" t="b">
        <v>0</v>
      </c>
      <c r="O16" s="80" t="str">
        <f t="shared" si="2"/>
        <v/>
      </c>
      <c r="P16" s="76"/>
      <c r="Q16" s="76"/>
      <c r="R16" s="76" t="b">
        <v>0</v>
      </c>
      <c r="S16" s="82" t="b">
        <v>0</v>
      </c>
      <c r="T16" s="76"/>
      <c r="U16" s="79"/>
      <c r="V16" s="83"/>
      <c r="W16" s="118"/>
    </row>
    <row r="17">
      <c r="A17" s="75"/>
      <c r="B17" s="76"/>
      <c r="C17" s="77"/>
      <c r="D17" s="76"/>
      <c r="E17" s="76"/>
      <c r="F17" s="76"/>
      <c r="G17" s="76"/>
      <c r="H17" s="76"/>
      <c r="I17" s="75"/>
      <c r="J17" s="78"/>
      <c r="K17" s="76"/>
      <c r="L17" s="79" t="b">
        <v>0</v>
      </c>
      <c r="M17" s="80" t="str">
        <f t="shared" si="1"/>
        <v/>
      </c>
      <c r="N17" s="131" t="b">
        <v>0</v>
      </c>
      <c r="O17" s="80" t="str">
        <f t="shared" si="2"/>
        <v/>
      </c>
      <c r="P17" s="76"/>
      <c r="Q17" s="76"/>
      <c r="R17" s="76" t="b">
        <v>0</v>
      </c>
      <c r="S17" s="82" t="b">
        <v>0</v>
      </c>
      <c r="T17" s="76"/>
      <c r="U17" s="79"/>
      <c r="V17" s="83"/>
      <c r="W17" s="74"/>
    </row>
    <row r="18">
      <c r="A18" s="75"/>
      <c r="B18" s="76"/>
      <c r="C18" s="77"/>
      <c r="D18" s="76"/>
      <c r="E18" s="76"/>
      <c r="F18" s="76"/>
      <c r="G18" s="76"/>
      <c r="H18" s="76"/>
      <c r="I18" s="75"/>
      <c r="J18" s="78"/>
      <c r="K18" s="76"/>
      <c r="L18" s="79" t="b">
        <v>0</v>
      </c>
      <c r="M18" s="80" t="str">
        <f t="shared" si="1"/>
        <v/>
      </c>
      <c r="N18" s="131" t="b">
        <v>0</v>
      </c>
      <c r="O18" s="80" t="str">
        <f t="shared" si="2"/>
        <v/>
      </c>
      <c r="P18" s="76"/>
      <c r="Q18" s="76"/>
      <c r="R18" s="76" t="b">
        <v>0</v>
      </c>
      <c r="S18" s="82" t="b">
        <v>0</v>
      </c>
      <c r="T18" s="76"/>
      <c r="U18" s="79"/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/>
      <c r="B19" s="76"/>
      <c r="C19" s="77"/>
      <c r="D19" s="76"/>
      <c r="E19" s="76"/>
      <c r="F19" s="76"/>
      <c r="G19" s="76"/>
      <c r="H19" s="76"/>
      <c r="I19" s="75"/>
      <c r="J19" s="78"/>
      <c r="K19" s="76"/>
      <c r="L19" s="79" t="b">
        <v>0</v>
      </c>
      <c r="M19" s="80" t="str">
        <f t="shared" si="1"/>
        <v/>
      </c>
      <c r="N19" s="131" t="b">
        <v>0</v>
      </c>
      <c r="O19" s="80" t="str">
        <f t="shared" si="2"/>
        <v/>
      </c>
      <c r="P19" s="76"/>
      <c r="Q19" s="76"/>
      <c r="R19" s="76" t="b">
        <v>0</v>
      </c>
      <c r="S19" s="82" t="b">
        <v>0</v>
      </c>
      <c r="T19" s="76"/>
      <c r="U19" s="79"/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/>
      <c r="B20" s="76"/>
      <c r="C20" s="77"/>
      <c r="D20" s="76"/>
      <c r="E20" s="76"/>
      <c r="F20" s="76"/>
      <c r="G20" s="76"/>
      <c r="H20" s="76"/>
      <c r="I20" s="75"/>
      <c r="J20" s="78"/>
      <c r="K20" s="76"/>
      <c r="L20" s="79" t="b">
        <v>0</v>
      </c>
      <c r="M20" s="80" t="str">
        <f t="shared" si="1"/>
        <v/>
      </c>
      <c r="N20" s="131" t="b">
        <v>0</v>
      </c>
      <c r="O20" s="80" t="str">
        <f t="shared" si="2"/>
        <v/>
      </c>
      <c r="P20" s="76"/>
      <c r="Q20" s="76"/>
      <c r="R20" s="76" t="b">
        <v>0</v>
      </c>
      <c r="S20" s="82" t="b">
        <v>0</v>
      </c>
      <c r="T20" s="76"/>
      <c r="U20" s="79"/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/>
      <c r="B21" s="76"/>
      <c r="C21" s="77"/>
      <c r="D21" s="76"/>
      <c r="E21" s="76"/>
      <c r="F21" s="76"/>
      <c r="G21" s="76"/>
      <c r="H21" s="76"/>
      <c r="I21" s="75"/>
      <c r="J21" s="78"/>
      <c r="K21" s="76"/>
      <c r="L21" s="79" t="b">
        <v>0</v>
      </c>
      <c r="M21" s="80" t="str">
        <f t="shared" si="1"/>
        <v/>
      </c>
      <c r="N21" s="131" t="b">
        <v>0</v>
      </c>
      <c r="O21" s="80" t="str">
        <f t="shared" si="2"/>
        <v/>
      </c>
      <c r="P21" s="76"/>
      <c r="Q21" s="76"/>
      <c r="R21" s="76" t="b">
        <v>0</v>
      </c>
      <c r="S21" s="82" t="b">
        <v>0</v>
      </c>
      <c r="T21" s="76"/>
      <c r="U21" s="79"/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/>
      <c r="B22" s="76"/>
      <c r="C22" s="77"/>
      <c r="D22" s="76"/>
      <c r="E22" s="76"/>
      <c r="F22" s="76"/>
      <c r="G22" s="76"/>
      <c r="H22" s="76"/>
      <c r="I22" s="75"/>
      <c r="J22" s="78"/>
      <c r="K22" s="76"/>
      <c r="L22" s="79" t="b">
        <v>0</v>
      </c>
      <c r="M22" s="80" t="str">
        <f t="shared" si="1"/>
        <v/>
      </c>
      <c r="N22" s="131" t="b">
        <v>0</v>
      </c>
      <c r="O22" s="80" t="str">
        <f t="shared" si="2"/>
        <v/>
      </c>
      <c r="P22" s="76"/>
      <c r="Q22" s="76"/>
      <c r="R22" s="76" t="b">
        <v>0</v>
      </c>
      <c r="S22" s="82" t="b">
        <v>0</v>
      </c>
      <c r="T22" s="76"/>
      <c r="U22" s="79"/>
      <c r="V22" s="83"/>
      <c r="W22" s="74"/>
      <c r="X22" s="74"/>
      <c r="AB22" s="74"/>
      <c r="AC22" s="74"/>
      <c r="AD22" s="74"/>
    </row>
    <row r="23">
      <c r="A23" s="75"/>
      <c r="B23" s="76"/>
      <c r="C23" s="77"/>
      <c r="D23" s="76"/>
      <c r="E23" s="76"/>
      <c r="F23" s="76"/>
      <c r="G23" s="76"/>
      <c r="H23" s="76"/>
      <c r="I23" s="75"/>
      <c r="J23" s="78"/>
      <c r="K23" s="76"/>
      <c r="L23" s="79" t="b">
        <v>0</v>
      </c>
      <c r="M23" s="80" t="str">
        <f t="shared" si="1"/>
        <v/>
      </c>
      <c r="N23" s="131" t="b">
        <v>0</v>
      </c>
      <c r="O23" s="80" t="str">
        <f t="shared" si="2"/>
        <v/>
      </c>
      <c r="P23" s="76"/>
      <c r="Q23" s="76"/>
      <c r="R23" s="76" t="b">
        <v>0</v>
      </c>
      <c r="S23" s="82" t="b">
        <v>0</v>
      </c>
      <c r="T23" s="76"/>
      <c r="U23" s="79"/>
      <c r="V23" s="83"/>
      <c r="W23" s="74"/>
      <c r="X23" s="74"/>
      <c r="AB23" s="74"/>
      <c r="AC23" s="74"/>
      <c r="AD23" s="74"/>
    </row>
    <row r="24">
      <c r="A24" s="75"/>
      <c r="B24" s="76"/>
      <c r="C24" s="77"/>
      <c r="D24" s="76"/>
      <c r="E24" s="76"/>
      <c r="F24" s="76"/>
      <c r="G24" s="76"/>
      <c r="H24" s="76"/>
      <c r="I24" s="75"/>
      <c r="J24" s="78"/>
      <c r="K24" s="76"/>
      <c r="L24" s="79" t="b">
        <v>0</v>
      </c>
      <c r="M24" s="80" t="str">
        <f t="shared" si="1"/>
        <v/>
      </c>
      <c r="N24" s="131" t="b">
        <v>0</v>
      </c>
      <c r="O24" s="80" t="str">
        <f t="shared" si="2"/>
        <v/>
      </c>
      <c r="P24" s="76"/>
      <c r="Q24" s="76"/>
      <c r="R24" s="76" t="b">
        <v>0</v>
      </c>
      <c r="S24" s="82" t="b">
        <v>0</v>
      </c>
      <c r="T24" s="76"/>
      <c r="U24" s="79"/>
      <c r="V24" s="83"/>
      <c r="W24" s="74"/>
      <c r="X24" s="74"/>
    </row>
    <row r="25">
      <c r="A25" s="75"/>
      <c r="B25" s="76"/>
      <c r="C25" s="77"/>
      <c r="D25" s="76"/>
      <c r="E25" s="76"/>
      <c r="F25" s="76"/>
      <c r="G25" s="76"/>
      <c r="H25" s="76"/>
      <c r="I25" s="75"/>
      <c r="J25" s="78"/>
      <c r="K25" s="76"/>
      <c r="L25" s="79" t="b">
        <v>0</v>
      </c>
      <c r="M25" s="80" t="str">
        <f t="shared" si="1"/>
        <v/>
      </c>
      <c r="N25" s="131" t="b">
        <v>0</v>
      </c>
      <c r="O25" s="80" t="str">
        <f t="shared" si="2"/>
        <v/>
      </c>
      <c r="P25" s="76"/>
      <c r="Q25" s="76"/>
      <c r="R25" s="76" t="b">
        <v>0</v>
      </c>
      <c r="S25" s="82" t="b">
        <v>0</v>
      </c>
      <c r="T25" s="76"/>
      <c r="U25" s="79"/>
      <c r="V25" s="83"/>
      <c r="W25" s="74"/>
      <c r="X25" s="74"/>
    </row>
    <row r="26">
      <c r="A26" s="75"/>
      <c r="B26" s="76"/>
      <c r="C26" s="77"/>
      <c r="D26" s="76"/>
      <c r="E26" s="76"/>
      <c r="F26" s="76"/>
      <c r="G26" s="76"/>
      <c r="H26" s="76"/>
      <c r="I26" s="75"/>
      <c r="J26" s="78"/>
      <c r="K26" s="76"/>
      <c r="L26" s="79" t="b">
        <v>0</v>
      </c>
      <c r="M26" s="80" t="str">
        <f t="shared" si="1"/>
        <v/>
      </c>
      <c r="N26" s="131" t="b">
        <v>0</v>
      </c>
      <c r="O26" s="80" t="str">
        <f t="shared" si="2"/>
        <v/>
      </c>
      <c r="P26" s="76"/>
      <c r="Q26" s="76"/>
      <c r="R26" s="76" t="b">
        <v>0</v>
      </c>
      <c r="S26" s="82" t="b">
        <v>0</v>
      </c>
      <c r="T26" s="76"/>
      <c r="U26" s="79"/>
      <c r="V26" s="83"/>
      <c r="W26" s="74"/>
      <c r="X26" s="74"/>
    </row>
    <row r="27">
      <c r="A27" s="75"/>
      <c r="B27" s="76"/>
      <c r="C27" s="77"/>
      <c r="D27" s="76"/>
      <c r="E27" s="76"/>
      <c r="F27" s="76"/>
      <c r="G27" s="76"/>
      <c r="H27" s="76"/>
      <c r="I27" s="75"/>
      <c r="J27" s="78"/>
      <c r="K27" s="76"/>
      <c r="L27" s="79" t="b">
        <v>0</v>
      </c>
      <c r="M27" s="80" t="str">
        <f t="shared" si="1"/>
        <v/>
      </c>
      <c r="N27" s="131" t="b">
        <v>0</v>
      </c>
      <c r="O27" s="80" t="str">
        <f t="shared" si="2"/>
        <v/>
      </c>
      <c r="P27" s="76"/>
      <c r="Q27" s="76"/>
      <c r="R27" s="76" t="b">
        <v>0</v>
      </c>
      <c r="S27" s="82" t="b">
        <v>0</v>
      </c>
      <c r="T27" s="76"/>
      <c r="U27" s="79"/>
      <c r="V27" s="83"/>
      <c r="W27" s="74"/>
      <c r="X27" s="86"/>
    </row>
    <row r="28">
      <c r="A28" s="75"/>
      <c r="B28" s="76"/>
      <c r="C28" s="77"/>
      <c r="D28" s="76"/>
      <c r="E28" s="76"/>
      <c r="F28" s="76"/>
      <c r="G28" s="76"/>
      <c r="H28" s="76"/>
      <c r="I28" s="75"/>
      <c r="J28" s="78"/>
      <c r="K28" s="76"/>
      <c r="L28" s="79" t="b">
        <v>0</v>
      </c>
      <c r="M28" s="80" t="str">
        <f t="shared" si="1"/>
        <v/>
      </c>
      <c r="N28" s="131" t="b">
        <v>0</v>
      </c>
      <c r="O28" s="80" t="str">
        <f t="shared" si="2"/>
        <v/>
      </c>
      <c r="P28" s="76"/>
      <c r="Q28" s="76"/>
      <c r="R28" s="76" t="b">
        <v>0</v>
      </c>
      <c r="S28" s="82" t="b">
        <v>0</v>
      </c>
      <c r="T28" s="76"/>
      <c r="U28" s="79"/>
      <c r="V28" s="83"/>
      <c r="W28" s="74"/>
      <c r="X28" s="86"/>
    </row>
    <row r="29">
      <c r="A29" s="75"/>
      <c r="B29" s="76"/>
      <c r="C29" s="77"/>
      <c r="D29" s="76"/>
      <c r="E29" s="76"/>
      <c r="F29" s="76"/>
      <c r="G29" s="76"/>
      <c r="H29" s="76"/>
      <c r="I29" s="75"/>
      <c r="J29" s="78"/>
      <c r="K29" s="76"/>
      <c r="L29" s="79" t="b">
        <v>0</v>
      </c>
      <c r="M29" s="80" t="str">
        <f t="shared" si="1"/>
        <v/>
      </c>
      <c r="N29" s="131" t="b">
        <v>0</v>
      </c>
      <c r="O29" s="80" t="str">
        <f t="shared" si="2"/>
        <v/>
      </c>
      <c r="P29" s="76"/>
      <c r="Q29" s="76"/>
      <c r="R29" s="76" t="b">
        <v>0</v>
      </c>
      <c r="S29" s="82" t="b">
        <v>0</v>
      </c>
      <c r="T29" s="76"/>
      <c r="U29" s="79"/>
      <c r="V29" s="83"/>
      <c r="W29" s="74"/>
      <c r="X29" s="86"/>
      <c r="AE29" s="87"/>
      <c r="AF29" s="87"/>
      <c r="AG29" s="87"/>
      <c r="AH29" s="87"/>
    </row>
    <row r="30">
      <c r="A30" s="75"/>
      <c r="B30" s="76"/>
      <c r="C30" s="77"/>
      <c r="D30" s="76"/>
      <c r="E30" s="76"/>
      <c r="F30" s="76"/>
      <c r="G30" s="76"/>
      <c r="H30" s="76"/>
      <c r="I30" s="75"/>
      <c r="J30" s="78"/>
      <c r="K30" s="76"/>
      <c r="L30" s="79" t="b">
        <v>0</v>
      </c>
      <c r="M30" s="80" t="str">
        <f t="shared" si="1"/>
        <v/>
      </c>
      <c r="N30" s="131" t="b">
        <v>0</v>
      </c>
      <c r="O30" s="80" t="str">
        <f t="shared" si="2"/>
        <v/>
      </c>
      <c r="P30" s="76"/>
      <c r="Q30" s="76"/>
      <c r="R30" s="76" t="b">
        <v>0</v>
      </c>
      <c r="S30" s="82" t="b">
        <v>0</v>
      </c>
      <c r="T30" s="76"/>
      <c r="U30" s="79"/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/>
      <c r="B31" s="76"/>
      <c r="C31" s="77"/>
      <c r="D31" s="76"/>
      <c r="E31" s="76"/>
      <c r="F31" s="76"/>
      <c r="G31" s="76"/>
      <c r="H31" s="76"/>
      <c r="I31" s="75"/>
      <c r="J31" s="78"/>
      <c r="K31" s="76"/>
      <c r="L31" s="79" t="b">
        <v>0</v>
      </c>
      <c r="M31" s="80" t="str">
        <f t="shared" si="1"/>
        <v/>
      </c>
      <c r="N31" s="131" t="b">
        <v>0</v>
      </c>
      <c r="O31" s="80" t="str">
        <f t="shared" si="2"/>
        <v/>
      </c>
      <c r="P31" s="76"/>
      <c r="Q31" s="76"/>
      <c r="R31" s="76" t="b">
        <v>0</v>
      </c>
      <c r="S31" s="82" t="b">
        <v>0</v>
      </c>
      <c r="T31" s="76"/>
      <c r="U31" s="79"/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/>
      <c r="B32" s="76"/>
      <c r="C32" s="77"/>
      <c r="D32" s="76"/>
      <c r="E32" s="76"/>
      <c r="F32" s="76"/>
      <c r="G32" s="76"/>
      <c r="H32" s="76"/>
      <c r="I32" s="75"/>
      <c r="J32" s="78"/>
      <c r="K32" s="76"/>
      <c r="L32" s="79" t="b">
        <v>0</v>
      </c>
      <c r="M32" s="80" t="str">
        <f t="shared" si="1"/>
        <v/>
      </c>
      <c r="N32" s="131" t="b">
        <v>0</v>
      </c>
      <c r="O32" s="80" t="str">
        <f t="shared" si="2"/>
        <v/>
      </c>
      <c r="P32" s="76"/>
      <c r="Q32" s="76"/>
      <c r="R32" s="76" t="b">
        <v>0</v>
      </c>
      <c r="S32" s="82" t="b">
        <v>0</v>
      </c>
      <c r="T32" s="76"/>
      <c r="U32" s="79"/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/>
      <c r="B33" s="76"/>
      <c r="C33" s="77"/>
      <c r="D33" s="76"/>
      <c r="E33" s="76"/>
      <c r="F33" s="76"/>
      <c r="G33" s="76"/>
      <c r="H33" s="76"/>
      <c r="I33" s="75"/>
      <c r="J33" s="78"/>
      <c r="K33" s="76"/>
      <c r="L33" s="79" t="b">
        <v>0</v>
      </c>
      <c r="M33" s="80" t="str">
        <f t="shared" si="1"/>
        <v/>
      </c>
      <c r="N33" s="131" t="b">
        <v>0</v>
      </c>
      <c r="O33" s="80" t="str">
        <f t="shared" si="2"/>
        <v/>
      </c>
      <c r="P33" s="76"/>
      <c r="Q33" s="76"/>
      <c r="R33" s="76" t="b">
        <v>0</v>
      </c>
      <c r="S33" s="82" t="b">
        <v>0</v>
      </c>
      <c r="T33" s="76"/>
      <c r="U33" s="79"/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/>
      <c r="B34" s="76"/>
      <c r="C34" s="77"/>
      <c r="D34" s="76"/>
      <c r="E34" s="76"/>
      <c r="F34" s="76"/>
      <c r="G34" s="76"/>
      <c r="H34" s="76"/>
      <c r="I34" s="75"/>
      <c r="J34" s="78"/>
      <c r="K34" s="76"/>
      <c r="L34" s="79" t="b">
        <v>0</v>
      </c>
      <c r="M34" s="80" t="str">
        <f t="shared" si="1"/>
        <v/>
      </c>
      <c r="N34" s="131" t="b">
        <v>0</v>
      </c>
      <c r="O34" s="80" t="str">
        <f t="shared" si="2"/>
        <v/>
      </c>
      <c r="P34" s="76"/>
      <c r="Q34" s="76"/>
      <c r="R34" s="76" t="b">
        <v>0</v>
      </c>
      <c r="S34" s="82" t="b">
        <v>0</v>
      </c>
      <c r="T34" s="76"/>
      <c r="U34" s="79"/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/>
      <c r="B35" s="76"/>
      <c r="C35" s="77"/>
      <c r="D35" s="76"/>
      <c r="E35" s="76"/>
      <c r="F35" s="76"/>
      <c r="G35" s="76"/>
      <c r="H35" s="76"/>
      <c r="I35" s="75"/>
      <c r="J35" s="78"/>
      <c r="K35" s="76"/>
      <c r="L35" s="79" t="b">
        <v>0</v>
      </c>
      <c r="M35" s="80" t="str">
        <f t="shared" si="1"/>
        <v/>
      </c>
      <c r="N35" s="131" t="b">
        <v>0</v>
      </c>
      <c r="O35" s="80" t="str">
        <f t="shared" si="2"/>
        <v/>
      </c>
      <c r="P35" s="76"/>
      <c r="Q35" s="76"/>
      <c r="R35" s="76" t="b">
        <v>0</v>
      </c>
      <c r="S35" s="82" t="b">
        <v>0</v>
      </c>
      <c r="T35" s="76"/>
      <c r="U35" s="79"/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/>
      <c r="B36" s="76"/>
      <c r="C36" s="77"/>
      <c r="D36" s="76"/>
      <c r="E36" s="76"/>
      <c r="F36" s="76"/>
      <c r="G36" s="76"/>
      <c r="H36" s="76"/>
      <c r="I36" s="75"/>
      <c r="J36" s="78"/>
      <c r="K36" s="76"/>
      <c r="L36" s="79" t="b">
        <v>0</v>
      </c>
      <c r="M36" s="80" t="str">
        <f t="shared" si="1"/>
        <v/>
      </c>
      <c r="N36" s="131" t="b">
        <v>0</v>
      </c>
      <c r="O36" s="80" t="str">
        <f t="shared" si="2"/>
        <v/>
      </c>
      <c r="P36" s="76"/>
      <c r="Q36" s="76"/>
      <c r="R36" s="76" t="b">
        <v>0</v>
      </c>
      <c r="S36" s="82" t="b">
        <v>0</v>
      </c>
      <c r="T36" s="76"/>
      <c r="U36" s="79"/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/>
      <c r="B37" s="76"/>
      <c r="C37" s="77"/>
      <c r="D37" s="76"/>
      <c r="E37" s="76"/>
      <c r="F37" s="76"/>
      <c r="G37" s="76"/>
      <c r="H37" s="76"/>
      <c r="I37" s="75"/>
      <c r="J37" s="78"/>
      <c r="K37" s="76"/>
      <c r="L37" s="79" t="b">
        <v>0</v>
      </c>
      <c r="M37" s="80" t="str">
        <f t="shared" si="1"/>
        <v/>
      </c>
      <c r="N37" s="131" t="b">
        <v>0</v>
      </c>
      <c r="O37" s="80" t="str">
        <f t="shared" si="2"/>
        <v/>
      </c>
      <c r="P37" s="76"/>
      <c r="Q37" s="76"/>
      <c r="R37" s="76" t="b">
        <v>0</v>
      </c>
      <c r="S37" s="82" t="b">
        <v>0</v>
      </c>
      <c r="T37" s="76"/>
      <c r="U37" s="79"/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/>
      <c r="B38" s="76"/>
      <c r="C38" s="77"/>
      <c r="D38" s="76"/>
      <c r="E38" s="76"/>
      <c r="F38" s="76"/>
      <c r="G38" s="76"/>
      <c r="H38" s="76"/>
      <c r="I38" s="75"/>
      <c r="J38" s="78"/>
      <c r="K38" s="76"/>
      <c r="L38" s="79" t="b">
        <v>0</v>
      </c>
      <c r="M38" s="80" t="str">
        <f t="shared" si="1"/>
        <v/>
      </c>
      <c r="N38" s="131" t="b">
        <v>0</v>
      </c>
      <c r="O38" s="80" t="str">
        <f t="shared" si="2"/>
        <v/>
      </c>
      <c r="P38" s="76"/>
      <c r="Q38" s="76"/>
      <c r="R38" s="76" t="b">
        <v>0</v>
      </c>
      <c r="S38" s="82" t="b">
        <v>0</v>
      </c>
      <c r="T38" s="76"/>
      <c r="U38" s="79"/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/>
      <c r="B39" s="76"/>
      <c r="C39" s="77"/>
      <c r="D39" s="76"/>
      <c r="E39" s="76"/>
      <c r="F39" s="76"/>
      <c r="G39" s="76"/>
      <c r="H39" s="76"/>
      <c r="I39" s="75"/>
      <c r="J39" s="78"/>
      <c r="K39" s="76"/>
      <c r="L39" s="79" t="b">
        <v>0</v>
      </c>
      <c r="M39" s="80" t="str">
        <f t="shared" si="1"/>
        <v/>
      </c>
      <c r="N39" s="131" t="b">
        <v>0</v>
      </c>
      <c r="O39" s="80" t="str">
        <f t="shared" si="2"/>
        <v/>
      </c>
      <c r="P39" s="76"/>
      <c r="Q39" s="76"/>
      <c r="R39" s="76" t="b">
        <v>0</v>
      </c>
      <c r="S39" s="82" t="b">
        <v>0</v>
      </c>
      <c r="T39" s="76"/>
      <c r="U39" s="79"/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/>
      <c r="B40" s="76"/>
      <c r="C40" s="77"/>
      <c r="D40" s="76"/>
      <c r="E40" s="76"/>
      <c r="F40" s="76"/>
      <c r="G40" s="76"/>
      <c r="H40" s="76"/>
      <c r="I40" s="75"/>
      <c r="J40" s="78"/>
      <c r="K40" s="76"/>
      <c r="L40" s="79" t="b">
        <v>0</v>
      </c>
      <c r="M40" s="80" t="str">
        <f t="shared" si="1"/>
        <v/>
      </c>
      <c r="N40" s="131" t="b">
        <v>0</v>
      </c>
      <c r="O40" s="80" t="str">
        <f t="shared" si="2"/>
        <v/>
      </c>
      <c r="P40" s="76"/>
      <c r="Q40" s="76"/>
      <c r="R40" s="76" t="b">
        <v>0</v>
      </c>
      <c r="S40" s="82" t="b">
        <v>0</v>
      </c>
      <c r="T40" s="76"/>
      <c r="U40" s="79"/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/>
      <c r="B41" s="76"/>
      <c r="C41" s="77"/>
      <c r="D41" s="76"/>
      <c r="E41" s="76"/>
      <c r="F41" s="76"/>
      <c r="G41" s="76"/>
      <c r="H41" s="76"/>
      <c r="I41" s="75"/>
      <c r="J41" s="78"/>
      <c r="K41" s="76"/>
      <c r="L41" s="79" t="b">
        <v>0</v>
      </c>
      <c r="M41" s="80" t="str">
        <f t="shared" si="1"/>
        <v/>
      </c>
      <c r="N41" s="131" t="b">
        <v>0</v>
      </c>
      <c r="O41" s="80" t="str">
        <f t="shared" si="2"/>
        <v/>
      </c>
      <c r="P41" s="76"/>
      <c r="Q41" s="76"/>
      <c r="R41" s="76" t="b">
        <v>0</v>
      </c>
      <c r="S41" s="82" t="b">
        <v>0</v>
      </c>
      <c r="T41" s="76"/>
      <c r="U41" s="79"/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/>
      <c r="B42" s="76"/>
      <c r="C42" s="77"/>
      <c r="D42" s="76"/>
      <c r="E42" s="76"/>
      <c r="F42" s="76"/>
      <c r="G42" s="76"/>
      <c r="H42" s="76"/>
      <c r="I42" s="75"/>
      <c r="J42" s="78"/>
      <c r="K42" s="76"/>
      <c r="L42" s="79" t="b">
        <v>0</v>
      </c>
      <c r="M42" s="80" t="str">
        <f t="shared" si="1"/>
        <v/>
      </c>
      <c r="N42" s="131" t="b">
        <v>0</v>
      </c>
      <c r="O42" s="80" t="str">
        <f t="shared" si="2"/>
        <v/>
      </c>
      <c r="P42" s="76"/>
      <c r="Q42" s="76"/>
      <c r="R42" s="76" t="b">
        <v>0</v>
      </c>
      <c r="S42" s="82" t="b">
        <v>0</v>
      </c>
      <c r="T42" s="76"/>
      <c r="U42" s="79"/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/>
      <c r="B43" s="76"/>
      <c r="C43" s="77"/>
      <c r="D43" s="76"/>
      <c r="E43" s="76"/>
      <c r="F43" s="76"/>
      <c r="G43" s="76"/>
      <c r="H43" s="76"/>
      <c r="I43" s="75"/>
      <c r="J43" s="78"/>
      <c r="K43" s="76"/>
      <c r="L43" s="79" t="b">
        <v>0</v>
      </c>
      <c r="M43" s="80" t="str">
        <f t="shared" si="1"/>
        <v/>
      </c>
      <c r="N43" s="131" t="b">
        <v>0</v>
      </c>
      <c r="O43" s="80" t="str">
        <f t="shared" si="2"/>
        <v/>
      </c>
      <c r="P43" s="76"/>
      <c r="Q43" s="76"/>
      <c r="R43" s="76" t="b">
        <v>0</v>
      </c>
      <c r="S43" s="82" t="b">
        <v>0</v>
      </c>
      <c r="T43" s="76"/>
      <c r="U43" s="79"/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/>
      <c r="B44" s="76"/>
      <c r="C44" s="77"/>
      <c r="D44" s="76"/>
      <c r="E44" s="76"/>
      <c r="F44" s="76"/>
      <c r="G44" s="76"/>
      <c r="H44" s="76"/>
      <c r="I44" s="75"/>
      <c r="J44" s="78"/>
      <c r="K44" s="76"/>
      <c r="L44" s="79" t="b">
        <v>0</v>
      </c>
      <c r="M44" s="80" t="str">
        <f t="shared" si="1"/>
        <v/>
      </c>
      <c r="N44" s="131" t="b">
        <v>0</v>
      </c>
      <c r="O44" s="80" t="str">
        <f t="shared" si="2"/>
        <v/>
      </c>
      <c r="P44" s="76"/>
      <c r="Q44" s="76"/>
      <c r="R44" s="76" t="b">
        <v>0</v>
      </c>
      <c r="S44" s="82" t="b">
        <v>0</v>
      </c>
      <c r="T44" s="76"/>
      <c r="U44" s="79"/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/>
      <c r="B45" s="76"/>
      <c r="C45" s="77"/>
      <c r="D45" s="76"/>
      <c r="E45" s="76"/>
      <c r="F45" s="76"/>
      <c r="G45" s="76"/>
      <c r="H45" s="76"/>
      <c r="I45" s="75"/>
      <c r="J45" s="78"/>
      <c r="K45" s="76"/>
      <c r="L45" s="79" t="b">
        <v>0</v>
      </c>
      <c r="M45" s="80" t="str">
        <f t="shared" si="1"/>
        <v/>
      </c>
      <c r="N45" s="131" t="b">
        <v>0</v>
      </c>
      <c r="O45" s="80" t="str">
        <f t="shared" si="2"/>
        <v/>
      </c>
      <c r="P45" s="76"/>
      <c r="Q45" s="76"/>
      <c r="R45" s="76" t="b">
        <v>0</v>
      </c>
      <c r="S45" s="82" t="b">
        <v>0</v>
      </c>
      <c r="T45" s="76"/>
      <c r="U45" s="79"/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/>
      <c r="B46" s="76"/>
      <c r="C46" s="77"/>
      <c r="D46" s="76"/>
      <c r="E46" s="76"/>
      <c r="F46" s="76"/>
      <c r="G46" s="76"/>
      <c r="H46" s="76"/>
      <c r="I46" s="75"/>
      <c r="J46" s="78"/>
      <c r="K46" s="76"/>
      <c r="L46" s="79" t="b">
        <v>0</v>
      </c>
      <c r="M46" s="80" t="str">
        <f t="shared" si="1"/>
        <v/>
      </c>
      <c r="N46" s="131" t="b">
        <v>0</v>
      </c>
      <c r="O46" s="80" t="str">
        <f t="shared" si="2"/>
        <v/>
      </c>
      <c r="P46" s="76"/>
      <c r="Q46" s="76"/>
      <c r="R46" s="76" t="b">
        <v>0</v>
      </c>
      <c r="S46" s="82" t="b">
        <v>0</v>
      </c>
      <c r="T46" s="76"/>
      <c r="U46" s="79"/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/>
      <c r="B47" s="76"/>
      <c r="C47" s="77"/>
      <c r="D47" s="76"/>
      <c r="E47" s="76"/>
      <c r="F47" s="76"/>
      <c r="G47" s="76"/>
      <c r="H47" s="76"/>
      <c r="I47" s="75"/>
      <c r="J47" s="78"/>
      <c r="K47" s="76"/>
      <c r="L47" s="79" t="b">
        <v>0</v>
      </c>
      <c r="M47" s="80" t="str">
        <f t="shared" si="1"/>
        <v/>
      </c>
      <c r="N47" s="131" t="b">
        <v>0</v>
      </c>
      <c r="O47" s="80" t="str">
        <f t="shared" si="2"/>
        <v/>
      </c>
      <c r="P47" s="76"/>
      <c r="Q47" s="76"/>
      <c r="R47" s="76" t="b">
        <v>0</v>
      </c>
      <c r="S47" s="82" t="b">
        <v>0</v>
      </c>
      <c r="T47" s="76"/>
      <c r="U47" s="79"/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/>
      <c r="B48" s="76"/>
      <c r="C48" s="77"/>
      <c r="D48" s="76"/>
      <c r="E48" s="76"/>
      <c r="F48" s="76"/>
      <c r="G48" s="76"/>
      <c r="H48" s="76"/>
      <c r="I48" s="75"/>
      <c r="J48" s="78"/>
      <c r="K48" s="76"/>
      <c r="L48" s="79" t="b">
        <v>0</v>
      </c>
      <c r="M48" s="80" t="str">
        <f t="shared" si="1"/>
        <v/>
      </c>
      <c r="N48" s="131" t="b">
        <v>0</v>
      </c>
      <c r="O48" s="80" t="str">
        <f t="shared" si="2"/>
        <v/>
      </c>
      <c r="P48" s="76"/>
      <c r="Q48" s="76"/>
      <c r="R48" s="76" t="b">
        <v>0</v>
      </c>
      <c r="S48" s="82" t="b">
        <v>0</v>
      </c>
      <c r="T48" s="76"/>
      <c r="U48" s="79"/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/>
      <c r="B49" s="76"/>
      <c r="C49" s="77"/>
      <c r="D49" s="76"/>
      <c r="E49" s="76"/>
      <c r="F49" s="76"/>
      <c r="G49" s="76"/>
      <c r="H49" s="76"/>
      <c r="I49" s="75"/>
      <c r="J49" s="78"/>
      <c r="K49" s="76"/>
      <c r="L49" s="79" t="b">
        <v>0</v>
      </c>
      <c r="M49" s="80" t="str">
        <f t="shared" si="1"/>
        <v/>
      </c>
      <c r="N49" s="131" t="b">
        <v>0</v>
      </c>
      <c r="O49" s="80" t="str">
        <f t="shared" si="2"/>
        <v/>
      </c>
      <c r="P49" s="76"/>
      <c r="Q49" s="76"/>
      <c r="R49" s="76" t="b">
        <v>0</v>
      </c>
      <c r="S49" s="82" t="b">
        <v>0</v>
      </c>
      <c r="T49" s="76"/>
      <c r="U49" s="79"/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/>
      <c r="B50" s="76"/>
      <c r="C50" s="77"/>
      <c r="D50" s="76"/>
      <c r="E50" s="76"/>
      <c r="F50" s="76"/>
      <c r="G50" s="76"/>
      <c r="H50" s="76"/>
      <c r="I50" s="75"/>
      <c r="J50" s="78"/>
      <c r="K50" s="76"/>
      <c r="L50" s="79" t="b">
        <v>0</v>
      </c>
      <c r="M50" s="80" t="str">
        <f t="shared" si="1"/>
        <v/>
      </c>
      <c r="N50" s="131" t="b">
        <v>0</v>
      </c>
      <c r="O50" s="80" t="str">
        <f t="shared" si="2"/>
        <v/>
      </c>
      <c r="P50" s="76"/>
      <c r="Q50" s="76"/>
      <c r="R50" s="76" t="b">
        <v>0</v>
      </c>
      <c r="S50" s="82" t="b">
        <v>0</v>
      </c>
      <c r="T50" s="76"/>
      <c r="U50" s="79"/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/>
      <c r="B51" s="76"/>
      <c r="C51" s="77"/>
      <c r="D51" s="76"/>
      <c r="E51" s="76"/>
      <c r="F51" s="76"/>
      <c r="G51" s="76"/>
      <c r="H51" s="76"/>
      <c r="I51" s="75"/>
      <c r="J51" s="78"/>
      <c r="K51" s="76"/>
      <c r="L51" s="79" t="b">
        <v>0</v>
      </c>
      <c r="M51" s="80" t="str">
        <f t="shared" si="1"/>
        <v/>
      </c>
      <c r="N51" s="131" t="b">
        <v>0</v>
      </c>
      <c r="O51" s="80" t="str">
        <f t="shared" si="2"/>
        <v/>
      </c>
      <c r="P51" s="76"/>
      <c r="Q51" s="76"/>
      <c r="R51" s="76" t="b">
        <v>0</v>
      </c>
      <c r="S51" s="82" t="b">
        <v>0</v>
      </c>
      <c r="T51" s="76"/>
      <c r="U51" s="79"/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/>
      <c r="B52" s="76"/>
      <c r="C52" s="77"/>
      <c r="D52" s="76"/>
      <c r="E52" s="76"/>
      <c r="F52" s="76"/>
      <c r="G52" s="76"/>
      <c r="H52" s="76"/>
      <c r="I52" s="75"/>
      <c r="J52" s="78"/>
      <c r="K52" s="76"/>
      <c r="L52" s="79" t="b">
        <v>0</v>
      </c>
      <c r="M52" s="80" t="str">
        <f t="shared" si="1"/>
        <v/>
      </c>
      <c r="N52" s="131" t="b">
        <v>0</v>
      </c>
      <c r="O52" s="80" t="str">
        <f t="shared" si="2"/>
        <v/>
      </c>
      <c r="P52" s="76"/>
      <c r="Q52" s="76"/>
      <c r="R52" s="76" t="b">
        <v>0</v>
      </c>
      <c r="S52" s="82" t="b">
        <v>0</v>
      </c>
      <c r="T52" s="76"/>
      <c r="U52" s="79"/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/>
      <c r="B53" s="76"/>
      <c r="C53" s="77"/>
      <c r="D53" s="76"/>
      <c r="E53" s="76"/>
      <c r="F53" s="76"/>
      <c r="G53" s="76"/>
      <c r="H53" s="76"/>
      <c r="I53" s="75"/>
      <c r="J53" s="78"/>
      <c r="K53" s="76"/>
      <c r="L53" s="79" t="b">
        <v>0</v>
      </c>
      <c r="M53" s="80" t="str">
        <f t="shared" si="1"/>
        <v/>
      </c>
      <c r="N53" s="131" t="b">
        <v>0</v>
      </c>
      <c r="O53" s="80" t="str">
        <f t="shared" si="2"/>
        <v/>
      </c>
      <c r="P53" s="76"/>
      <c r="Q53" s="76"/>
      <c r="R53" s="76" t="b">
        <v>0</v>
      </c>
      <c r="S53" s="82" t="b">
        <v>0</v>
      </c>
      <c r="T53" s="76"/>
      <c r="U53" s="79"/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/>
      <c r="B54" s="76"/>
      <c r="C54" s="77"/>
      <c r="D54" s="76"/>
      <c r="E54" s="76"/>
      <c r="F54" s="76"/>
      <c r="G54" s="76"/>
      <c r="H54" s="76"/>
      <c r="I54" s="75"/>
      <c r="J54" s="78"/>
      <c r="K54" s="76"/>
      <c r="L54" s="79" t="b">
        <v>0</v>
      </c>
      <c r="M54" s="80" t="str">
        <f t="shared" si="1"/>
        <v/>
      </c>
      <c r="N54" s="131" t="b">
        <v>0</v>
      </c>
      <c r="O54" s="80" t="str">
        <f t="shared" si="2"/>
        <v/>
      </c>
      <c r="P54" s="76"/>
      <c r="Q54" s="76"/>
      <c r="R54" s="76" t="b">
        <v>0</v>
      </c>
      <c r="S54" s="82" t="b">
        <v>0</v>
      </c>
      <c r="T54" s="76"/>
      <c r="U54" s="79"/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/>
      <c r="B55" s="76"/>
      <c r="C55" s="77"/>
      <c r="D55" s="76"/>
      <c r="E55" s="76"/>
      <c r="F55" s="76"/>
      <c r="G55" s="76"/>
      <c r="H55" s="76"/>
      <c r="I55" s="75"/>
      <c r="J55" s="78"/>
      <c r="K55" s="76"/>
      <c r="L55" s="79" t="b">
        <v>0</v>
      </c>
      <c r="M55" s="80" t="str">
        <f t="shared" si="1"/>
        <v/>
      </c>
      <c r="N55" s="131" t="b">
        <v>0</v>
      </c>
      <c r="O55" s="80" t="str">
        <f t="shared" si="2"/>
        <v/>
      </c>
      <c r="P55" s="76"/>
      <c r="Q55" s="76"/>
      <c r="R55" s="76" t="b">
        <v>0</v>
      </c>
      <c r="S55" s="82" t="b">
        <v>0</v>
      </c>
      <c r="T55" s="76"/>
      <c r="U55" s="79"/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/>
      <c r="B56" s="76"/>
      <c r="C56" s="77"/>
      <c r="D56" s="76"/>
      <c r="E56" s="76"/>
      <c r="F56" s="76"/>
      <c r="G56" s="76"/>
      <c r="H56" s="76"/>
      <c r="I56" s="75"/>
      <c r="J56" s="78"/>
      <c r="K56" s="76"/>
      <c r="L56" s="79" t="b">
        <v>0</v>
      </c>
      <c r="M56" s="80" t="str">
        <f t="shared" si="1"/>
        <v/>
      </c>
      <c r="N56" s="131" t="b">
        <v>0</v>
      </c>
      <c r="O56" s="80" t="str">
        <f t="shared" si="2"/>
        <v/>
      </c>
      <c r="P56" s="76"/>
      <c r="Q56" s="76"/>
      <c r="R56" s="76" t="b">
        <v>0</v>
      </c>
      <c r="S56" s="82" t="b">
        <v>0</v>
      </c>
      <c r="T56" s="76"/>
      <c r="U56" s="79"/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/>
      <c r="B57" s="76"/>
      <c r="C57" s="77"/>
      <c r="D57" s="76"/>
      <c r="E57" s="76"/>
      <c r="F57" s="76"/>
      <c r="G57" s="76"/>
      <c r="H57" s="76"/>
      <c r="I57" s="75"/>
      <c r="J57" s="78"/>
      <c r="K57" s="76"/>
      <c r="L57" s="79" t="b">
        <v>0</v>
      </c>
      <c r="M57" s="80" t="str">
        <f t="shared" si="1"/>
        <v/>
      </c>
      <c r="N57" s="131" t="b">
        <v>0</v>
      </c>
      <c r="O57" s="80" t="str">
        <f t="shared" si="2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/>
      <c r="B58" s="76"/>
      <c r="C58" s="77"/>
      <c r="D58" s="76"/>
      <c r="E58" s="76"/>
      <c r="F58" s="76"/>
      <c r="G58" s="76"/>
      <c r="H58" s="76"/>
      <c r="I58" s="75"/>
      <c r="J58" s="78"/>
      <c r="K58" s="76"/>
      <c r="L58" s="79" t="b">
        <v>0</v>
      </c>
      <c r="M58" s="80" t="str">
        <f t="shared" si="1"/>
        <v/>
      </c>
      <c r="N58" s="131" t="b">
        <v>0</v>
      </c>
      <c r="O58" s="80" t="str">
        <f t="shared" si="2"/>
        <v/>
      </c>
      <c r="P58" s="76"/>
      <c r="Q58" s="76"/>
      <c r="R58" s="76" t="b">
        <v>0</v>
      </c>
      <c r="S58" s="82" t="b">
        <v>0</v>
      </c>
      <c r="T58" s="76"/>
      <c r="U58" s="79"/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/>
      <c r="B59" s="76"/>
      <c r="C59" s="77"/>
      <c r="D59" s="76"/>
      <c r="E59" s="76"/>
      <c r="F59" s="76"/>
      <c r="G59" s="76"/>
      <c r="H59" s="76"/>
      <c r="I59" s="75"/>
      <c r="J59" s="78"/>
      <c r="K59" s="76"/>
      <c r="L59" s="79" t="b">
        <v>0</v>
      </c>
      <c r="M59" s="80" t="str">
        <f t="shared" si="1"/>
        <v/>
      </c>
      <c r="N59" s="131" t="b">
        <v>0</v>
      </c>
      <c r="O59" s="80" t="str">
        <f t="shared" si="2"/>
        <v/>
      </c>
      <c r="P59" s="76"/>
      <c r="Q59" s="76"/>
      <c r="R59" s="76" t="b">
        <v>0</v>
      </c>
      <c r="S59" s="82" t="b">
        <v>0</v>
      </c>
      <c r="T59" s="76"/>
      <c r="U59" s="79"/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/>
      <c r="B60" s="76"/>
      <c r="C60" s="77"/>
      <c r="D60" s="76"/>
      <c r="E60" s="76"/>
      <c r="F60" s="76"/>
      <c r="G60" s="76"/>
      <c r="H60" s="76"/>
      <c r="I60" s="75"/>
      <c r="J60" s="78"/>
      <c r="K60" s="76"/>
      <c r="L60" s="79" t="b">
        <v>0</v>
      </c>
      <c r="M60" s="80" t="str">
        <f t="shared" si="1"/>
        <v/>
      </c>
      <c r="N60" s="131" t="b">
        <v>0</v>
      </c>
      <c r="O60" s="80" t="str">
        <f t="shared" si="2"/>
        <v/>
      </c>
      <c r="P60" s="76"/>
      <c r="Q60" s="76"/>
      <c r="R60" s="76" t="b">
        <v>0</v>
      </c>
      <c r="S60" s="82" t="b">
        <v>0</v>
      </c>
      <c r="T60" s="76"/>
      <c r="U60" s="79"/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/>
      <c r="B61" s="76"/>
      <c r="C61" s="77"/>
      <c r="D61" s="76"/>
      <c r="E61" s="76"/>
      <c r="F61" s="76"/>
      <c r="G61" s="76"/>
      <c r="H61" s="76"/>
      <c r="I61" s="75"/>
      <c r="J61" s="78"/>
      <c r="K61" s="76"/>
      <c r="L61" s="79" t="b">
        <v>0</v>
      </c>
      <c r="M61" s="80" t="str">
        <f t="shared" si="1"/>
        <v/>
      </c>
      <c r="N61" s="131" t="b">
        <v>0</v>
      </c>
      <c r="O61" s="80" t="str">
        <f t="shared" si="2"/>
        <v/>
      </c>
      <c r="P61" s="76"/>
      <c r="Q61" s="76"/>
      <c r="R61" s="76" t="b">
        <v>0</v>
      </c>
      <c r="S61" s="82" t="b">
        <v>0</v>
      </c>
      <c r="T61" s="76"/>
      <c r="U61" s="79"/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/>
      <c r="B62" s="76"/>
      <c r="C62" s="77"/>
      <c r="D62" s="76"/>
      <c r="E62" s="76"/>
      <c r="F62" s="76"/>
      <c r="G62" s="76"/>
      <c r="H62" s="76"/>
      <c r="I62" s="75"/>
      <c r="J62" s="78"/>
      <c r="K62" s="76"/>
      <c r="L62" s="79" t="b">
        <v>0</v>
      </c>
      <c r="M62" s="80" t="str">
        <f t="shared" si="1"/>
        <v/>
      </c>
      <c r="N62" s="131" t="b">
        <v>0</v>
      </c>
      <c r="O62" s="80" t="str">
        <f t="shared" si="2"/>
        <v/>
      </c>
      <c r="P62" s="76"/>
      <c r="Q62" s="76"/>
      <c r="R62" s="76" t="b">
        <v>0</v>
      </c>
      <c r="S62" s="82" t="b">
        <v>0</v>
      </c>
      <c r="T62" s="76"/>
      <c r="U62" s="79"/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/>
      <c r="B63" s="76"/>
      <c r="C63" s="77"/>
      <c r="D63" s="76"/>
      <c r="E63" s="76"/>
      <c r="F63" s="76"/>
      <c r="G63" s="76"/>
      <c r="H63" s="76"/>
      <c r="I63" s="75"/>
      <c r="J63" s="78"/>
      <c r="K63" s="76"/>
      <c r="L63" s="79" t="b">
        <v>0</v>
      </c>
      <c r="M63" s="80" t="str">
        <f t="shared" si="1"/>
        <v/>
      </c>
      <c r="N63" s="131" t="b">
        <v>0</v>
      </c>
      <c r="O63" s="80" t="str">
        <f t="shared" si="2"/>
        <v/>
      </c>
      <c r="P63" s="76"/>
      <c r="Q63" s="76"/>
      <c r="R63" s="76" t="b">
        <v>0</v>
      </c>
      <c r="S63" s="82" t="b">
        <v>0</v>
      </c>
      <c r="T63" s="76"/>
      <c r="U63" s="79"/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/>
      <c r="B64" s="76"/>
      <c r="C64" s="77"/>
      <c r="D64" s="76"/>
      <c r="E64" s="76"/>
      <c r="F64" s="76"/>
      <c r="G64" s="76"/>
      <c r="H64" s="76"/>
      <c r="I64" s="75"/>
      <c r="J64" s="78"/>
      <c r="K64" s="76"/>
      <c r="L64" s="79" t="b">
        <v>0</v>
      </c>
      <c r="M64" s="80" t="str">
        <f t="shared" si="1"/>
        <v/>
      </c>
      <c r="N64" s="131" t="b">
        <v>0</v>
      </c>
      <c r="O64" s="80" t="str">
        <f t="shared" si="2"/>
        <v/>
      </c>
      <c r="P64" s="76"/>
      <c r="Q64" s="76"/>
      <c r="R64" s="76" t="b">
        <v>0</v>
      </c>
      <c r="S64" s="82" t="b">
        <v>0</v>
      </c>
      <c r="T64" s="76"/>
      <c r="U64" s="79"/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/>
      <c r="B65" s="76"/>
      <c r="C65" s="77"/>
      <c r="D65" s="76"/>
      <c r="E65" s="76"/>
      <c r="F65" s="76"/>
      <c r="G65" s="76"/>
      <c r="H65" s="76"/>
      <c r="I65" s="75"/>
      <c r="J65" s="78"/>
      <c r="K65" s="76"/>
      <c r="L65" s="79" t="b">
        <v>0</v>
      </c>
      <c r="M65" s="80" t="str">
        <f t="shared" si="1"/>
        <v/>
      </c>
      <c r="N65" s="131" t="b">
        <v>0</v>
      </c>
      <c r="O65" s="80" t="str">
        <f t="shared" si="2"/>
        <v/>
      </c>
      <c r="P65" s="76"/>
      <c r="Q65" s="76"/>
      <c r="R65" s="76" t="b">
        <v>0</v>
      </c>
      <c r="S65" s="82" t="b">
        <v>0</v>
      </c>
      <c r="T65" s="76"/>
      <c r="U65" s="79"/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/>
      <c r="B66" s="76"/>
      <c r="C66" s="77"/>
      <c r="D66" s="76"/>
      <c r="E66" s="76"/>
      <c r="F66" s="76"/>
      <c r="G66" s="76"/>
      <c r="H66" s="76"/>
      <c r="I66" s="75"/>
      <c r="J66" s="78"/>
      <c r="K66" s="76"/>
      <c r="L66" s="79" t="b">
        <v>0</v>
      </c>
      <c r="M66" s="80" t="str">
        <f t="shared" si="1"/>
        <v/>
      </c>
      <c r="N66" s="131" t="b">
        <v>0</v>
      </c>
      <c r="O66" s="80" t="str">
        <f t="shared" si="2"/>
        <v/>
      </c>
      <c r="P66" s="76"/>
      <c r="Q66" s="76"/>
      <c r="R66" s="76" t="b">
        <v>0</v>
      </c>
      <c r="S66" s="82" t="b">
        <v>0</v>
      </c>
      <c r="T66" s="76"/>
      <c r="U66" s="79"/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/>
      <c r="B67" s="76"/>
      <c r="C67" s="77"/>
      <c r="D67" s="76"/>
      <c r="E67" s="76"/>
      <c r="F67" s="76"/>
      <c r="G67" s="76"/>
      <c r="H67" s="76"/>
      <c r="I67" s="75"/>
      <c r="J67" s="78"/>
      <c r="K67" s="76"/>
      <c r="L67" s="79" t="b">
        <v>0</v>
      </c>
      <c r="M67" s="80" t="str">
        <f t="shared" si="1"/>
        <v/>
      </c>
      <c r="N67" s="131" t="b">
        <v>0</v>
      </c>
      <c r="O67" s="80" t="str">
        <f t="shared" si="2"/>
        <v/>
      </c>
      <c r="P67" s="76"/>
      <c r="Q67" s="76"/>
      <c r="R67" s="76" t="b">
        <v>0</v>
      </c>
      <c r="S67" s="82" t="b">
        <v>0</v>
      </c>
      <c r="T67" s="76"/>
      <c r="U67" s="79"/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/>
      <c r="B68" s="76"/>
      <c r="C68" s="77"/>
      <c r="D68" s="76"/>
      <c r="E68" s="76"/>
      <c r="F68" s="76"/>
      <c r="G68" s="76"/>
      <c r="H68" s="76"/>
      <c r="I68" s="75"/>
      <c r="J68" s="78"/>
      <c r="K68" s="76"/>
      <c r="L68" s="79" t="b">
        <v>0</v>
      </c>
      <c r="M68" s="80" t="str">
        <f t="shared" si="1"/>
        <v/>
      </c>
      <c r="N68" s="131" t="b">
        <v>0</v>
      </c>
      <c r="O68" s="80" t="str">
        <f t="shared" si="2"/>
        <v/>
      </c>
      <c r="P68" s="76"/>
      <c r="Q68" s="76"/>
      <c r="R68" s="76" t="b">
        <v>0</v>
      </c>
      <c r="S68" s="82" t="b">
        <v>0</v>
      </c>
      <c r="T68" s="76"/>
      <c r="U68" s="79"/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/>
      <c r="B69" s="76"/>
      <c r="C69" s="77"/>
      <c r="D69" s="76"/>
      <c r="E69" s="76"/>
      <c r="F69" s="76"/>
      <c r="G69" s="76"/>
      <c r="H69" s="76"/>
      <c r="I69" s="75"/>
      <c r="J69" s="78"/>
      <c r="K69" s="76"/>
      <c r="L69" s="79" t="b">
        <v>0</v>
      </c>
      <c r="M69" s="80" t="str">
        <f t="shared" si="1"/>
        <v/>
      </c>
      <c r="N69" s="131" t="b">
        <v>0</v>
      </c>
      <c r="O69" s="80" t="str">
        <f t="shared" si="2"/>
        <v/>
      </c>
      <c r="P69" s="76"/>
      <c r="Q69" s="76"/>
      <c r="R69" s="76" t="b">
        <v>0</v>
      </c>
      <c r="S69" s="82" t="b">
        <v>0</v>
      </c>
      <c r="T69" s="76"/>
      <c r="U69" s="79"/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/>
      <c r="B70" s="76"/>
      <c r="C70" s="77"/>
      <c r="D70" s="76"/>
      <c r="E70" s="76"/>
      <c r="F70" s="76"/>
      <c r="G70" s="76"/>
      <c r="H70" s="76"/>
      <c r="I70" s="75"/>
      <c r="J70" s="78"/>
      <c r="K70" s="76"/>
      <c r="L70" s="79" t="b">
        <v>0</v>
      </c>
      <c r="M70" s="80" t="str">
        <f t="shared" si="1"/>
        <v/>
      </c>
      <c r="N70" s="131" t="b">
        <v>0</v>
      </c>
      <c r="O70" s="80" t="str">
        <f t="shared" si="2"/>
        <v/>
      </c>
      <c r="P70" s="76"/>
      <c r="Q70" s="76"/>
      <c r="R70" s="76" t="b">
        <v>0</v>
      </c>
      <c r="S70" s="82" t="b">
        <v>0</v>
      </c>
      <c r="T70" s="76"/>
      <c r="U70" s="79"/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/>
      <c r="B71" s="76"/>
      <c r="C71" s="77"/>
      <c r="D71" s="76"/>
      <c r="E71" s="76"/>
      <c r="F71" s="76"/>
      <c r="G71" s="76"/>
      <c r="H71" s="76"/>
      <c r="I71" s="75"/>
      <c r="J71" s="78"/>
      <c r="K71" s="76"/>
      <c r="L71" s="79" t="b">
        <v>0</v>
      </c>
      <c r="M71" s="80" t="str">
        <f t="shared" si="1"/>
        <v/>
      </c>
      <c r="N71" s="131" t="b">
        <v>0</v>
      </c>
      <c r="O71" s="80" t="str">
        <f t="shared" si="2"/>
        <v/>
      </c>
      <c r="P71" s="76"/>
      <c r="Q71" s="76"/>
      <c r="R71" s="76" t="b">
        <v>0</v>
      </c>
      <c r="S71" s="82" t="b">
        <v>0</v>
      </c>
      <c r="T71" s="76"/>
      <c r="U71" s="79"/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/>
      <c r="B72" s="76"/>
      <c r="C72" s="77"/>
      <c r="D72" s="76"/>
      <c r="E72" s="76"/>
      <c r="F72" s="76"/>
      <c r="G72" s="76"/>
      <c r="H72" s="76"/>
      <c r="I72" s="75"/>
      <c r="J72" s="78"/>
      <c r="K72" s="76"/>
      <c r="L72" s="79" t="b">
        <v>0</v>
      </c>
      <c r="M72" s="80" t="str">
        <f t="shared" si="1"/>
        <v/>
      </c>
      <c r="N72" s="131" t="b">
        <v>0</v>
      </c>
      <c r="O72" s="80" t="str">
        <f t="shared" si="2"/>
        <v/>
      </c>
      <c r="P72" s="76"/>
      <c r="Q72" s="76"/>
      <c r="R72" s="76" t="b">
        <v>0</v>
      </c>
      <c r="S72" s="82" t="b">
        <v>0</v>
      </c>
      <c r="T72" s="76"/>
      <c r="U72" s="79"/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/>
      <c r="B73" s="76"/>
      <c r="C73" s="77"/>
      <c r="D73" s="76"/>
      <c r="E73" s="76"/>
      <c r="F73" s="76"/>
      <c r="G73" s="76"/>
      <c r="H73" s="76"/>
      <c r="I73" s="75"/>
      <c r="J73" s="78"/>
      <c r="K73" s="76"/>
      <c r="L73" s="79" t="b">
        <v>0</v>
      </c>
      <c r="M73" s="80" t="str">
        <f t="shared" si="1"/>
        <v/>
      </c>
      <c r="N73" s="131" t="b">
        <v>0</v>
      </c>
      <c r="O73" s="80" t="str">
        <f t="shared" si="2"/>
        <v/>
      </c>
      <c r="P73" s="76"/>
      <c r="Q73" s="76"/>
      <c r="R73" s="76" t="b">
        <v>0</v>
      </c>
      <c r="S73" s="82" t="b">
        <v>0</v>
      </c>
      <c r="T73" s="76"/>
      <c r="U73" s="79"/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/>
      <c r="B74" s="76"/>
      <c r="C74" s="77"/>
      <c r="D74" s="76"/>
      <c r="E74" s="76"/>
      <c r="F74" s="76"/>
      <c r="G74" s="76"/>
      <c r="H74" s="76"/>
      <c r="I74" s="75"/>
      <c r="J74" s="78"/>
      <c r="K74" s="76"/>
      <c r="L74" s="79" t="b">
        <v>0</v>
      </c>
      <c r="M74" s="80" t="str">
        <f t="shared" si="1"/>
        <v/>
      </c>
      <c r="N74" s="131" t="b">
        <v>0</v>
      </c>
      <c r="O74" s="80" t="str">
        <f t="shared" si="2"/>
        <v/>
      </c>
      <c r="P74" s="76"/>
      <c r="Q74" s="76"/>
      <c r="R74" s="76" t="b">
        <v>0</v>
      </c>
      <c r="S74" s="82" t="b">
        <v>0</v>
      </c>
      <c r="T74" s="76"/>
      <c r="U74" s="79"/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/>
      <c r="B75" s="76"/>
      <c r="C75" s="77"/>
      <c r="D75" s="76"/>
      <c r="E75" s="76"/>
      <c r="F75" s="76"/>
      <c r="G75" s="76"/>
      <c r="H75" s="76"/>
      <c r="I75" s="75"/>
      <c r="J75" s="78"/>
      <c r="K75" s="76"/>
      <c r="L75" s="79" t="b">
        <v>0</v>
      </c>
      <c r="M75" s="80" t="str">
        <f t="shared" si="1"/>
        <v/>
      </c>
      <c r="N75" s="131" t="b">
        <v>0</v>
      </c>
      <c r="O75" s="80" t="str">
        <f t="shared" si="2"/>
        <v/>
      </c>
      <c r="P75" s="76"/>
      <c r="Q75" s="76"/>
      <c r="R75" s="76" t="b">
        <v>0</v>
      </c>
      <c r="S75" s="82" t="b">
        <v>0</v>
      </c>
      <c r="T75" s="76"/>
      <c r="U75" s="79"/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/>
      <c r="B76" s="76"/>
      <c r="C76" s="77"/>
      <c r="D76" s="76"/>
      <c r="E76" s="76"/>
      <c r="F76" s="76"/>
      <c r="G76" s="76"/>
      <c r="H76" s="76"/>
      <c r="I76" s="75"/>
      <c r="J76" s="78"/>
      <c r="K76" s="76"/>
      <c r="L76" s="79" t="b">
        <v>0</v>
      </c>
      <c r="M76" s="80" t="str">
        <f t="shared" si="1"/>
        <v/>
      </c>
      <c r="N76" s="131" t="b">
        <v>0</v>
      </c>
      <c r="O76" s="80" t="str">
        <f t="shared" si="2"/>
        <v/>
      </c>
      <c r="P76" s="76"/>
      <c r="Q76" s="76"/>
      <c r="R76" s="76" t="b">
        <v>0</v>
      </c>
      <c r="S76" s="82" t="b">
        <v>0</v>
      </c>
      <c r="T76" s="76"/>
      <c r="U76" s="79"/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/>
      <c r="B77" s="76"/>
      <c r="C77" s="77"/>
      <c r="D77" s="76"/>
      <c r="E77" s="76"/>
      <c r="F77" s="76"/>
      <c r="G77" s="76"/>
      <c r="H77" s="76"/>
      <c r="I77" s="75"/>
      <c r="J77" s="78"/>
      <c r="K77" s="76"/>
      <c r="L77" s="79" t="b">
        <v>0</v>
      </c>
      <c r="M77" s="80" t="str">
        <f t="shared" si="1"/>
        <v/>
      </c>
      <c r="N77" s="131" t="b">
        <v>0</v>
      </c>
      <c r="O77" s="80" t="str">
        <f t="shared" si="2"/>
        <v/>
      </c>
      <c r="P77" s="76"/>
      <c r="Q77" s="76"/>
      <c r="R77" s="76" t="b">
        <v>0</v>
      </c>
      <c r="S77" s="82" t="b">
        <v>0</v>
      </c>
      <c r="T77" s="76"/>
      <c r="U77" s="79"/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/>
      <c r="B78" s="76"/>
      <c r="C78" s="77"/>
      <c r="D78" s="76"/>
      <c r="E78" s="76"/>
      <c r="F78" s="76"/>
      <c r="G78" s="76"/>
      <c r="H78" s="76"/>
      <c r="I78" s="75"/>
      <c r="J78" s="78"/>
      <c r="K78" s="76"/>
      <c r="L78" s="79" t="b">
        <v>0</v>
      </c>
      <c r="M78" s="80" t="str">
        <f t="shared" si="1"/>
        <v/>
      </c>
      <c r="N78" s="131" t="b">
        <v>0</v>
      </c>
      <c r="O78" s="80" t="str">
        <f t="shared" si="2"/>
        <v/>
      </c>
      <c r="P78" s="76"/>
      <c r="Q78" s="76"/>
      <c r="R78" s="76" t="b">
        <v>0</v>
      </c>
      <c r="S78" s="82" t="b">
        <v>0</v>
      </c>
      <c r="T78" s="76"/>
      <c r="U78" s="79"/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76"/>
      <c r="C79" s="77"/>
      <c r="D79" s="76"/>
      <c r="E79" s="76"/>
      <c r="F79" s="76"/>
      <c r="G79" s="76"/>
      <c r="H79" s="76"/>
      <c r="I79" s="75"/>
      <c r="J79" s="78"/>
      <c r="K79" s="76"/>
      <c r="L79" s="79" t="b">
        <v>0</v>
      </c>
      <c r="M79" s="80" t="str">
        <f t="shared" si="1"/>
        <v/>
      </c>
      <c r="N79" s="131" t="b">
        <v>0</v>
      </c>
      <c r="O79" s="80" t="str">
        <f t="shared" si="2"/>
        <v/>
      </c>
      <c r="P79" s="76"/>
      <c r="Q79" s="76"/>
      <c r="R79" s="76" t="b">
        <v>0</v>
      </c>
      <c r="S79" s="82" t="b">
        <v>0</v>
      </c>
      <c r="T79" s="76"/>
      <c r="U79" s="79"/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/>
      <c r="B80" s="76"/>
      <c r="C80" s="77"/>
      <c r="D80" s="76"/>
      <c r="E80" s="76"/>
      <c r="F80" s="76"/>
      <c r="G80" s="76"/>
      <c r="H80" s="76"/>
      <c r="I80" s="75"/>
      <c r="J80" s="78"/>
      <c r="K80" s="76"/>
      <c r="L80" s="79" t="b">
        <v>0</v>
      </c>
      <c r="M80" s="80" t="str">
        <f t="shared" si="1"/>
        <v/>
      </c>
      <c r="N80" s="131" t="b">
        <v>0</v>
      </c>
      <c r="O80" s="80" t="str">
        <f t="shared" si="2"/>
        <v/>
      </c>
      <c r="P80" s="76"/>
      <c r="Q80" s="76"/>
      <c r="R80" s="76" t="b">
        <v>0</v>
      </c>
      <c r="S80" s="82" t="b">
        <v>0</v>
      </c>
      <c r="T80" s="76"/>
      <c r="U80" s="79"/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76"/>
      <c r="C81" s="77"/>
      <c r="D81" s="76"/>
      <c r="E81" s="76"/>
      <c r="F81" s="76"/>
      <c r="G81" s="76"/>
      <c r="H81" s="76"/>
      <c r="I81" s="75"/>
      <c r="J81" s="78"/>
      <c r="K81" s="76"/>
      <c r="L81" s="79" t="b">
        <v>0</v>
      </c>
      <c r="M81" s="80" t="str">
        <f t="shared" si="1"/>
        <v/>
      </c>
      <c r="N81" s="131" t="b">
        <v>0</v>
      </c>
      <c r="O81" s="80" t="str">
        <f t="shared" si="2"/>
        <v/>
      </c>
      <c r="P81" s="76"/>
      <c r="Q81" s="76"/>
      <c r="R81" s="76" t="b">
        <v>0</v>
      </c>
      <c r="S81" s="82" t="b">
        <v>0</v>
      </c>
      <c r="T81" s="76"/>
      <c r="U81" s="79"/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/>
      <c r="B82" s="76"/>
      <c r="C82" s="77"/>
      <c r="D82" s="76"/>
      <c r="E82" s="76"/>
      <c r="F82" s="76"/>
      <c r="G82" s="76"/>
      <c r="H82" s="76"/>
      <c r="I82" s="75"/>
      <c r="J82" s="78"/>
      <c r="K82" s="76"/>
      <c r="L82" s="79" t="b">
        <v>0</v>
      </c>
      <c r="M82" s="80" t="str">
        <f t="shared" si="1"/>
        <v/>
      </c>
      <c r="N82" s="131" t="b">
        <v>0</v>
      </c>
      <c r="O82" s="80" t="str">
        <f t="shared" si="2"/>
        <v/>
      </c>
      <c r="P82" s="76"/>
      <c r="Q82" s="76"/>
      <c r="R82" s="76" t="b">
        <v>0</v>
      </c>
      <c r="S82" s="82" t="b">
        <v>0</v>
      </c>
      <c r="T82" s="76"/>
      <c r="U82" s="79"/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/>
      <c r="B83" s="76"/>
      <c r="C83" s="77"/>
      <c r="D83" s="76"/>
      <c r="E83" s="76"/>
      <c r="F83" s="76"/>
      <c r="G83" s="76"/>
      <c r="H83" s="76"/>
      <c r="I83" s="75"/>
      <c r="J83" s="78"/>
      <c r="K83" s="76"/>
      <c r="L83" s="79" t="b">
        <v>0</v>
      </c>
      <c r="M83" s="80" t="str">
        <f t="shared" si="1"/>
        <v/>
      </c>
      <c r="N83" s="79" t="b">
        <v>0</v>
      </c>
      <c r="O83" s="80" t="str">
        <f t="shared" si="2"/>
        <v/>
      </c>
      <c r="P83" s="76"/>
      <c r="Q83" s="76"/>
      <c r="R83" s="76" t="b">
        <v>0</v>
      </c>
      <c r="S83" s="82" t="b">
        <v>0</v>
      </c>
      <c r="T83" s="76"/>
      <c r="U83" s="79"/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/>
      <c r="B84" s="76"/>
      <c r="C84" s="77"/>
      <c r="D84" s="76"/>
      <c r="E84" s="76"/>
      <c r="F84" s="76"/>
      <c r="G84" s="76"/>
      <c r="H84" s="76"/>
      <c r="I84" s="75"/>
      <c r="J84" s="78"/>
      <c r="K84" s="76"/>
      <c r="L84" s="79" t="b">
        <v>0</v>
      </c>
      <c r="M84" s="80" t="str">
        <f t="shared" si="1"/>
        <v/>
      </c>
      <c r="N84" s="79" t="b">
        <v>0</v>
      </c>
      <c r="O84" s="80" t="str">
        <f t="shared" si="2"/>
        <v/>
      </c>
      <c r="P84" s="76"/>
      <c r="Q84" s="76"/>
      <c r="R84" s="76" t="b">
        <v>0</v>
      </c>
      <c r="S84" s="82" t="b">
        <v>0</v>
      </c>
      <c r="T84" s="76"/>
      <c r="U84" s="79"/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/>
      <c r="B85" s="76"/>
      <c r="C85" s="77"/>
      <c r="D85" s="76"/>
      <c r="E85" s="76"/>
      <c r="F85" s="76"/>
      <c r="G85" s="76"/>
      <c r="H85" s="76"/>
      <c r="I85" s="75"/>
      <c r="J85" s="78"/>
      <c r="K85" s="76"/>
      <c r="L85" s="79" t="b">
        <v>0</v>
      </c>
      <c r="M85" s="80" t="str">
        <f t="shared" si="1"/>
        <v/>
      </c>
      <c r="N85" s="79" t="b">
        <v>0</v>
      </c>
      <c r="O85" s="80" t="str">
        <f t="shared" si="2"/>
        <v/>
      </c>
      <c r="P85" s="76"/>
      <c r="Q85" s="76"/>
      <c r="R85" s="76" t="b">
        <v>0</v>
      </c>
      <c r="S85" s="82" t="b">
        <v>0</v>
      </c>
      <c r="T85" s="76"/>
      <c r="U85" s="79"/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/>
      <c r="B86" s="76"/>
      <c r="C86" s="77"/>
      <c r="D86" s="76"/>
      <c r="E86" s="76"/>
      <c r="F86" s="76"/>
      <c r="G86" s="76"/>
      <c r="H86" s="76"/>
      <c r="I86" s="75"/>
      <c r="J86" s="78"/>
      <c r="K86" s="76"/>
      <c r="L86" s="79" t="b">
        <v>0</v>
      </c>
      <c r="M86" s="80" t="str">
        <f t="shared" si="1"/>
        <v/>
      </c>
      <c r="N86" s="79" t="b">
        <v>0</v>
      </c>
      <c r="O86" s="80" t="str">
        <f t="shared" si="2"/>
        <v/>
      </c>
      <c r="P86" s="76"/>
      <c r="Q86" s="76"/>
      <c r="R86" s="76" t="b">
        <v>0</v>
      </c>
      <c r="S86" s="82" t="b">
        <v>0</v>
      </c>
      <c r="T86" s="76"/>
      <c r="U86" s="79"/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76"/>
      <c r="C87" s="77"/>
      <c r="D87" s="76"/>
      <c r="E87" s="76"/>
      <c r="F87" s="76"/>
      <c r="G87" s="76"/>
      <c r="H87" s="76"/>
      <c r="I87" s="75"/>
      <c r="J87" s="78"/>
      <c r="K87" s="76"/>
      <c r="L87" s="79" t="b">
        <v>0</v>
      </c>
      <c r="M87" s="80" t="str">
        <f t="shared" si="1"/>
        <v/>
      </c>
      <c r="N87" s="79" t="b">
        <v>0</v>
      </c>
      <c r="O87" s="80" t="str">
        <f t="shared" si="2"/>
        <v/>
      </c>
      <c r="P87" s="76"/>
      <c r="Q87" s="76"/>
      <c r="R87" s="76" t="b">
        <v>0</v>
      </c>
      <c r="S87" s="82" t="b">
        <v>0</v>
      </c>
      <c r="T87" s="76"/>
      <c r="U87" s="79"/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/>
      <c r="B88" s="76"/>
      <c r="C88" s="77"/>
      <c r="D88" s="76"/>
      <c r="E88" s="76"/>
      <c r="F88" s="76"/>
      <c r="G88" s="76"/>
      <c r="H88" s="76"/>
      <c r="I88" s="75"/>
      <c r="J88" s="78"/>
      <c r="K88" s="76"/>
      <c r="L88" s="79" t="b">
        <v>0</v>
      </c>
      <c r="M88" s="80" t="str">
        <f t="shared" si="1"/>
        <v/>
      </c>
      <c r="N88" s="79" t="b">
        <v>0</v>
      </c>
      <c r="O88" s="80" t="str">
        <f t="shared" si="2"/>
        <v/>
      </c>
      <c r="P88" s="76"/>
      <c r="Q88" s="76"/>
      <c r="R88" s="76" t="b">
        <v>0</v>
      </c>
      <c r="S88" s="82" t="b">
        <v>0</v>
      </c>
      <c r="T88" s="76"/>
      <c r="U88" s="79"/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76"/>
      <c r="C89" s="77"/>
      <c r="D89" s="76"/>
      <c r="E89" s="76"/>
      <c r="F89" s="76"/>
      <c r="G89" s="76"/>
      <c r="H89" s="76"/>
      <c r="I89" s="75"/>
      <c r="J89" s="78"/>
      <c r="K89" s="76"/>
      <c r="L89" s="79" t="b">
        <v>0</v>
      </c>
      <c r="M89" s="80" t="str">
        <f t="shared" si="1"/>
        <v/>
      </c>
      <c r="N89" s="79" t="b">
        <v>0</v>
      </c>
      <c r="O89" s="80" t="str">
        <f t="shared" si="2"/>
        <v/>
      </c>
      <c r="P89" s="76"/>
      <c r="Q89" s="76"/>
      <c r="R89" s="76" t="b">
        <v>0</v>
      </c>
      <c r="S89" s="82" t="b">
        <v>0</v>
      </c>
      <c r="T89" s="76"/>
      <c r="U89" s="79"/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/>
      <c r="B90" s="76"/>
      <c r="C90" s="77"/>
      <c r="D90" s="76"/>
      <c r="E90" s="76"/>
      <c r="F90" s="76"/>
      <c r="G90" s="76"/>
      <c r="H90" s="76"/>
      <c r="I90" s="75"/>
      <c r="J90" s="78"/>
      <c r="K90" s="76"/>
      <c r="L90" s="79" t="b">
        <v>0</v>
      </c>
      <c r="M90" s="80" t="str">
        <f t="shared" si="1"/>
        <v/>
      </c>
      <c r="N90" s="79" t="b">
        <v>0</v>
      </c>
      <c r="O90" s="80" t="str">
        <f t="shared" si="2"/>
        <v/>
      </c>
      <c r="P90" s="76"/>
      <c r="Q90" s="76"/>
      <c r="R90" s="76" t="b">
        <v>0</v>
      </c>
      <c r="S90" s="82" t="b">
        <v>0</v>
      </c>
      <c r="T90" s="76"/>
      <c r="U90" s="79"/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76"/>
      <c r="C91" s="77"/>
      <c r="D91" s="76"/>
      <c r="E91" s="76"/>
      <c r="F91" s="76"/>
      <c r="G91" s="76"/>
      <c r="H91" s="76"/>
      <c r="I91" s="75"/>
      <c r="J91" s="78"/>
      <c r="K91" s="76"/>
      <c r="L91" s="79" t="b">
        <v>0</v>
      </c>
      <c r="M91" s="80" t="str">
        <f t="shared" si="1"/>
        <v/>
      </c>
      <c r="N91" s="79" t="b">
        <v>0</v>
      </c>
      <c r="O91" s="80" t="str">
        <f t="shared" si="2"/>
        <v/>
      </c>
      <c r="P91" s="76"/>
      <c r="Q91" s="76"/>
      <c r="R91" s="76" t="b">
        <v>0</v>
      </c>
      <c r="S91" s="82" t="b">
        <v>0</v>
      </c>
      <c r="T91" s="76"/>
      <c r="U91" s="79"/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76"/>
      <c r="C92" s="77"/>
      <c r="D92" s="76"/>
      <c r="E92" s="76"/>
      <c r="F92" s="76"/>
      <c r="G92" s="76"/>
      <c r="H92" s="76"/>
      <c r="I92" s="75"/>
      <c r="J92" s="78"/>
      <c r="K92" s="76"/>
      <c r="L92" s="79" t="b">
        <v>0</v>
      </c>
      <c r="M92" s="80" t="str">
        <f t="shared" si="1"/>
        <v/>
      </c>
      <c r="N92" s="79" t="b">
        <v>0</v>
      </c>
      <c r="O92" s="80" t="str">
        <f t="shared" si="2"/>
        <v/>
      </c>
      <c r="P92" s="76"/>
      <c r="Q92" s="76"/>
      <c r="R92" s="76" t="b">
        <v>0</v>
      </c>
      <c r="S92" s="82" t="b">
        <v>0</v>
      </c>
      <c r="T92" s="76"/>
      <c r="U92" s="79"/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76"/>
      <c r="C93" s="77"/>
      <c r="D93" s="76"/>
      <c r="E93" s="76"/>
      <c r="F93" s="76"/>
      <c r="G93" s="76"/>
      <c r="H93" s="76"/>
      <c r="I93" s="75"/>
      <c r="J93" s="78"/>
      <c r="K93" s="76"/>
      <c r="L93" s="79" t="b">
        <v>0</v>
      </c>
      <c r="M93" s="80" t="str">
        <f t="shared" si="1"/>
        <v/>
      </c>
      <c r="N93" s="79" t="b">
        <v>0</v>
      </c>
      <c r="O93" s="80" t="str">
        <f t="shared" si="2"/>
        <v/>
      </c>
      <c r="P93" s="76"/>
      <c r="Q93" s="76"/>
      <c r="R93" s="76" t="b">
        <v>0</v>
      </c>
      <c r="S93" s="82" t="b">
        <v>0</v>
      </c>
      <c r="T93" s="76"/>
      <c r="U93" s="79"/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/>
      <c r="B94" s="76"/>
      <c r="C94" s="77"/>
      <c r="D94" s="76"/>
      <c r="E94" s="76"/>
      <c r="F94" s="76"/>
      <c r="G94" s="76"/>
      <c r="H94" s="76"/>
      <c r="I94" s="75"/>
      <c r="J94" s="78"/>
      <c r="K94" s="76"/>
      <c r="L94" s="79" t="b">
        <v>0</v>
      </c>
      <c r="M94" s="80" t="str">
        <f t="shared" si="1"/>
        <v/>
      </c>
      <c r="N94" s="79" t="b">
        <v>0</v>
      </c>
      <c r="O94" s="80" t="str">
        <f t="shared" si="2"/>
        <v/>
      </c>
      <c r="P94" s="76"/>
      <c r="Q94" s="76"/>
      <c r="R94" s="76" t="b">
        <v>0</v>
      </c>
      <c r="S94" s="82" t="b">
        <v>0</v>
      </c>
      <c r="T94" s="76"/>
      <c r="U94" s="79"/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/>
      <c r="B95" s="76"/>
      <c r="C95" s="77"/>
      <c r="D95" s="76"/>
      <c r="E95" s="76"/>
      <c r="F95" s="76"/>
      <c r="G95" s="76"/>
      <c r="H95" s="76"/>
      <c r="I95" s="75"/>
      <c r="J95" s="78"/>
      <c r="K95" s="76"/>
      <c r="L95" s="79" t="b">
        <v>0</v>
      </c>
      <c r="M95" s="80" t="str">
        <f t="shared" si="1"/>
        <v/>
      </c>
      <c r="N95" s="79" t="b">
        <v>0</v>
      </c>
      <c r="O95" s="80" t="str">
        <f t="shared" si="2"/>
        <v/>
      </c>
      <c r="P95" s="76"/>
      <c r="Q95" s="76"/>
      <c r="R95" s="76" t="b">
        <v>0</v>
      </c>
      <c r="S95" s="82" t="b">
        <v>0</v>
      </c>
      <c r="T95" s="76"/>
      <c r="U95" s="79"/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76"/>
      <c r="C96" s="77"/>
      <c r="D96" s="76"/>
      <c r="E96" s="76"/>
      <c r="F96" s="76"/>
      <c r="G96" s="76"/>
      <c r="H96" s="76"/>
      <c r="I96" s="75"/>
      <c r="J96" s="78"/>
      <c r="K96" s="76"/>
      <c r="L96" s="79" t="b">
        <v>0</v>
      </c>
      <c r="M96" s="80" t="str">
        <f t="shared" si="1"/>
        <v/>
      </c>
      <c r="N96" s="79" t="b">
        <v>0</v>
      </c>
      <c r="O96" s="80" t="str">
        <f t="shared" si="2"/>
        <v/>
      </c>
      <c r="P96" s="76"/>
      <c r="Q96" s="76"/>
      <c r="R96" s="76" t="b">
        <v>0</v>
      </c>
      <c r="S96" s="82" t="b">
        <v>0</v>
      </c>
      <c r="T96" s="76"/>
      <c r="U96" s="79"/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76"/>
      <c r="C97" s="77"/>
      <c r="D97" s="76"/>
      <c r="E97" s="76"/>
      <c r="F97" s="76"/>
      <c r="G97" s="76"/>
      <c r="H97" s="76"/>
      <c r="I97" s="75"/>
      <c r="J97" s="78"/>
      <c r="K97" s="76"/>
      <c r="L97" s="79" t="b">
        <v>0</v>
      </c>
      <c r="M97" s="80" t="str">
        <f t="shared" si="1"/>
        <v/>
      </c>
      <c r="N97" s="79" t="b">
        <v>0</v>
      </c>
      <c r="O97" s="80" t="str">
        <f t="shared" si="2"/>
        <v/>
      </c>
      <c r="P97" s="76"/>
      <c r="Q97" s="76"/>
      <c r="R97" s="76" t="b">
        <v>0</v>
      </c>
      <c r="S97" s="82" t="b">
        <v>0</v>
      </c>
      <c r="T97" s="76"/>
      <c r="U97" s="79"/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76"/>
      <c r="C98" s="77"/>
      <c r="D98" s="76"/>
      <c r="E98" s="76"/>
      <c r="F98" s="76"/>
      <c r="G98" s="76"/>
      <c r="H98" s="76"/>
      <c r="I98" s="75"/>
      <c r="J98" s="78"/>
      <c r="K98" s="76"/>
      <c r="L98" s="79" t="b">
        <v>0</v>
      </c>
      <c r="M98" s="80" t="str">
        <f t="shared" si="1"/>
        <v/>
      </c>
      <c r="N98" s="79" t="b">
        <v>0</v>
      </c>
      <c r="O98" s="80" t="str">
        <f t="shared" si="2"/>
        <v/>
      </c>
      <c r="P98" s="76"/>
      <c r="Q98" s="76"/>
      <c r="R98" s="76" t="b">
        <v>0</v>
      </c>
      <c r="S98" s="82" t="b">
        <v>0</v>
      </c>
      <c r="T98" s="76"/>
      <c r="U98" s="79"/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76"/>
      <c r="C99" s="77"/>
      <c r="D99" s="76"/>
      <c r="E99" s="76"/>
      <c r="F99" s="76"/>
      <c r="G99" s="76"/>
      <c r="H99" s="76"/>
      <c r="I99" s="75"/>
      <c r="J99" s="78"/>
      <c r="K99" s="76"/>
      <c r="L99" s="79" t="b">
        <v>0</v>
      </c>
      <c r="M99" s="80" t="str">
        <f t="shared" si="1"/>
        <v/>
      </c>
      <c r="N99" s="79" t="b">
        <v>0</v>
      </c>
      <c r="O99" s="80" t="str">
        <f t="shared" si="2"/>
        <v/>
      </c>
      <c r="P99" s="76"/>
      <c r="Q99" s="76"/>
      <c r="R99" s="76" t="b">
        <v>0</v>
      </c>
      <c r="S99" s="82" t="b">
        <v>0</v>
      </c>
      <c r="T99" s="76"/>
      <c r="U99" s="79"/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76"/>
      <c r="C100" s="77"/>
      <c r="D100" s="76"/>
      <c r="E100" s="76"/>
      <c r="F100" s="76"/>
      <c r="G100" s="76"/>
      <c r="H100" s="76"/>
      <c r="I100" s="75"/>
      <c r="J100" s="78"/>
      <c r="K100" s="76"/>
      <c r="L100" s="79" t="b">
        <v>0</v>
      </c>
      <c r="M100" s="80" t="str">
        <f t="shared" si="1"/>
        <v/>
      </c>
      <c r="N100" s="79" t="b">
        <v>0</v>
      </c>
      <c r="O100" s="80" t="str">
        <f t="shared" si="2"/>
        <v/>
      </c>
      <c r="P100" s="76"/>
      <c r="Q100" s="76"/>
      <c r="R100" s="76" t="b">
        <v>0</v>
      </c>
      <c r="S100" s="82" t="b">
        <v>0</v>
      </c>
      <c r="T100" s="76"/>
      <c r="U100" s="79"/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76"/>
      <c r="C101" s="77"/>
      <c r="D101" s="76"/>
      <c r="E101" s="76"/>
      <c r="F101" s="76"/>
      <c r="G101" s="76"/>
      <c r="H101" s="76"/>
      <c r="I101" s="75"/>
      <c r="J101" s="78"/>
      <c r="K101" s="76"/>
      <c r="L101" s="79" t="b">
        <v>0</v>
      </c>
      <c r="M101" s="80" t="str">
        <f t="shared" si="1"/>
        <v/>
      </c>
      <c r="N101" s="79" t="b">
        <v>0</v>
      </c>
      <c r="O101" s="80" t="str">
        <f t="shared" si="2"/>
        <v/>
      </c>
      <c r="P101" s="76"/>
      <c r="Q101" s="76"/>
      <c r="R101" s="76" t="b">
        <v>0</v>
      </c>
      <c r="S101" s="82" t="b">
        <v>0</v>
      </c>
      <c r="T101" s="76"/>
      <c r="U101" s="79"/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76"/>
      <c r="C102" s="77"/>
      <c r="D102" s="76"/>
      <c r="E102" s="76"/>
      <c r="F102" s="76"/>
      <c r="G102" s="76"/>
      <c r="H102" s="76"/>
      <c r="I102" s="75"/>
      <c r="J102" s="78"/>
      <c r="K102" s="76"/>
      <c r="L102" s="79" t="b">
        <v>0</v>
      </c>
      <c r="M102" s="80" t="str">
        <f t="shared" si="1"/>
        <v/>
      </c>
      <c r="N102" s="79" t="b">
        <v>0</v>
      </c>
      <c r="O102" s="80" t="str">
        <f t="shared" si="2"/>
        <v/>
      </c>
      <c r="P102" s="76"/>
      <c r="Q102" s="76"/>
      <c r="R102" s="76" t="b">
        <v>0</v>
      </c>
      <c r="S102" s="82" t="b">
        <v>0</v>
      </c>
      <c r="T102" s="76"/>
      <c r="U102" s="79"/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76"/>
      <c r="C103" s="77"/>
      <c r="D103" s="76"/>
      <c r="E103" s="76"/>
      <c r="F103" s="76"/>
      <c r="G103" s="76"/>
      <c r="H103" s="76"/>
      <c r="I103" s="75"/>
      <c r="J103" s="78"/>
      <c r="K103" s="76"/>
      <c r="L103" s="79" t="b">
        <v>0</v>
      </c>
      <c r="M103" s="80" t="str">
        <f t="shared" si="1"/>
        <v/>
      </c>
      <c r="N103" s="79" t="b">
        <v>0</v>
      </c>
      <c r="O103" s="80" t="str">
        <f t="shared" si="2"/>
        <v/>
      </c>
      <c r="P103" s="76"/>
      <c r="Q103" s="76"/>
      <c r="R103" s="76" t="b">
        <v>0</v>
      </c>
      <c r="S103" s="82" t="b">
        <v>0</v>
      </c>
      <c r="T103" s="76"/>
      <c r="U103" s="79"/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76"/>
      <c r="C104" s="77"/>
      <c r="D104" s="76"/>
      <c r="E104" s="76"/>
      <c r="F104" s="76"/>
      <c r="G104" s="76"/>
      <c r="H104" s="76"/>
      <c r="I104" s="75"/>
      <c r="J104" s="78"/>
      <c r="K104" s="76"/>
      <c r="L104" s="79" t="b">
        <v>0</v>
      </c>
      <c r="M104" s="80" t="str">
        <f t="shared" si="1"/>
        <v/>
      </c>
      <c r="N104" s="79" t="b">
        <v>0</v>
      </c>
      <c r="O104" s="80" t="str">
        <f t="shared" si="2"/>
        <v/>
      </c>
      <c r="P104" s="76"/>
      <c r="Q104" s="76"/>
      <c r="R104" s="76" t="b">
        <v>0</v>
      </c>
      <c r="S104" s="82" t="b">
        <v>0</v>
      </c>
      <c r="T104" s="76"/>
      <c r="U104" s="79"/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76"/>
      <c r="C105" s="77"/>
      <c r="D105" s="76"/>
      <c r="E105" s="76"/>
      <c r="F105" s="76"/>
      <c r="G105" s="76"/>
      <c r="H105" s="76"/>
      <c r="I105" s="75"/>
      <c r="J105" s="78"/>
      <c r="K105" s="76"/>
      <c r="L105" s="79" t="b">
        <v>0</v>
      </c>
      <c r="M105" s="80" t="str">
        <f t="shared" si="1"/>
        <v/>
      </c>
      <c r="N105" s="79" t="b">
        <v>0</v>
      </c>
      <c r="O105" s="80" t="str">
        <f t="shared" si="2"/>
        <v/>
      </c>
      <c r="P105" s="76"/>
      <c r="Q105" s="76"/>
      <c r="R105" s="76" t="b">
        <v>0</v>
      </c>
      <c r="S105" s="82" t="b">
        <v>0</v>
      </c>
      <c r="T105" s="76"/>
      <c r="U105" s="79"/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/>
      <c r="B106" s="76"/>
      <c r="C106" s="77"/>
      <c r="D106" s="76"/>
      <c r="E106" s="76"/>
      <c r="F106" s="76"/>
      <c r="G106" s="76"/>
      <c r="H106" s="76"/>
      <c r="I106" s="75"/>
      <c r="J106" s="78"/>
      <c r="K106" s="76"/>
      <c r="L106" s="79" t="b">
        <v>0</v>
      </c>
      <c r="M106" s="80" t="str">
        <f t="shared" si="1"/>
        <v/>
      </c>
      <c r="N106" s="79" t="b">
        <v>0</v>
      </c>
      <c r="O106" s="80" t="str">
        <f t="shared" si="2"/>
        <v/>
      </c>
      <c r="P106" s="76"/>
      <c r="Q106" s="76"/>
      <c r="R106" s="76" t="b">
        <v>0</v>
      </c>
      <c r="S106" s="82" t="b">
        <v>0</v>
      </c>
      <c r="T106" s="76"/>
      <c r="U106" s="79"/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/>
      <c r="B107" s="76"/>
      <c r="C107" s="77"/>
      <c r="D107" s="76"/>
      <c r="E107" s="76"/>
      <c r="F107" s="76"/>
      <c r="G107" s="76"/>
      <c r="H107" s="76"/>
      <c r="I107" s="75"/>
      <c r="J107" s="78"/>
      <c r="K107" s="76"/>
      <c r="L107" s="79" t="b">
        <v>0</v>
      </c>
      <c r="M107" s="80" t="str">
        <f t="shared" si="1"/>
        <v/>
      </c>
      <c r="N107" s="79" t="b">
        <v>0</v>
      </c>
      <c r="O107" s="80" t="str">
        <f t="shared" si="2"/>
        <v/>
      </c>
      <c r="P107" s="76"/>
      <c r="Q107" s="76"/>
      <c r="R107" s="76" t="b">
        <v>0</v>
      </c>
      <c r="S107" s="82" t="b">
        <v>0</v>
      </c>
      <c r="T107" s="76"/>
      <c r="U107" s="79"/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/>
      <c r="B108" s="76"/>
      <c r="C108" s="77"/>
      <c r="D108" s="76"/>
      <c r="E108" s="76"/>
      <c r="F108" s="76"/>
      <c r="G108" s="76"/>
      <c r="H108" s="76"/>
      <c r="I108" s="75"/>
      <c r="J108" s="78"/>
      <c r="K108" s="76"/>
      <c r="L108" s="79" t="b">
        <v>0</v>
      </c>
      <c r="M108" s="80" t="str">
        <f t="shared" si="1"/>
        <v/>
      </c>
      <c r="N108" s="79" t="b">
        <v>0</v>
      </c>
      <c r="O108" s="80" t="str">
        <f t="shared" si="2"/>
        <v/>
      </c>
      <c r="P108" s="76"/>
      <c r="Q108" s="76"/>
      <c r="R108" s="76" t="b">
        <v>0</v>
      </c>
      <c r="S108" s="82" t="b">
        <v>0</v>
      </c>
      <c r="T108" s="76"/>
      <c r="U108" s="79"/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/>
      <c r="B109" s="76"/>
      <c r="C109" s="77"/>
      <c r="D109" s="76"/>
      <c r="E109" s="76"/>
      <c r="F109" s="76"/>
      <c r="G109" s="76"/>
      <c r="H109" s="76"/>
      <c r="I109" s="75"/>
      <c r="J109" s="78"/>
      <c r="K109" s="76"/>
      <c r="L109" s="79" t="b">
        <v>0</v>
      </c>
      <c r="M109" s="80" t="str">
        <f t="shared" si="1"/>
        <v/>
      </c>
      <c r="N109" s="79" t="b">
        <v>0</v>
      </c>
      <c r="O109" s="80" t="str">
        <f t="shared" si="2"/>
        <v/>
      </c>
      <c r="P109" s="76"/>
      <c r="Q109" s="76"/>
      <c r="R109" s="76" t="b">
        <v>0</v>
      </c>
      <c r="S109" s="82" t="b">
        <v>0</v>
      </c>
      <c r="T109" s="76"/>
      <c r="U109" s="79"/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/>
      <c r="B110" s="76"/>
      <c r="C110" s="77"/>
      <c r="D110" s="76"/>
      <c r="E110" s="76"/>
      <c r="F110" s="76"/>
      <c r="G110" s="76"/>
      <c r="H110" s="76"/>
      <c r="I110" s="75"/>
      <c r="J110" s="78"/>
      <c r="K110" s="76"/>
      <c r="L110" s="79" t="b">
        <v>0</v>
      </c>
      <c r="M110" s="80" t="str">
        <f t="shared" si="1"/>
        <v/>
      </c>
      <c r="N110" s="79" t="b">
        <v>0</v>
      </c>
      <c r="O110" s="80" t="str">
        <f t="shared" si="2"/>
        <v/>
      </c>
      <c r="P110" s="76"/>
      <c r="Q110" s="76"/>
      <c r="R110" s="76" t="b">
        <v>0</v>
      </c>
      <c r="S110" s="82" t="b">
        <v>0</v>
      </c>
      <c r="T110" s="76"/>
      <c r="U110" s="79"/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/>
      <c r="B111" s="76"/>
      <c r="C111" s="77"/>
      <c r="D111" s="76"/>
      <c r="E111" s="76"/>
      <c r="F111" s="76"/>
      <c r="G111" s="76"/>
      <c r="H111" s="76"/>
      <c r="I111" s="75"/>
      <c r="J111" s="78"/>
      <c r="K111" s="76"/>
      <c r="L111" s="79" t="b">
        <v>0</v>
      </c>
      <c r="M111" s="80" t="str">
        <f t="shared" si="1"/>
        <v/>
      </c>
      <c r="N111" s="79" t="b">
        <v>0</v>
      </c>
      <c r="O111" s="80" t="str">
        <f t="shared" si="2"/>
        <v/>
      </c>
      <c r="P111" s="76"/>
      <c r="Q111" s="76"/>
      <c r="R111" s="76" t="b">
        <v>0</v>
      </c>
      <c r="S111" s="82" t="b">
        <v>0</v>
      </c>
      <c r="T111" s="76"/>
      <c r="U111" s="79"/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/>
      <c r="B112" s="76"/>
      <c r="C112" s="77"/>
      <c r="D112" s="76"/>
      <c r="E112" s="76"/>
      <c r="F112" s="76"/>
      <c r="G112" s="76"/>
      <c r="H112" s="76"/>
      <c r="I112" s="75"/>
      <c r="J112" s="78"/>
      <c r="K112" s="76"/>
      <c r="L112" s="79" t="b">
        <v>0</v>
      </c>
      <c r="M112" s="80" t="str">
        <f t="shared" si="1"/>
        <v/>
      </c>
      <c r="N112" s="79" t="b">
        <v>0</v>
      </c>
      <c r="O112" s="80" t="str">
        <f t="shared" si="2"/>
        <v/>
      </c>
      <c r="P112" s="76"/>
      <c r="Q112" s="76"/>
      <c r="R112" s="76" t="b">
        <v>0</v>
      </c>
      <c r="S112" s="82" t="b">
        <v>0</v>
      </c>
      <c r="T112" s="76"/>
      <c r="U112" s="79"/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/>
      <c r="B113" s="76"/>
      <c r="C113" s="77"/>
      <c r="D113" s="76"/>
      <c r="E113" s="76"/>
      <c r="F113" s="76"/>
      <c r="G113" s="76"/>
      <c r="H113" s="76"/>
      <c r="I113" s="75"/>
      <c r="J113" s="78"/>
      <c r="K113" s="76"/>
      <c r="L113" s="79" t="b">
        <v>0</v>
      </c>
      <c r="M113" s="80" t="str">
        <f t="shared" si="1"/>
        <v/>
      </c>
      <c r="N113" s="79" t="b">
        <v>0</v>
      </c>
      <c r="O113" s="80" t="str">
        <f t="shared" si="2"/>
        <v/>
      </c>
      <c r="P113" s="76"/>
      <c r="Q113" s="76"/>
      <c r="R113" s="76" t="b">
        <v>0</v>
      </c>
      <c r="S113" s="82" t="b">
        <v>0</v>
      </c>
      <c r="T113" s="76"/>
      <c r="U113" s="79"/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/>
      <c r="B114" s="91"/>
      <c r="C114" s="92"/>
      <c r="D114" s="136"/>
      <c r="E114" s="94"/>
      <c r="F114" s="136"/>
      <c r="G114" s="137"/>
      <c r="H114" s="91"/>
      <c r="I114" s="75"/>
      <c r="J114" s="78"/>
      <c r="K114" s="76"/>
      <c r="L114" s="79" t="b">
        <v>0</v>
      </c>
      <c r="M114" s="80" t="str">
        <f t="shared" si="1"/>
        <v/>
      </c>
      <c r="N114" s="79" t="b">
        <v>0</v>
      </c>
      <c r="O114" s="80" t="str">
        <f t="shared" si="2"/>
        <v/>
      </c>
      <c r="P114" s="76"/>
      <c r="Q114" s="76"/>
      <c r="R114" s="76" t="b">
        <v>0</v>
      </c>
      <c r="S114" s="82" t="b">
        <v>0</v>
      </c>
      <c r="T114" s="76"/>
      <c r="U114" s="79"/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/>
      <c r="B115" s="76"/>
      <c r="C115" s="77"/>
      <c r="D115" s="76"/>
      <c r="E115" s="76"/>
      <c r="F115" s="76"/>
      <c r="G115" s="76"/>
      <c r="H115" s="76"/>
      <c r="I115" s="75"/>
      <c r="J115" s="78"/>
      <c r="K115" s="76"/>
      <c r="L115" s="79" t="b">
        <v>0</v>
      </c>
      <c r="M115" s="80" t="str">
        <f t="shared" si="1"/>
        <v/>
      </c>
      <c r="N115" s="79" t="b">
        <v>0</v>
      </c>
      <c r="O115" s="80" t="str">
        <f t="shared" si="2"/>
        <v/>
      </c>
      <c r="P115" s="76"/>
      <c r="Q115" s="76"/>
      <c r="R115" s="76" t="b">
        <v>0</v>
      </c>
      <c r="S115" s="82" t="b">
        <v>0</v>
      </c>
      <c r="T115" s="76"/>
      <c r="U115" s="79"/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/>
      <c r="B116" s="76"/>
      <c r="C116" s="77"/>
      <c r="D116" s="76"/>
      <c r="E116" s="76"/>
      <c r="F116" s="76"/>
      <c r="G116" s="76"/>
      <c r="H116" s="76"/>
      <c r="I116" s="75"/>
      <c r="J116" s="78"/>
      <c r="K116" s="76"/>
      <c r="L116" s="79" t="b">
        <v>0</v>
      </c>
      <c r="M116" s="80" t="str">
        <f t="shared" si="1"/>
        <v/>
      </c>
      <c r="N116" s="79" t="b">
        <v>0</v>
      </c>
      <c r="O116" s="80" t="str">
        <f t="shared" si="2"/>
        <v/>
      </c>
      <c r="P116" s="76"/>
      <c r="Q116" s="76"/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/>
      <c r="B117" s="76"/>
      <c r="C117" s="77"/>
      <c r="D117" s="76"/>
      <c r="E117" s="76"/>
      <c r="F117" s="76"/>
      <c r="G117" s="76"/>
      <c r="H117" s="76"/>
      <c r="I117" s="75"/>
      <c r="J117" s="78"/>
      <c r="K117" s="76"/>
      <c r="L117" s="79" t="b">
        <v>0</v>
      </c>
      <c r="M117" s="80" t="str">
        <f t="shared" si="1"/>
        <v/>
      </c>
      <c r="N117" s="79" t="b">
        <v>0</v>
      </c>
      <c r="O117" s="80" t="str">
        <f t="shared" si="2"/>
        <v/>
      </c>
      <c r="P117" s="76"/>
      <c r="Q117" s="76"/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/>
      <c r="B118" s="76"/>
      <c r="C118" s="77"/>
      <c r="D118" s="76"/>
      <c r="E118" s="76"/>
      <c r="F118" s="76"/>
      <c r="G118" s="76"/>
      <c r="H118" s="76"/>
      <c r="I118" s="75"/>
      <c r="J118" s="78"/>
      <c r="K118" s="76"/>
      <c r="L118" s="79" t="b">
        <v>0</v>
      </c>
      <c r="M118" s="80" t="str">
        <f t="shared" si="1"/>
        <v/>
      </c>
      <c r="N118" s="79" t="b">
        <v>0</v>
      </c>
      <c r="O118" s="80" t="str">
        <f t="shared" si="2"/>
        <v/>
      </c>
      <c r="P118" s="76"/>
      <c r="Q118" s="76"/>
      <c r="R118" s="76" t="b">
        <v>0</v>
      </c>
      <c r="S118" s="82" t="b">
        <v>0</v>
      </c>
      <c r="T118" s="76"/>
      <c r="U118" s="79"/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/>
      <c r="B119" s="76"/>
      <c r="C119" s="77"/>
      <c r="D119" s="76"/>
      <c r="E119" s="76"/>
      <c r="F119" s="76"/>
      <c r="G119" s="76"/>
      <c r="H119" s="76"/>
      <c r="I119" s="75"/>
      <c r="J119" s="78"/>
      <c r="K119" s="76"/>
      <c r="L119" s="79" t="b">
        <v>0</v>
      </c>
      <c r="M119" s="80" t="str">
        <f t="shared" si="1"/>
        <v/>
      </c>
      <c r="N119" s="79" t="b">
        <v>0</v>
      </c>
      <c r="O119" s="80" t="str">
        <f t="shared" si="2"/>
        <v/>
      </c>
      <c r="P119" s="76"/>
      <c r="Q119" s="76"/>
      <c r="R119" s="76" t="b">
        <v>0</v>
      </c>
      <c r="S119" s="82" t="b">
        <v>0</v>
      </c>
      <c r="T119" s="76"/>
      <c r="U119" s="79"/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/>
      <c r="B120" s="76"/>
      <c r="C120" s="77"/>
      <c r="D120" s="76"/>
      <c r="E120" s="76"/>
      <c r="F120" s="76"/>
      <c r="G120" s="76"/>
      <c r="H120" s="76"/>
      <c r="I120" s="75"/>
      <c r="J120" s="78"/>
      <c r="K120" s="76"/>
      <c r="L120" s="79" t="b">
        <v>0</v>
      </c>
      <c r="M120" s="80" t="str">
        <f t="shared" si="1"/>
        <v/>
      </c>
      <c r="N120" s="79" t="b">
        <v>0</v>
      </c>
      <c r="O120" s="80" t="str">
        <f t="shared" si="2"/>
        <v/>
      </c>
      <c r="P120" s="76"/>
      <c r="Q120" s="76"/>
      <c r="R120" s="76" t="b">
        <v>0</v>
      </c>
      <c r="S120" s="82" t="b">
        <v>0</v>
      </c>
      <c r="T120" s="76"/>
      <c r="U120" s="79"/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/>
      <c r="B121" s="76"/>
      <c r="C121" s="77"/>
      <c r="D121" s="76"/>
      <c r="E121" s="76"/>
      <c r="F121" s="76"/>
      <c r="G121" s="76"/>
      <c r="H121" s="76"/>
      <c r="I121" s="75"/>
      <c r="J121" s="78"/>
      <c r="K121" s="76"/>
      <c r="L121" s="79" t="b">
        <v>0</v>
      </c>
      <c r="M121" s="80" t="str">
        <f t="shared" si="1"/>
        <v/>
      </c>
      <c r="N121" s="79" t="b">
        <v>0</v>
      </c>
      <c r="O121" s="80" t="str">
        <f t="shared" si="2"/>
        <v/>
      </c>
      <c r="P121" s="76"/>
      <c r="Q121" s="76"/>
      <c r="R121" s="76" t="b">
        <v>0</v>
      </c>
      <c r="S121" s="82" t="b">
        <v>0</v>
      </c>
      <c r="T121" s="76"/>
      <c r="U121" s="79"/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/>
      <c r="B122" s="76"/>
      <c r="C122" s="77"/>
      <c r="D122" s="76"/>
      <c r="E122" s="76"/>
      <c r="F122" s="76"/>
      <c r="G122" s="76"/>
      <c r="H122" s="76"/>
      <c r="I122" s="75"/>
      <c r="J122" s="78"/>
      <c r="K122" s="76"/>
      <c r="L122" s="79" t="b">
        <v>0</v>
      </c>
      <c r="M122" s="80" t="str">
        <f t="shared" si="1"/>
        <v/>
      </c>
      <c r="N122" s="79" t="b">
        <v>0</v>
      </c>
      <c r="O122" s="80" t="str">
        <f t="shared" si="2"/>
        <v/>
      </c>
      <c r="P122" s="76"/>
      <c r="Q122" s="76"/>
      <c r="R122" s="76" t="b">
        <v>0</v>
      </c>
      <c r="S122" s="82" t="b">
        <v>0</v>
      </c>
      <c r="T122" s="76"/>
      <c r="U122" s="79"/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/>
      <c r="B123" s="76"/>
      <c r="C123" s="77"/>
      <c r="D123" s="76"/>
      <c r="E123" s="76"/>
      <c r="F123" s="76"/>
      <c r="G123" s="76"/>
      <c r="H123" s="76"/>
      <c r="I123" s="75"/>
      <c r="J123" s="78"/>
      <c r="K123" s="76"/>
      <c r="L123" s="79" t="b">
        <v>0</v>
      </c>
      <c r="M123" s="80" t="str">
        <f t="shared" si="1"/>
        <v/>
      </c>
      <c r="N123" s="79" t="b">
        <v>0</v>
      </c>
      <c r="O123" s="80" t="str">
        <f t="shared" si="2"/>
        <v/>
      </c>
      <c r="P123" s="76"/>
      <c r="Q123" s="76"/>
      <c r="R123" s="76" t="b">
        <v>0</v>
      </c>
      <c r="S123" s="82" t="b">
        <v>0</v>
      </c>
      <c r="T123" s="76"/>
      <c r="U123" s="79"/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/>
      <c r="B124" s="76"/>
      <c r="C124" s="77"/>
      <c r="D124" s="76"/>
      <c r="E124" s="76"/>
      <c r="F124" s="76"/>
      <c r="G124" s="76"/>
      <c r="H124" s="76"/>
      <c r="I124" s="75"/>
      <c r="J124" s="78"/>
      <c r="K124" s="76"/>
      <c r="L124" s="79" t="b">
        <v>0</v>
      </c>
      <c r="M124" s="80" t="str">
        <f t="shared" si="1"/>
        <v/>
      </c>
      <c r="N124" s="79" t="b">
        <v>0</v>
      </c>
      <c r="O124" s="80" t="str">
        <f t="shared" si="2"/>
        <v/>
      </c>
      <c r="P124" s="76"/>
      <c r="Q124" s="76"/>
      <c r="R124" s="76" t="b">
        <v>0</v>
      </c>
      <c r="S124" s="82" t="b">
        <v>0</v>
      </c>
      <c r="T124" s="76"/>
      <c r="U124" s="79"/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/>
      <c r="B125" s="76"/>
      <c r="C125" s="77"/>
      <c r="D125" s="76"/>
      <c r="E125" s="76"/>
      <c r="F125" s="76"/>
      <c r="G125" s="76"/>
      <c r="H125" s="76"/>
      <c r="I125" s="75"/>
      <c r="J125" s="78"/>
      <c r="K125" s="76"/>
      <c r="L125" s="79" t="b">
        <v>0</v>
      </c>
      <c r="M125" s="80" t="str">
        <f t="shared" si="1"/>
        <v/>
      </c>
      <c r="N125" s="79" t="b">
        <v>0</v>
      </c>
      <c r="O125" s="80" t="str">
        <f t="shared" si="2"/>
        <v/>
      </c>
      <c r="P125" s="76"/>
      <c r="Q125" s="76"/>
      <c r="R125" s="76" t="b">
        <v>0</v>
      </c>
      <c r="S125" s="82" t="b">
        <v>0</v>
      </c>
      <c r="T125" s="76"/>
      <c r="U125" s="79"/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 t="b">
        <v>0</v>
      </c>
      <c r="M126" s="80" t="str">
        <f t="shared" si="1"/>
        <v/>
      </c>
      <c r="N126" s="79" t="b">
        <v>0</v>
      </c>
      <c r="O126" s="80" t="str">
        <f t="shared" si="2"/>
        <v/>
      </c>
      <c r="P126" s="76"/>
      <c r="Q126" s="76"/>
      <c r="R126" s="76" t="b">
        <v>0</v>
      </c>
      <c r="S126" s="82" t="b">
        <v>0</v>
      </c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/>
      <c r="B127" s="76"/>
      <c r="C127" s="77"/>
      <c r="D127" s="76"/>
      <c r="E127" s="76"/>
      <c r="F127" s="76"/>
      <c r="G127" s="76"/>
      <c r="H127" s="76"/>
      <c r="I127" s="75"/>
      <c r="J127" s="78"/>
      <c r="K127" s="76"/>
      <c r="L127" s="79" t="b">
        <v>0</v>
      </c>
      <c r="M127" s="80" t="str">
        <f t="shared" si="1"/>
        <v/>
      </c>
      <c r="N127" s="79" t="b">
        <v>0</v>
      </c>
      <c r="O127" s="80" t="str">
        <f t="shared" si="2"/>
        <v/>
      </c>
      <c r="P127" s="76"/>
      <c r="Q127" s="76"/>
      <c r="R127" s="76" t="b">
        <v>0</v>
      </c>
      <c r="S127" s="82" t="b">
        <v>0</v>
      </c>
      <c r="T127" s="76"/>
      <c r="U127" s="79"/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/>
      <c r="B128" s="76"/>
      <c r="C128" s="77"/>
      <c r="D128" s="76"/>
      <c r="E128" s="76"/>
      <c r="F128" s="76"/>
      <c r="G128" s="76"/>
      <c r="H128" s="76"/>
      <c r="I128" s="75"/>
      <c r="J128" s="78"/>
      <c r="K128" s="76"/>
      <c r="L128" s="79" t="b">
        <v>0</v>
      </c>
      <c r="M128" s="80" t="str">
        <f t="shared" si="1"/>
        <v/>
      </c>
      <c r="N128" s="79" t="b">
        <v>0</v>
      </c>
      <c r="O128" s="80" t="str">
        <f t="shared" si="2"/>
        <v/>
      </c>
      <c r="P128" s="76"/>
      <c r="Q128" s="76"/>
      <c r="R128" s="76" t="b">
        <v>0</v>
      </c>
      <c r="S128" s="82" t="b">
        <v>0</v>
      </c>
      <c r="T128" s="76"/>
      <c r="U128" s="79"/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/>
      <c r="B129" s="76"/>
      <c r="C129" s="77"/>
      <c r="D129" s="76"/>
      <c r="E129" s="76"/>
      <c r="F129" s="76"/>
      <c r="G129" s="76"/>
      <c r="H129" s="76"/>
      <c r="I129" s="75"/>
      <c r="J129" s="78"/>
      <c r="K129" s="76"/>
      <c r="L129" s="79" t="b">
        <v>0</v>
      </c>
      <c r="M129" s="80" t="str">
        <f t="shared" si="1"/>
        <v/>
      </c>
      <c r="N129" s="79" t="b">
        <v>0</v>
      </c>
      <c r="O129" s="80" t="str">
        <f t="shared" si="2"/>
        <v/>
      </c>
      <c r="P129" s="76"/>
      <c r="Q129" s="76"/>
      <c r="R129" s="76" t="b">
        <v>0</v>
      </c>
      <c r="S129" s="82" t="b">
        <v>0</v>
      </c>
      <c r="T129" s="76"/>
      <c r="U129" s="79"/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/>
      <c r="B130" s="76"/>
      <c r="C130" s="77"/>
      <c r="D130" s="76"/>
      <c r="E130" s="76"/>
      <c r="F130" s="76"/>
      <c r="G130" s="76"/>
      <c r="H130" s="76"/>
      <c r="I130" s="75"/>
      <c r="J130" s="78"/>
      <c r="K130" s="76"/>
      <c r="L130" s="79" t="b">
        <v>0</v>
      </c>
      <c r="M130" s="80" t="str">
        <f t="shared" si="1"/>
        <v/>
      </c>
      <c r="N130" s="79" t="b">
        <v>0</v>
      </c>
      <c r="O130" s="80" t="str">
        <f t="shared" si="2"/>
        <v/>
      </c>
      <c r="P130" s="76"/>
      <c r="Q130" s="76"/>
      <c r="R130" s="76" t="b">
        <v>0</v>
      </c>
      <c r="S130" s="82" t="b">
        <v>0</v>
      </c>
      <c r="T130" s="76"/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/>
      <c r="B131" s="76"/>
      <c r="C131" s="77"/>
      <c r="D131" s="76"/>
      <c r="E131" s="76"/>
      <c r="F131" s="76"/>
      <c r="G131" s="76"/>
      <c r="H131" s="76"/>
      <c r="I131" s="75"/>
      <c r="J131" s="78"/>
      <c r="K131" s="76"/>
      <c r="L131" s="79" t="b">
        <v>0</v>
      </c>
      <c r="M131" s="80" t="str">
        <f t="shared" si="1"/>
        <v/>
      </c>
      <c r="N131" s="79" t="b">
        <v>0</v>
      </c>
      <c r="O131" s="80" t="str">
        <f t="shared" si="2"/>
        <v/>
      </c>
      <c r="P131" s="76"/>
      <c r="Q131" s="76"/>
      <c r="R131" s="76" t="b">
        <v>0</v>
      </c>
      <c r="S131" s="82" t="b">
        <v>0</v>
      </c>
      <c r="T131" s="76"/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/>
      <c r="B132" s="76"/>
      <c r="C132" s="77"/>
      <c r="D132" s="76"/>
      <c r="E132" s="76"/>
      <c r="F132" s="76"/>
      <c r="G132" s="76"/>
      <c r="H132" s="76"/>
      <c r="I132" s="75"/>
      <c r="J132" s="78"/>
      <c r="K132" s="76"/>
      <c r="L132" s="79" t="b">
        <v>0</v>
      </c>
      <c r="M132" s="80" t="str">
        <f t="shared" si="1"/>
        <v/>
      </c>
      <c r="N132" s="79" t="b">
        <v>0</v>
      </c>
      <c r="O132" s="80" t="str">
        <f t="shared" si="2"/>
        <v/>
      </c>
      <c r="P132" s="76"/>
      <c r="Q132" s="76"/>
      <c r="R132" s="76" t="b">
        <v>0</v>
      </c>
      <c r="S132" s="82" t="b">
        <v>0</v>
      </c>
      <c r="T132" s="76"/>
      <c r="U132" s="79"/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/>
      <c r="B133" s="76"/>
      <c r="C133" s="77"/>
      <c r="D133" s="76"/>
      <c r="E133" s="76"/>
      <c r="F133" s="76"/>
      <c r="G133" s="76"/>
      <c r="H133" s="76"/>
      <c r="I133" s="75"/>
      <c r="J133" s="78"/>
      <c r="K133" s="76"/>
      <c r="L133" s="79" t="b">
        <v>0</v>
      </c>
      <c r="M133" s="80" t="str">
        <f t="shared" si="1"/>
        <v/>
      </c>
      <c r="N133" s="79" t="b">
        <v>0</v>
      </c>
      <c r="O133" s="80" t="str">
        <f t="shared" si="2"/>
        <v/>
      </c>
      <c r="P133" s="76"/>
      <c r="Q133" s="76"/>
      <c r="R133" s="76" t="b">
        <v>0</v>
      </c>
      <c r="S133" s="82" t="b">
        <v>0</v>
      </c>
      <c r="T133" s="76"/>
      <c r="U133" s="79"/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/>
      <c r="B134" s="76"/>
      <c r="C134" s="77"/>
      <c r="D134" s="76"/>
      <c r="E134" s="76"/>
      <c r="F134" s="76"/>
      <c r="G134" s="76"/>
      <c r="H134" s="76"/>
      <c r="I134" s="75"/>
      <c r="J134" s="78"/>
      <c r="K134" s="76"/>
      <c r="L134" s="79" t="b">
        <v>0</v>
      </c>
      <c r="M134" s="80" t="str">
        <f t="shared" si="1"/>
        <v/>
      </c>
      <c r="N134" s="79" t="b">
        <v>0</v>
      </c>
      <c r="O134" s="80" t="str">
        <f t="shared" si="2"/>
        <v/>
      </c>
      <c r="P134" s="76"/>
      <c r="Q134" s="76"/>
      <c r="R134" s="76" t="b">
        <v>0</v>
      </c>
      <c r="S134" s="82" t="b">
        <v>0</v>
      </c>
      <c r="T134" s="76"/>
      <c r="U134" s="79"/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/>
      <c r="B135" s="76"/>
      <c r="C135" s="77"/>
      <c r="D135" s="76"/>
      <c r="E135" s="76"/>
      <c r="F135" s="76"/>
      <c r="G135" s="76"/>
      <c r="H135" s="76"/>
      <c r="I135" s="75"/>
      <c r="J135" s="78"/>
      <c r="K135" s="76"/>
      <c r="L135" s="79" t="b">
        <v>0</v>
      </c>
      <c r="M135" s="80" t="str">
        <f t="shared" si="1"/>
        <v/>
      </c>
      <c r="N135" s="79" t="b">
        <v>0</v>
      </c>
      <c r="O135" s="80" t="str">
        <f t="shared" si="2"/>
        <v/>
      </c>
      <c r="P135" s="76"/>
      <c r="Q135" s="76"/>
      <c r="R135" s="76" t="b">
        <v>0</v>
      </c>
      <c r="S135" s="82" t="b">
        <v>0</v>
      </c>
      <c r="T135" s="76"/>
      <c r="U135" s="79"/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/>
      <c r="B136" s="76"/>
      <c r="C136" s="77"/>
      <c r="D136" s="76"/>
      <c r="E136" s="76"/>
      <c r="F136" s="76"/>
      <c r="G136" s="76"/>
      <c r="H136" s="76"/>
      <c r="I136" s="75"/>
      <c r="J136" s="78"/>
      <c r="K136" s="76"/>
      <c r="L136" s="79" t="b">
        <v>0</v>
      </c>
      <c r="M136" s="80" t="str">
        <f t="shared" si="1"/>
        <v/>
      </c>
      <c r="N136" s="79" t="b">
        <v>0</v>
      </c>
      <c r="O136" s="80" t="str">
        <f t="shared" si="2"/>
        <v/>
      </c>
      <c r="P136" s="76"/>
      <c r="Q136" s="76"/>
      <c r="R136" s="76" t="b">
        <v>0</v>
      </c>
      <c r="S136" s="82" t="b">
        <v>0</v>
      </c>
      <c r="T136" s="76"/>
      <c r="U136" s="79"/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/>
      <c r="B137" s="76"/>
      <c r="C137" s="77"/>
      <c r="D137" s="76"/>
      <c r="E137" s="76"/>
      <c r="F137" s="76"/>
      <c r="G137" s="76"/>
      <c r="H137" s="76"/>
      <c r="I137" s="75"/>
      <c r="J137" s="78"/>
      <c r="K137" s="76"/>
      <c r="L137" s="79" t="b">
        <v>0</v>
      </c>
      <c r="M137" s="80" t="str">
        <f t="shared" si="1"/>
        <v/>
      </c>
      <c r="N137" s="79" t="b">
        <v>0</v>
      </c>
      <c r="O137" s="80" t="str">
        <f t="shared" si="2"/>
        <v/>
      </c>
      <c r="P137" s="76"/>
      <c r="Q137" s="76"/>
      <c r="R137" s="76" t="b">
        <v>0</v>
      </c>
      <c r="S137" s="82" t="b">
        <v>0</v>
      </c>
      <c r="T137" s="76"/>
      <c r="U137" s="79"/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 t="b">
        <v>0</v>
      </c>
      <c r="M138" s="80" t="str">
        <f t="shared" si="1"/>
        <v/>
      </c>
      <c r="N138" s="79" t="b">
        <v>0</v>
      </c>
      <c r="O138" s="80" t="str">
        <f t="shared" si="2"/>
        <v/>
      </c>
      <c r="P138" s="76"/>
      <c r="Q138" s="76"/>
      <c r="R138" s="76" t="b">
        <v>0</v>
      </c>
      <c r="S138" s="82" t="b">
        <v>0</v>
      </c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 t="b">
        <v>0</v>
      </c>
      <c r="M139" s="80" t="str">
        <f t="shared" si="1"/>
        <v/>
      </c>
      <c r="N139" s="79" t="b">
        <v>0</v>
      </c>
      <c r="O139" s="80" t="str">
        <f t="shared" si="2"/>
        <v/>
      </c>
      <c r="P139" s="76"/>
      <c r="Q139" s="76"/>
      <c r="R139" s="76" t="b">
        <v>0</v>
      </c>
      <c r="S139" s="82" t="b">
        <v>0</v>
      </c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si="1"/>
        <v/>
      </c>
      <c r="N140" s="79" t="b">
        <v>0</v>
      </c>
      <c r="O140" s="80" t="str">
        <f t="shared" si="2"/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1"/>
        <v/>
      </c>
      <c r="N141" s="79" t="b">
        <v>0</v>
      </c>
      <c r="O141" s="80" t="str">
        <f t="shared" si="2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1"/>
        <v/>
      </c>
      <c r="N142" s="79" t="b">
        <v>0</v>
      </c>
      <c r="O142" s="80" t="str">
        <f t="shared" si="2"/>
        <v/>
      </c>
      <c r="P142" s="76"/>
      <c r="Q142" s="76"/>
      <c r="R142" s="76" t="b">
        <v>0</v>
      </c>
      <c r="S142" s="82" t="b">
        <v>0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1"/>
        <v/>
      </c>
      <c r="N143" s="79" t="b">
        <v>0</v>
      </c>
      <c r="O143" s="80" t="str">
        <f t="shared" si="2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1"/>
        <v/>
      </c>
      <c r="N144" s="79" t="b">
        <v>0</v>
      </c>
      <c r="O144" s="80" t="str">
        <f t="shared" si="2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1"/>
        <v/>
      </c>
      <c r="N145" s="79" t="b">
        <v>0</v>
      </c>
      <c r="O145" s="80" t="str">
        <f t="shared" si="2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1"/>
        <v/>
      </c>
      <c r="N146" s="79" t="b">
        <v>0</v>
      </c>
      <c r="O146" s="80" t="str">
        <f t="shared" si="2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1"/>
        <v/>
      </c>
      <c r="N147" s="79" t="b">
        <v>0</v>
      </c>
      <c r="O147" s="80" t="str">
        <f t="shared" si="2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1"/>
        <v/>
      </c>
      <c r="N148" s="79" t="b">
        <v>0</v>
      </c>
      <c r="O148" s="80" t="str">
        <f t="shared" si="2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1"/>
        <v/>
      </c>
      <c r="N149" s="79" t="b">
        <v>0</v>
      </c>
      <c r="O149" s="80" t="str">
        <f t="shared" si="2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1"/>
        <v/>
      </c>
      <c r="N150" s="79" t="b">
        <v>0</v>
      </c>
      <c r="O150" s="80" t="str">
        <f t="shared" si="2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1"/>
        <v/>
      </c>
      <c r="N151" s="79" t="b">
        <v>0</v>
      </c>
      <c r="O151" s="80" t="str">
        <f t="shared" si="2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1"/>
        <v/>
      </c>
      <c r="N152" s="79" t="b">
        <v>0</v>
      </c>
      <c r="O152" s="80" t="str">
        <f t="shared" si="2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1"/>
        <v/>
      </c>
      <c r="N153" s="79" t="b">
        <v>0</v>
      </c>
      <c r="O153" s="80" t="str">
        <f t="shared" si="2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1"/>
        <v/>
      </c>
      <c r="N154" s="79" t="b">
        <v>0</v>
      </c>
      <c r="O154" s="80" t="str">
        <f t="shared" si="2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1"/>
        <v/>
      </c>
      <c r="N155" s="79" t="b">
        <v>0</v>
      </c>
      <c r="O155" s="80" t="str">
        <f t="shared" si="2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1"/>
        <v/>
      </c>
      <c r="N156" s="79" t="b">
        <v>0</v>
      </c>
      <c r="O156" s="80" t="str">
        <f t="shared" si="2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1"/>
        <v/>
      </c>
      <c r="N157" s="79" t="b">
        <v>0</v>
      </c>
      <c r="O157" s="80" t="str">
        <f t="shared" si="2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1"/>
        <v/>
      </c>
      <c r="N158" s="79" t="b">
        <v>0</v>
      </c>
      <c r="O158" s="80" t="str">
        <f t="shared" si="2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1"/>
        <v/>
      </c>
      <c r="N159" s="79" t="b">
        <v>0</v>
      </c>
      <c r="O159" s="80" t="str">
        <f t="shared" si="2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1"/>
        <v/>
      </c>
      <c r="N160" s="79" t="b">
        <v>0</v>
      </c>
      <c r="O160" s="80" t="str">
        <f t="shared" si="2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1"/>
        <v/>
      </c>
      <c r="N161" s="79" t="b">
        <v>0</v>
      </c>
      <c r="O161" s="80" t="str">
        <f t="shared" si="2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1"/>
        <v/>
      </c>
      <c r="N162" s="79" t="b">
        <v>0</v>
      </c>
      <c r="O162" s="80" t="str">
        <f t="shared" si="2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1"/>
        <v/>
      </c>
      <c r="N163" s="79" t="b">
        <v>0</v>
      </c>
      <c r="O163" s="80" t="str">
        <f t="shared" si="2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1"/>
        <v/>
      </c>
      <c r="N164" s="79" t="b">
        <v>0</v>
      </c>
      <c r="O164" s="80" t="str">
        <f t="shared" si="2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1"/>
        <v/>
      </c>
      <c r="N165" s="79" t="b">
        <v>0</v>
      </c>
      <c r="O165" s="80" t="str">
        <f t="shared" si="2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1"/>
        <v/>
      </c>
      <c r="N166" s="79" t="b">
        <v>0</v>
      </c>
      <c r="O166" s="80" t="str">
        <f t="shared" si="2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1"/>
        <v/>
      </c>
      <c r="N167" s="79" t="b">
        <v>0</v>
      </c>
      <c r="O167" s="80" t="str">
        <f t="shared" si="2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1"/>
        <v/>
      </c>
      <c r="N168" s="79" t="b">
        <v>0</v>
      </c>
      <c r="O168" s="80" t="str">
        <f t="shared" si="2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1"/>
        <v/>
      </c>
      <c r="N169" s="79" t="b">
        <v>0</v>
      </c>
      <c r="O169" s="80" t="str">
        <f t="shared" si="2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1"/>
        <v/>
      </c>
      <c r="N170" s="79" t="b">
        <v>0</v>
      </c>
      <c r="O170" s="80" t="str">
        <f t="shared" si="2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1"/>
        <v/>
      </c>
      <c r="N171" s="79" t="b">
        <v>0</v>
      </c>
      <c r="O171" s="80" t="str">
        <f t="shared" si="2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1"/>
        <v/>
      </c>
      <c r="N172" s="79" t="b">
        <v>0</v>
      </c>
      <c r="O172" s="80" t="str">
        <f t="shared" si="2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1"/>
        <v/>
      </c>
      <c r="N173" s="79" t="b">
        <v>0</v>
      </c>
      <c r="O173" s="80" t="str">
        <f t="shared" si="2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1"/>
        <v/>
      </c>
      <c r="N174" s="79" t="b">
        <v>0</v>
      </c>
      <c r="O174" s="80" t="str">
        <f t="shared" si="2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1"/>
        <v/>
      </c>
      <c r="N175" s="79" t="b">
        <v>0</v>
      </c>
      <c r="O175" s="80" t="str">
        <f t="shared" si="2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1"/>
        <v/>
      </c>
      <c r="N176" s="79" t="b">
        <v>0</v>
      </c>
      <c r="O176" s="80" t="str">
        <f t="shared" si="2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1"/>
        <v/>
      </c>
      <c r="N177" s="79" t="b">
        <v>0</v>
      </c>
      <c r="O177" s="80" t="str">
        <f t="shared" si="2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1"/>
        <v/>
      </c>
      <c r="N178" s="79" t="b">
        <v>0</v>
      </c>
      <c r="O178" s="80" t="str">
        <f t="shared" si="2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1"/>
        <v/>
      </c>
      <c r="N179" s="79" t="b">
        <v>0</v>
      </c>
      <c r="O179" s="80" t="str">
        <f t="shared" si="2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1"/>
        <v/>
      </c>
      <c r="N180" s="79" t="b">
        <v>0</v>
      </c>
      <c r="O180" s="80" t="str">
        <f t="shared" si="2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1"/>
        <v/>
      </c>
      <c r="N181" s="79" t="b">
        <v>0</v>
      </c>
      <c r="O181" s="80" t="str">
        <f t="shared" si="2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1"/>
        <v/>
      </c>
      <c r="N182" s="79" t="b">
        <v>0</v>
      </c>
      <c r="O182" s="80" t="str">
        <f t="shared" si="2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1"/>
        <v/>
      </c>
      <c r="N183" s="79" t="b">
        <v>0</v>
      </c>
      <c r="O183" s="80" t="str">
        <f t="shared" si="2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1"/>
        <v/>
      </c>
      <c r="N184" s="79" t="b">
        <v>0</v>
      </c>
      <c r="O184" s="80" t="str">
        <f t="shared" si="2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1"/>
        <v/>
      </c>
      <c r="N185" s="79" t="b">
        <v>0</v>
      </c>
      <c r="O185" s="80" t="str">
        <f t="shared" si="2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1"/>
        <v/>
      </c>
      <c r="N186" s="79" t="b">
        <v>0</v>
      </c>
      <c r="O186" s="80" t="str">
        <f t="shared" si="2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1"/>
        <v/>
      </c>
      <c r="N187" s="79" t="b">
        <v>0</v>
      </c>
      <c r="O187" s="80" t="str">
        <f t="shared" si="2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1"/>
        <v/>
      </c>
      <c r="N188" s="79" t="b">
        <v>0</v>
      </c>
      <c r="O188" s="80" t="str">
        <f t="shared" si="2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1"/>
        <v/>
      </c>
      <c r="N189" s="79" t="b">
        <v>0</v>
      </c>
      <c r="O189" s="80" t="str">
        <f t="shared" si="2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1"/>
        <v/>
      </c>
      <c r="N190" s="79" t="b">
        <v>0</v>
      </c>
      <c r="O190" s="80" t="str">
        <f t="shared" si="2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1"/>
        <v/>
      </c>
      <c r="N191" s="79" t="b">
        <v>0</v>
      </c>
      <c r="O191" s="80" t="str">
        <f t="shared" si="2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1"/>
        <v/>
      </c>
      <c r="N192" s="79" t="b">
        <v>0</v>
      </c>
      <c r="O192" s="80" t="str">
        <f t="shared" si="2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1"/>
        <v/>
      </c>
      <c r="N193" s="79" t="b">
        <v>0</v>
      </c>
      <c r="O193" s="80" t="str">
        <f t="shared" si="2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1"/>
        <v/>
      </c>
      <c r="N194" s="79" t="b">
        <v>0</v>
      </c>
      <c r="O194" s="80" t="str">
        <f t="shared" si="2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1"/>
        <v/>
      </c>
      <c r="N195" s="79" t="b">
        <v>0</v>
      </c>
      <c r="O195" s="80" t="str">
        <f t="shared" si="2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1"/>
        <v/>
      </c>
      <c r="N196" s="79" t="b">
        <v>0</v>
      </c>
      <c r="O196" s="80" t="str">
        <f t="shared" si="2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1"/>
        <v/>
      </c>
      <c r="N197" s="79" t="b">
        <v>0</v>
      </c>
      <c r="O197" s="80" t="str">
        <f t="shared" si="2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1"/>
        <v/>
      </c>
      <c r="N198" s="79" t="b">
        <v>0</v>
      </c>
      <c r="O198" s="80" t="str">
        <f t="shared" si="2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1"/>
        <v/>
      </c>
      <c r="N199" s="79" t="b">
        <v>0</v>
      </c>
      <c r="O199" s="80" t="str">
        <f t="shared" si="2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1"/>
        <v/>
      </c>
      <c r="N200" s="79" t="b">
        <v>0</v>
      </c>
      <c r="O200" s="80" t="str">
        <f t="shared" si="2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1"/>
        <v/>
      </c>
      <c r="N201" s="79" t="b">
        <v>0</v>
      </c>
      <c r="O201" s="80" t="str">
        <f t="shared" si="2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1"/>
        <v/>
      </c>
      <c r="N202" s="79" t="b">
        <v>0</v>
      </c>
      <c r="O202" s="80" t="str">
        <f t="shared" si="2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1"/>
        <v/>
      </c>
      <c r="N203" s="79" t="b">
        <v>0</v>
      </c>
      <c r="O203" s="80" t="str">
        <f t="shared" si="2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1"/>
        <v/>
      </c>
      <c r="N204" s="79" t="b">
        <v>0</v>
      </c>
      <c r="O204" s="80" t="str">
        <f t="shared" si="2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1"/>
        <v/>
      </c>
      <c r="N205" s="79" t="b">
        <v>0</v>
      </c>
      <c r="O205" s="80" t="str">
        <f t="shared" si="2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1"/>
        <v/>
      </c>
      <c r="N206" s="79" t="b">
        <v>0</v>
      </c>
      <c r="O206" s="80" t="str">
        <f t="shared" si="2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1"/>
        <v/>
      </c>
      <c r="N207" s="79" t="b">
        <v>0</v>
      </c>
      <c r="O207" s="80" t="str">
        <f t="shared" si="2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1"/>
        <v/>
      </c>
      <c r="N208" s="79" t="b">
        <v>0</v>
      </c>
      <c r="O208" s="80" t="str">
        <f t="shared" si="2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1"/>
        <v/>
      </c>
      <c r="N209" s="79" t="b">
        <v>0</v>
      </c>
      <c r="O209" s="80" t="str">
        <f t="shared" si="2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1"/>
        <v/>
      </c>
      <c r="N210" s="79" t="b">
        <v>0</v>
      </c>
      <c r="O210" s="80" t="str">
        <f t="shared" si="2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1"/>
        <v/>
      </c>
      <c r="N211" s="79" t="b">
        <v>0</v>
      </c>
      <c r="O211" s="80" t="str">
        <f t="shared" si="2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1"/>
        <v/>
      </c>
      <c r="N212" s="79" t="b">
        <v>0</v>
      </c>
      <c r="O212" s="80" t="str">
        <f t="shared" si="2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1"/>
        <v/>
      </c>
      <c r="N213" s="79" t="b">
        <v>0</v>
      </c>
      <c r="O213" s="80" t="str">
        <f t="shared" si="2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1"/>
        <v/>
      </c>
      <c r="N214" s="79" t="b">
        <v>0</v>
      </c>
      <c r="O214" s="80" t="str">
        <f t="shared" si="2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1"/>
        <v/>
      </c>
      <c r="N215" s="79" t="b">
        <v>0</v>
      </c>
      <c r="O215" s="80" t="str">
        <f t="shared" si="2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1"/>
        <v/>
      </c>
      <c r="N216" s="79" t="b">
        <v>0</v>
      </c>
      <c r="O216" s="80" t="str">
        <f t="shared" si="2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1"/>
        <v/>
      </c>
      <c r="N217" s="79" t="b">
        <v>0</v>
      </c>
      <c r="O217" s="80" t="str">
        <f t="shared" si="2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1"/>
        <v/>
      </c>
      <c r="N218" s="79" t="b">
        <v>0</v>
      </c>
      <c r="O218" s="80" t="str">
        <f t="shared" si="2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1"/>
        <v/>
      </c>
      <c r="N219" s="79" t="b">
        <v>0</v>
      </c>
      <c r="O219" s="80" t="str">
        <f t="shared" si="2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1"/>
        <v/>
      </c>
      <c r="N220" s="79" t="b">
        <v>0</v>
      </c>
      <c r="O220" s="80" t="str">
        <f t="shared" si="2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1"/>
        <v/>
      </c>
      <c r="N221" s="79" t="b">
        <v>0</v>
      </c>
      <c r="O221" s="80" t="str">
        <f t="shared" si="2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1"/>
        <v/>
      </c>
      <c r="N222" s="79" t="b">
        <v>0</v>
      </c>
      <c r="O222" s="80" t="str">
        <f t="shared" si="2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1"/>
        <v/>
      </c>
      <c r="N223" s="79" t="b">
        <v>0</v>
      </c>
      <c r="O223" s="80" t="str">
        <f t="shared" si="2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1"/>
        <v/>
      </c>
      <c r="N224" s="79" t="b">
        <v>0</v>
      </c>
      <c r="O224" s="80" t="str">
        <f t="shared" si="2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1"/>
        <v/>
      </c>
      <c r="N225" s="79" t="b">
        <v>0</v>
      </c>
      <c r="O225" s="80" t="str">
        <f t="shared" si="2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1"/>
        <v/>
      </c>
      <c r="N226" s="79" t="b">
        <v>0</v>
      </c>
      <c r="O226" s="80" t="str">
        <f t="shared" si="2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1"/>
        <v/>
      </c>
      <c r="N227" s="79" t="b">
        <v>0</v>
      </c>
      <c r="O227" s="80" t="str">
        <f t="shared" si="2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1"/>
        <v/>
      </c>
      <c r="N228" s="79" t="b">
        <v>0</v>
      </c>
      <c r="O228" s="80" t="str">
        <f t="shared" si="2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1"/>
        <v/>
      </c>
      <c r="N229" s="79" t="b">
        <v>0</v>
      </c>
      <c r="O229" s="80" t="str">
        <f t="shared" si="2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1"/>
        <v/>
      </c>
      <c r="N230" s="79" t="b">
        <v>0</v>
      </c>
      <c r="O230" s="80" t="str">
        <f t="shared" si="2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1"/>
        <v/>
      </c>
      <c r="N231" s="79" t="b">
        <v>0</v>
      </c>
      <c r="O231" s="80" t="str">
        <f t="shared" si="2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1"/>
        <v/>
      </c>
      <c r="N232" s="79" t="b">
        <v>0</v>
      </c>
      <c r="O232" s="80" t="str">
        <f t="shared" si="2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1"/>
        <v/>
      </c>
      <c r="N233" s="79" t="b">
        <v>0</v>
      </c>
      <c r="O233" s="80" t="str">
        <f t="shared" si="2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1"/>
        <v/>
      </c>
      <c r="N234" s="79" t="b">
        <v>0</v>
      </c>
      <c r="O234" s="80" t="str">
        <f t="shared" si="2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1"/>
        <v/>
      </c>
      <c r="N235" s="79" t="b">
        <v>0</v>
      </c>
      <c r="O235" s="80" t="str">
        <f t="shared" si="2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1"/>
        <v/>
      </c>
      <c r="N236" s="79" t="b">
        <v>0</v>
      </c>
      <c r="O236" s="80" t="str">
        <f t="shared" si="2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1"/>
        <v/>
      </c>
      <c r="N237" s="79" t="b">
        <v>0</v>
      </c>
      <c r="O237" s="80" t="str">
        <f t="shared" si="2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1"/>
        <v/>
      </c>
      <c r="N238" s="79" t="b">
        <v>0</v>
      </c>
      <c r="O238" s="80" t="str">
        <f t="shared" si="2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1"/>
        <v/>
      </c>
      <c r="N239" s="79" t="b">
        <v>0</v>
      </c>
      <c r="O239" s="80" t="str">
        <f t="shared" si="2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1"/>
        <v/>
      </c>
      <c r="N240" s="79" t="b">
        <v>0</v>
      </c>
      <c r="O240" s="80" t="str">
        <f t="shared" si="2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1"/>
        <v/>
      </c>
      <c r="N241" s="79" t="b">
        <v>0</v>
      </c>
      <c r="O241" s="80" t="str">
        <f t="shared" si="2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1"/>
        <v/>
      </c>
      <c r="N242" s="79" t="b">
        <v>0</v>
      </c>
      <c r="O242" s="80" t="str">
        <f t="shared" si="2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1"/>
        <v/>
      </c>
      <c r="N243" s="79" t="b">
        <v>0</v>
      </c>
      <c r="O243" s="80" t="str">
        <f t="shared" si="2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1"/>
        <v/>
      </c>
      <c r="N244" s="79" t="b">
        <v>0</v>
      </c>
      <c r="O244" s="80" t="str">
        <f t="shared" si="2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1"/>
        <v/>
      </c>
      <c r="N245" s="79" t="b">
        <v>0</v>
      </c>
      <c r="O245" s="80" t="str">
        <f t="shared" si="2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1"/>
        <v/>
      </c>
      <c r="N246" s="79" t="b">
        <v>0</v>
      </c>
      <c r="O246" s="80" t="str">
        <f t="shared" si="2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1"/>
        <v/>
      </c>
      <c r="N247" s="79" t="b">
        <v>0</v>
      </c>
      <c r="O247" s="80" t="str">
        <f t="shared" si="2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1"/>
        <v/>
      </c>
      <c r="N248" s="79" t="b">
        <v>0</v>
      </c>
      <c r="O248" s="80" t="str">
        <f t="shared" si="2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1"/>
        <v/>
      </c>
      <c r="N249" s="79" t="b">
        <v>0</v>
      </c>
      <c r="O249" s="80" t="str">
        <f t="shared" si="2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1"/>
        <v/>
      </c>
      <c r="N250" s="79" t="b">
        <v>0</v>
      </c>
      <c r="O250" s="80" t="str">
        <f t="shared" si="2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1"/>
        <v/>
      </c>
      <c r="N251" s="79" t="b">
        <v>0</v>
      </c>
      <c r="O251" s="80" t="str">
        <f t="shared" si="2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1"/>
        <v/>
      </c>
      <c r="N252" s="79" t="b">
        <v>0</v>
      </c>
      <c r="O252" s="80" t="str">
        <f t="shared" si="2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1"/>
        <v/>
      </c>
      <c r="N253" s="79" t="b">
        <v>0</v>
      </c>
      <c r="O253" s="80" t="str">
        <f t="shared" si="2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1"/>
        <v/>
      </c>
      <c r="N254" s="79" t="b">
        <v>0</v>
      </c>
      <c r="O254" s="80" t="str">
        <f t="shared" si="2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1"/>
        <v/>
      </c>
      <c r="N255" s="79" t="b">
        <v>0</v>
      </c>
      <c r="O255" s="80" t="str">
        <f t="shared" si="2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1"/>
        <v/>
      </c>
      <c r="N256" s="79" t="b">
        <v>0</v>
      </c>
      <c r="O256" s="80" t="str">
        <f t="shared" si="2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1"/>
        <v/>
      </c>
      <c r="N257" s="79" t="b">
        <v>0</v>
      </c>
      <c r="O257" s="80" t="str">
        <f t="shared" si="2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1"/>
        <v/>
      </c>
      <c r="N258" s="79" t="b">
        <v>0</v>
      </c>
      <c r="O258" s="80" t="str">
        <f t="shared" si="2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1"/>
        <v/>
      </c>
      <c r="N259" s="79" t="b">
        <v>0</v>
      </c>
      <c r="O259" s="80" t="str">
        <f t="shared" si="2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1"/>
        <v/>
      </c>
      <c r="N260" s="79" t="b">
        <v>0</v>
      </c>
      <c r="O260" s="80" t="str">
        <f t="shared" si="2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1"/>
        <v/>
      </c>
      <c r="N261" s="79" t="b">
        <v>0</v>
      </c>
      <c r="O261" s="80" t="str">
        <f t="shared" si="2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1"/>
        <v/>
      </c>
      <c r="N262" s="79" t="b">
        <v>0</v>
      </c>
      <c r="O262" s="80" t="str">
        <f t="shared" si="2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1"/>
        <v/>
      </c>
      <c r="N263" s="79" t="b">
        <v>0</v>
      </c>
      <c r="O263" s="80" t="str">
        <f t="shared" si="2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1"/>
        <v/>
      </c>
      <c r="N264" s="79" t="b">
        <v>0</v>
      </c>
      <c r="O264" s="80" t="str">
        <f t="shared" si="2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1"/>
        <v/>
      </c>
      <c r="N265" s="79" t="b">
        <v>0</v>
      </c>
      <c r="O265" s="80" t="str">
        <f t="shared" si="2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1"/>
        <v/>
      </c>
      <c r="N266" s="79" t="b">
        <v>0</v>
      </c>
      <c r="O266" s="80" t="str">
        <f t="shared" si="2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1"/>
        <v/>
      </c>
      <c r="N267" s="79" t="b">
        <v>0</v>
      </c>
      <c r="O267" s="80" t="str">
        <f t="shared" si="2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1"/>
        <v/>
      </c>
      <c r="N268" s="79" t="b">
        <v>0</v>
      </c>
      <c r="O268" s="80" t="str">
        <f t="shared" si="2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1"/>
        <v/>
      </c>
      <c r="N269" s="79" t="b">
        <v>0</v>
      </c>
      <c r="O269" s="80" t="str">
        <f t="shared" si="2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1"/>
        <v/>
      </c>
      <c r="N270" s="79" t="b">
        <v>0</v>
      </c>
      <c r="O270" s="80" t="str">
        <f t="shared" si="2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1"/>
        <v/>
      </c>
      <c r="N271" s="79" t="b">
        <v>0</v>
      </c>
      <c r="O271" s="80" t="str">
        <f t="shared" si="2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1"/>
        <v/>
      </c>
      <c r="N272" s="79" t="b">
        <v>0</v>
      </c>
      <c r="O272" s="80" t="str">
        <f t="shared" si="2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1"/>
        <v/>
      </c>
      <c r="N273" s="79" t="b">
        <v>0</v>
      </c>
      <c r="O273" s="80" t="str">
        <f t="shared" si="2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1"/>
        <v/>
      </c>
      <c r="N274" s="79" t="b">
        <v>0</v>
      </c>
      <c r="O274" s="80" t="str">
        <f t="shared" si="2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1"/>
        <v/>
      </c>
      <c r="N275" s="79" t="b">
        <v>0</v>
      </c>
      <c r="O275" s="80" t="str">
        <f t="shared" si="2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1"/>
        <v/>
      </c>
      <c r="N276" s="79" t="b">
        <v>0</v>
      </c>
      <c r="O276" s="80" t="str">
        <f t="shared" si="2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1"/>
        <v/>
      </c>
      <c r="N277" s="79" t="b">
        <v>0</v>
      </c>
      <c r="O277" s="80" t="str">
        <f t="shared" si="2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1"/>
        <v/>
      </c>
      <c r="N278" s="79" t="b">
        <v>0</v>
      </c>
      <c r="O278" s="80" t="str">
        <f t="shared" si="2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1"/>
        <v/>
      </c>
      <c r="N279" s="79" t="b">
        <v>0</v>
      </c>
      <c r="O279" s="80" t="str">
        <f t="shared" si="2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1"/>
        <v/>
      </c>
      <c r="N280" s="79" t="b">
        <v>0</v>
      </c>
      <c r="O280" s="80" t="str">
        <f t="shared" si="2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1"/>
        <v/>
      </c>
      <c r="N281" s="79" t="b">
        <v>0</v>
      </c>
      <c r="O281" s="80" t="str">
        <f t="shared" si="2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1"/>
        <v/>
      </c>
      <c r="N282" s="79" t="b">
        <v>0</v>
      </c>
      <c r="O282" s="80" t="str">
        <f t="shared" si="2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1"/>
        <v/>
      </c>
      <c r="N283" s="79" t="b">
        <v>0</v>
      </c>
      <c r="O283" s="80" t="str">
        <f t="shared" si="2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1"/>
        <v/>
      </c>
      <c r="N284" s="79" t="b">
        <v>0</v>
      </c>
      <c r="O284" s="80" t="str">
        <f t="shared" si="2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1"/>
        <v/>
      </c>
      <c r="N285" s="79" t="b">
        <v>0</v>
      </c>
      <c r="O285" s="80" t="str">
        <f t="shared" si="2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1"/>
        <v/>
      </c>
      <c r="N286" s="79" t="b">
        <v>0</v>
      </c>
      <c r="O286" s="80" t="str">
        <f t="shared" si="2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1"/>
        <v/>
      </c>
      <c r="N287" s="79" t="b">
        <v>0</v>
      </c>
      <c r="O287" s="80" t="str">
        <f t="shared" si="2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1"/>
        <v/>
      </c>
      <c r="N288" s="79" t="b">
        <v>0</v>
      </c>
      <c r="O288" s="80" t="str">
        <f t="shared" si="2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1"/>
        <v/>
      </c>
      <c r="N289" s="79" t="b">
        <v>0</v>
      </c>
      <c r="O289" s="80" t="str">
        <f t="shared" si="2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1"/>
        <v/>
      </c>
      <c r="N290" s="79" t="b">
        <v>0</v>
      </c>
      <c r="O290" s="80" t="str">
        <f t="shared" si="2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1"/>
        <v/>
      </c>
      <c r="N291" s="79" t="b">
        <v>0</v>
      </c>
      <c r="O291" s="80" t="str">
        <f t="shared" si="2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1"/>
        <v/>
      </c>
      <c r="N292" s="79" t="b">
        <v>0</v>
      </c>
      <c r="O292" s="80" t="str">
        <f t="shared" si="2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1"/>
        <v/>
      </c>
      <c r="N293" s="79" t="b">
        <v>0</v>
      </c>
      <c r="O293" s="80" t="str">
        <f t="shared" si="2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1"/>
        <v/>
      </c>
      <c r="N294" s="79" t="b">
        <v>0</v>
      </c>
      <c r="O294" s="80" t="str">
        <f t="shared" si="2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1"/>
        <v/>
      </c>
      <c r="N295" s="79" t="b">
        <v>0</v>
      </c>
      <c r="O295" s="80" t="str">
        <f t="shared" si="2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1"/>
        <v/>
      </c>
      <c r="N296" s="79" t="b">
        <v>0</v>
      </c>
      <c r="O296" s="80" t="str">
        <f t="shared" si="2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1"/>
        <v/>
      </c>
      <c r="N297" s="79" t="b">
        <v>0</v>
      </c>
      <c r="O297" s="80" t="str">
        <f t="shared" si="2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1"/>
        <v/>
      </c>
      <c r="N298" s="79" t="b">
        <v>0</v>
      </c>
      <c r="O298" s="80" t="str">
        <f t="shared" si="2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1"/>
        <v/>
      </c>
      <c r="N299" s="79" t="b">
        <v>0</v>
      </c>
      <c r="O299" s="80" t="str">
        <f t="shared" si="2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1"/>
        <v/>
      </c>
      <c r="N300" s="79" t="b">
        <v>0</v>
      </c>
      <c r="O300" s="80" t="str">
        <f t="shared" si="2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1"/>
        <v/>
      </c>
      <c r="N301" s="79" t="b">
        <v>0</v>
      </c>
      <c r="O301" s="80" t="str">
        <f t="shared" si="2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1"/>
        <v/>
      </c>
      <c r="N302" s="79" t="b">
        <v>0</v>
      </c>
      <c r="O302" s="80" t="str">
        <f t="shared" si="2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1"/>
        <v/>
      </c>
      <c r="N303" s="79" t="b">
        <v>0</v>
      </c>
      <c r="O303" s="80" t="str">
        <f t="shared" si="2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1"/>
        <v/>
      </c>
      <c r="N304" s="79" t="b">
        <v>0</v>
      </c>
      <c r="O304" s="80" t="str">
        <f t="shared" si="2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1"/>
        <v/>
      </c>
      <c r="N305" s="79" t="b">
        <v>0</v>
      </c>
      <c r="O305" s="80" t="str">
        <f t="shared" si="2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1"/>
        <v/>
      </c>
      <c r="N306" s="79" t="b">
        <v>0</v>
      </c>
      <c r="O306" s="80" t="str">
        <f t="shared" si="2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1"/>
        <v/>
      </c>
      <c r="N307" s="79" t="b">
        <v>0</v>
      </c>
      <c r="O307" s="80" t="str">
        <f t="shared" si="2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 maintenance"</formula>
    </cfRule>
  </conditionalFormatting>
  <conditionalFormatting sqref="A11:V307">
    <cfRule type="expression" dxfId="0" priority="9">
      <formula>$U11="รอคอนเฟิร์ม"</formula>
    </cfRule>
  </conditionalFormatting>
  <conditionalFormatting sqref="A11:V307">
    <cfRule type="expression" dxfId="0" priority="10">
      <formula>$U11="รอดูสี"</formula>
    </cfRule>
  </conditionalFormatting>
  <conditionalFormatting sqref="A11:V307">
    <cfRule type="expression" dxfId="0" priority="11">
      <formula>$U11="กระดาษชื้น"</formula>
    </cfRule>
  </conditionalFormatting>
  <conditionalFormatting sqref="A11:V307">
    <cfRule type="expression" dxfId="4" priority="12">
      <formula>$L11=True</formula>
    </cfRule>
  </conditionalFormatting>
  <conditionalFormatting sqref="A11:V307">
    <cfRule type="expression" dxfId="6" priority="13">
      <formula>$F11="ตามคิว"</formula>
    </cfRule>
  </conditionalFormatting>
  <conditionalFormatting sqref="A11:V307">
    <cfRule type="expression" dxfId="7" priority="14">
      <formula>$F11="Same Day"</formula>
    </cfRule>
  </conditionalFormatting>
  <conditionalFormatting sqref="A11:V307">
    <cfRule type="expression" dxfId="6" priority="15">
      <formula>$F11="ตัวอย่าง Mockup"</formula>
    </cfRule>
  </conditionalFormatting>
  <conditionalFormatting sqref="D17:F17">
    <cfRule type="notContainsBlanks" dxfId="8" priority="16">
      <formula>LEN(TRIM(D17))&gt;0</formula>
    </cfRule>
  </conditionalFormatting>
  <conditionalFormatting sqref="A11:V307">
    <cfRule type="expression" dxfId="5" priority="17">
      <formula>$F11="VIP"</formula>
    </cfRule>
  </conditionalFormatting>
  <conditionalFormatting sqref="D17:F17">
    <cfRule type="notContainsBlanks" dxfId="8" priority="18">
      <formula>LEN(TRIM(D17))&gt;0</formula>
    </cfRule>
  </conditionalFormatting>
  <conditionalFormatting sqref="U400:W400">
    <cfRule type="expression" dxfId="9" priority="19">
      <formula>"D11"</formula>
    </cfRule>
  </conditionalFormatting>
  <conditionalFormatting sqref="A1:B1">
    <cfRule type="notContainsBlanks" dxfId="8" priority="20">
      <formula>LEN(TRIM(A1))&gt;0</formula>
    </cfRule>
  </conditionalFormatting>
  <conditionalFormatting sqref="A11:V307">
    <cfRule type="expression" dxfId="10" priority="21">
      <formula>$F11="งานซ่อม"</formula>
    </cfRule>
  </conditionalFormatting>
  <conditionalFormatting sqref="A11:V307">
    <cfRule type="expression" dxfId="10" priority="22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307 P11:P307">
      <formula1>"Fluke,Sunney"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0</v>
      </c>
      <c r="D2" s="13" t="s">
        <v>8</v>
      </c>
      <c r="E2" s="14">
        <f>COUNTIFS(F11:F1000,"ตามคิว")</f>
        <v>0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0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0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0</v>
      </c>
      <c r="D3" s="13" t="s">
        <v>18</v>
      </c>
      <c r="E3" s="14">
        <f>COUNTIFS(F11:F1000,"Same Day")</f>
        <v>0</v>
      </c>
      <c r="F3" s="15" t="s">
        <v>9</v>
      </c>
      <c r="G3" s="27" t="s">
        <v>19</v>
      </c>
      <c r="H3" s="28">
        <f>COUNTIFS(U11:U1000,"Dicut Jwei")</f>
        <v>0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0</v>
      </c>
      <c r="Y3" s="25" t="s">
        <v>9</v>
      </c>
      <c r="Z3" s="25" t="s">
        <v>24</v>
      </c>
      <c r="AA3" s="25">
        <f>COUNTIFS(D11:E1000,"ปอนด์ 80g (โกดัง)")</f>
        <v>0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0</v>
      </c>
      <c r="F4" s="15" t="s">
        <v>9</v>
      </c>
      <c r="G4" s="27" t="s">
        <v>28</v>
      </c>
      <c r="H4" s="28">
        <f>COUNTIFS(U11:U1000,"Dicut Graptech")</f>
        <v>0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0</v>
      </c>
      <c r="Y4" s="25" t="s">
        <v>9</v>
      </c>
      <c r="Z4" s="25" t="s">
        <v>32</v>
      </c>
      <c r="AA4" s="25">
        <f>COUNTIFS(D11:E1000,"ปอนด์ 100g (โกดัง)")</f>
        <v>0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0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0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0</v>
      </c>
      <c r="AH5" s="26" t="s">
        <v>9</v>
      </c>
    </row>
    <row r="6" ht="21.75" customHeight="1">
      <c r="A6" s="11">
        <f>COUNTIFS(N11:N1000,True,B11:B1000,"*",K11:K1000,"*")</f>
        <v>0</v>
      </c>
      <c r="B6" s="2"/>
      <c r="C6" s="12" t="s">
        <v>9</v>
      </c>
      <c r="D6" s="13" t="s">
        <v>44</v>
      </c>
      <c r="E6" s="14">
        <f>COUNTIFS(F11:F1000,"ซ่อมไม่มีใบสั่ง")</f>
        <v>0</v>
      </c>
      <c r="F6" s="15" t="s">
        <v>9</v>
      </c>
      <c r="G6" s="42" t="s">
        <v>11</v>
      </c>
      <c r="H6" s="19">
        <f>COUNTIFS(Q11:Q1000,"C12000")</f>
        <v>0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0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0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0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0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0</v>
      </c>
      <c r="I8" s="51" t="s">
        <v>59</v>
      </c>
      <c r="J8" s="2"/>
      <c r="K8" s="53">
        <f>SUM(H3+H4)</f>
        <v>0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0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/>
      <c r="B11" s="76"/>
      <c r="C11" s="77"/>
      <c r="D11" s="76"/>
      <c r="E11" s="76"/>
      <c r="F11" s="76"/>
      <c r="G11" s="76"/>
      <c r="H11" s="76"/>
      <c r="I11" s="75"/>
      <c r="J11" s="78"/>
      <c r="K11" s="76"/>
      <c r="L11" s="79" t="b">
        <v>0</v>
      </c>
      <c r="M11" s="80" t="str">
        <f t="shared" ref="M11:M307" si="1">IFS(L11=FALSE,"",M11="",NOW(),TRUE,M11)</f>
        <v/>
      </c>
      <c r="N11" s="131" t="b">
        <v>0</v>
      </c>
      <c r="O11" s="80" t="str">
        <f t="shared" ref="O11:O307" si="2">IFS(N11=FALSE,"",O11="",NOW(),TRUE,O11)</f>
        <v/>
      </c>
      <c r="P11" s="76"/>
      <c r="Q11" s="76"/>
      <c r="R11" s="76" t="b">
        <v>0</v>
      </c>
      <c r="S11" s="82" t="b">
        <v>0</v>
      </c>
      <c r="T11" s="76"/>
      <c r="U11" s="79"/>
      <c r="V11" s="83"/>
      <c r="W11" s="118"/>
    </row>
    <row r="12">
      <c r="A12" s="75"/>
      <c r="B12" s="76"/>
      <c r="C12" s="77"/>
      <c r="D12" s="76"/>
      <c r="E12" s="76"/>
      <c r="F12" s="76"/>
      <c r="G12" s="76"/>
      <c r="H12" s="76"/>
      <c r="I12" s="75"/>
      <c r="J12" s="78"/>
      <c r="K12" s="76"/>
      <c r="L12" s="79" t="b">
        <v>0</v>
      </c>
      <c r="M12" s="80" t="str">
        <f t="shared" si="1"/>
        <v/>
      </c>
      <c r="N12" s="131" t="b">
        <v>0</v>
      </c>
      <c r="O12" s="80" t="str">
        <f t="shared" si="2"/>
        <v/>
      </c>
      <c r="P12" s="76"/>
      <c r="Q12" s="76"/>
      <c r="R12" s="76" t="b">
        <v>0</v>
      </c>
      <c r="S12" s="82" t="b">
        <v>0</v>
      </c>
      <c r="T12" s="76"/>
      <c r="U12" s="79"/>
      <c r="V12" s="83"/>
      <c r="W12" s="74"/>
    </row>
    <row r="13">
      <c r="A13" s="75"/>
      <c r="B13" s="76"/>
      <c r="C13" s="77"/>
      <c r="D13" s="76"/>
      <c r="E13" s="76"/>
      <c r="F13" s="76"/>
      <c r="G13" s="76"/>
      <c r="H13" s="76"/>
      <c r="I13" s="75"/>
      <c r="J13" s="78"/>
      <c r="K13" s="76"/>
      <c r="L13" s="79" t="b">
        <v>0</v>
      </c>
      <c r="M13" s="80" t="str">
        <f t="shared" si="1"/>
        <v/>
      </c>
      <c r="N13" s="131" t="b">
        <v>0</v>
      </c>
      <c r="O13" s="80" t="str">
        <f t="shared" si="2"/>
        <v/>
      </c>
      <c r="P13" s="76"/>
      <c r="Q13" s="76"/>
      <c r="R13" s="76" t="b">
        <v>0</v>
      </c>
      <c r="S13" s="82" t="b">
        <v>0</v>
      </c>
      <c r="T13" s="76"/>
      <c r="U13" s="79"/>
      <c r="V13" s="83"/>
      <c r="W13" s="74"/>
    </row>
    <row r="14">
      <c r="A14" s="75"/>
      <c r="B14" s="76"/>
      <c r="C14" s="77"/>
      <c r="D14" s="76"/>
      <c r="E14" s="76"/>
      <c r="F14" s="76"/>
      <c r="G14" s="76"/>
      <c r="H14" s="76"/>
      <c r="I14" s="75"/>
      <c r="J14" s="78"/>
      <c r="K14" s="76"/>
      <c r="L14" s="79" t="b">
        <v>0</v>
      </c>
      <c r="M14" s="80" t="str">
        <f t="shared" si="1"/>
        <v/>
      </c>
      <c r="N14" s="131" t="b">
        <v>0</v>
      </c>
      <c r="O14" s="80" t="str">
        <f t="shared" si="2"/>
        <v/>
      </c>
      <c r="P14" s="76"/>
      <c r="Q14" s="76"/>
      <c r="R14" s="76" t="b">
        <v>0</v>
      </c>
      <c r="S14" s="82" t="b">
        <v>0</v>
      </c>
      <c r="T14" s="76"/>
      <c r="U14" s="79"/>
      <c r="V14" s="83"/>
      <c r="W14" s="74"/>
    </row>
    <row r="15">
      <c r="A15" s="75"/>
      <c r="B15" s="76"/>
      <c r="C15" s="77"/>
      <c r="D15" s="76"/>
      <c r="E15" s="76"/>
      <c r="F15" s="76"/>
      <c r="G15" s="76"/>
      <c r="H15" s="76"/>
      <c r="I15" s="75"/>
      <c r="J15" s="78"/>
      <c r="K15" s="76"/>
      <c r="L15" s="79" t="b">
        <v>0</v>
      </c>
      <c r="M15" s="80" t="str">
        <f t="shared" si="1"/>
        <v/>
      </c>
      <c r="N15" s="131" t="b">
        <v>0</v>
      </c>
      <c r="O15" s="80" t="str">
        <f t="shared" si="2"/>
        <v/>
      </c>
      <c r="P15" s="76"/>
      <c r="Q15" s="76"/>
      <c r="R15" s="76" t="b">
        <v>0</v>
      </c>
      <c r="S15" s="82" t="b">
        <v>0</v>
      </c>
      <c r="T15" s="76"/>
      <c r="U15" s="79"/>
      <c r="V15" s="83"/>
      <c r="W15" s="118"/>
    </row>
    <row r="16">
      <c r="A16" s="75"/>
      <c r="B16" s="76"/>
      <c r="C16" s="77"/>
      <c r="D16" s="76"/>
      <c r="E16" s="76"/>
      <c r="F16" s="76"/>
      <c r="G16" s="76"/>
      <c r="H16" s="76"/>
      <c r="I16" s="75"/>
      <c r="J16" s="78"/>
      <c r="K16" s="76"/>
      <c r="L16" s="79" t="b">
        <v>0</v>
      </c>
      <c r="M16" s="80" t="str">
        <f t="shared" si="1"/>
        <v/>
      </c>
      <c r="N16" s="131" t="b">
        <v>0</v>
      </c>
      <c r="O16" s="80" t="str">
        <f t="shared" si="2"/>
        <v/>
      </c>
      <c r="P16" s="76"/>
      <c r="Q16" s="76"/>
      <c r="R16" s="76" t="b">
        <v>0</v>
      </c>
      <c r="S16" s="82" t="b">
        <v>0</v>
      </c>
      <c r="T16" s="76"/>
      <c r="U16" s="79"/>
      <c r="V16" s="83"/>
      <c r="W16" s="118"/>
    </row>
    <row r="17">
      <c r="A17" s="75"/>
      <c r="B17" s="76"/>
      <c r="C17" s="77"/>
      <c r="D17" s="76"/>
      <c r="E17" s="76"/>
      <c r="F17" s="76"/>
      <c r="G17" s="76"/>
      <c r="H17" s="76"/>
      <c r="I17" s="75"/>
      <c r="J17" s="78"/>
      <c r="K17" s="76"/>
      <c r="L17" s="79" t="b">
        <v>0</v>
      </c>
      <c r="M17" s="80" t="str">
        <f t="shared" si="1"/>
        <v/>
      </c>
      <c r="N17" s="131" t="b">
        <v>0</v>
      </c>
      <c r="O17" s="80" t="str">
        <f t="shared" si="2"/>
        <v/>
      </c>
      <c r="P17" s="76"/>
      <c r="Q17" s="76"/>
      <c r="R17" s="76" t="b">
        <v>0</v>
      </c>
      <c r="S17" s="82" t="b">
        <v>0</v>
      </c>
      <c r="T17" s="76"/>
      <c r="U17" s="79"/>
      <c r="V17" s="83"/>
      <c r="W17" s="74"/>
    </row>
    <row r="18">
      <c r="A18" s="75"/>
      <c r="B18" s="76"/>
      <c r="C18" s="77"/>
      <c r="D18" s="76"/>
      <c r="E18" s="76"/>
      <c r="F18" s="76"/>
      <c r="G18" s="76"/>
      <c r="H18" s="76"/>
      <c r="I18" s="75"/>
      <c r="J18" s="78"/>
      <c r="K18" s="76"/>
      <c r="L18" s="79" t="b">
        <v>0</v>
      </c>
      <c r="M18" s="80" t="str">
        <f t="shared" si="1"/>
        <v/>
      </c>
      <c r="N18" s="131" t="b">
        <v>0</v>
      </c>
      <c r="O18" s="80" t="str">
        <f t="shared" si="2"/>
        <v/>
      </c>
      <c r="P18" s="76"/>
      <c r="Q18" s="76"/>
      <c r="R18" s="76" t="b">
        <v>0</v>
      </c>
      <c r="S18" s="82" t="b">
        <v>0</v>
      </c>
      <c r="T18" s="76"/>
      <c r="U18" s="79"/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/>
      <c r="B19" s="76"/>
      <c r="C19" s="77"/>
      <c r="D19" s="76"/>
      <c r="E19" s="76"/>
      <c r="F19" s="76"/>
      <c r="G19" s="76"/>
      <c r="H19" s="76"/>
      <c r="I19" s="75"/>
      <c r="J19" s="78"/>
      <c r="K19" s="76"/>
      <c r="L19" s="79" t="b">
        <v>0</v>
      </c>
      <c r="M19" s="80" t="str">
        <f t="shared" si="1"/>
        <v/>
      </c>
      <c r="N19" s="131" t="b">
        <v>0</v>
      </c>
      <c r="O19" s="80" t="str">
        <f t="shared" si="2"/>
        <v/>
      </c>
      <c r="P19" s="76"/>
      <c r="Q19" s="76"/>
      <c r="R19" s="76" t="b">
        <v>0</v>
      </c>
      <c r="S19" s="82" t="b">
        <v>0</v>
      </c>
      <c r="T19" s="76"/>
      <c r="U19" s="79"/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/>
      <c r="B20" s="76"/>
      <c r="C20" s="77"/>
      <c r="D20" s="76"/>
      <c r="E20" s="76"/>
      <c r="F20" s="76"/>
      <c r="G20" s="76"/>
      <c r="H20" s="76"/>
      <c r="I20" s="75"/>
      <c r="J20" s="78"/>
      <c r="K20" s="76"/>
      <c r="L20" s="79" t="b">
        <v>0</v>
      </c>
      <c r="M20" s="80" t="str">
        <f t="shared" si="1"/>
        <v/>
      </c>
      <c r="N20" s="131" t="b">
        <v>0</v>
      </c>
      <c r="O20" s="80" t="str">
        <f t="shared" si="2"/>
        <v/>
      </c>
      <c r="P20" s="76"/>
      <c r="Q20" s="76"/>
      <c r="R20" s="76" t="b">
        <v>0</v>
      </c>
      <c r="S20" s="82" t="b">
        <v>0</v>
      </c>
      <c r="T20" s="76"/>
      <c r="U20" s="79"/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/>
      <c r="B21" s="76"/>
      <c r="C21" s="77"/>
      <c r="D21" s="76"/>
      <c r="E21" s="76"/>
      <c r="F21" s="76"/>
      <c r="G21" s="76"/>
      <c r="H21" s="76"/>
      <c r="I21" s="75"/>
      <c r="J21" s="78"/>
      <c r="K21" s="76"/>
      <c r="L21" s="79" t="b">
        <v>0</v>
      </c>
      <c r="M21" s="80" t="str">
        <f t="shared" si="1"/>
        <v/>
      </c>
      <c r="N21" s="131" t="b">
        <v>0</v>
      </c>
      <c r="O21" s="80" t="str">
        <f t="shared" si="2"/>
        <v/>
      </c>
      <c r="P21" s="76"/>
      <c r="Q21" s="76"/>
      <c r="R21" s="76" t="b">
        <v>0</v>
      </c>
      <c r="S21" s="82" t="b">
        <v>0</v>
      </c>
      <c r="T21" s="76"/>
      <c r="U21" s="79"/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/>
      <c r="B22" s="76"/>
      <c r="C22" s="77"/>
      <c r="D22" s="76"/>
      <c r="E22" s="76"/>
      <c r="F22" s="76"/>
      <c r="G22" s="76"/>
      <c r="H22" s="76"/>
      <c r="I22" s="75"/>
      <c r="J22" s="78"/>
      <c r="K22" s="76"/>
      <c r="L22" s="79" t="b">
        <v>0</v>
      </c>
      <c r="M22" s="80" t="str">
        <f t="shared" si="1"/>
        <v/>
      </c>
      <c r="N22" s="131" t="b">
        <v>0</v>
      </c>
      <c r="O22" s="80" t="str">
        <f t="shared" si="2"/>
        <v/>
      </c>
      <c r="P22" s="76"/>
      <c r="Q22" s="76"/>
      <c r="R22" s="76" t="b">
        <v>0</v>
      </c>
      <c r="S22" s="82" t="b">
        <v>0</v>
      </c>
      <c r="T22" s="76"/>
      <c r="U22" s="79"/>
      <c r="V22" s="83"/>
      <c r="W22" s="74"/>
      <c r="X22" s="74"/>
      <c r="AB22" s="74"/>
      <c r="AC22" s="74"/>
      <c r="AD22" s="74"/>
    </row>
    <row r="23">
      <c r="A23" s="75"/>
      <c r="B23" s="76"/>
      <c r="C23" s="77"/>
      <c r="D23" s="76"/>
      <c r="E23" s="76"/>
      <c r="F23" s="76"/>
      <c r="G23" s="76"/>
      <c r="H23" s="76"/>
      <c r="I23" s="75"/>
      <c r="J23" s="78"/>
      <c r="K23" s="76"/>
      <c r="L23" s="79" t="b">
        <v>0</v>
      </c>
      <c r="M23" s="80" t="str">
        <f t="shared" si="1"/>
        <v/>
      </c>
      <c r="N23" s="131" t="b">
        <v>0</v>
      </c>
      <c r="O23" s="80" t="str">
        <f t="shared" si="2"/>
        <v/>
      </c>
      <c r="P23" s="76"/>
      <c r="Q23" s="76"/>
      <c r="R23" s="76" t="b">
        <v>0</v>
      </c>
      <c r="S23" s="82" t="b">
        <v>0</v>
      </c>
      <c r="T23" s="76"/>
      <c r="U23" s="79"/>
      <c r="V23" s="83"/>
      <c r="W23" s="74"/>
      <c r="X23" s="74"/>
      <c r="AB23" s="74"/>
      <c r="AC23" s="74"/>
      <c r="AD23" s="74"/>
    </row>
    <row r="24">
      <c r="A24" s="75"/>
      <c r="B24" s="76"/>
      <c r="C24" s="77"/>
      <c r="D24" s="76"/>
      <c r="E24" s="76"/>
      <c r="F24" s="76"/>
      <c r="G24" s="76"/>
      <c r="H24" s="76"/>
      <c r="I24" s="75"/>
      <c r="J24" s="78"/>
      <c r="K24" s="76"/>
      <c r="L24" s="79" t="b">
        <v>0</v>
      </c>
      <c r="M24" s="80" t="str">
        <f t="shared" si="1"/>
        <v/>
      </c>
      <c r="N24" s="131" t="b">
        <v>0</v>
      </c>
      <c r="O24" s="80" t="str">
        <f t="shared" si="2"/>
        <v/>
      </c>
      <c r="P24" s="76"/>
      <c r="Q24" s="76"/>
      <c r="R24" s="76" t="b">
        <v>0</v>
      </c>
      <c r="S24" s="82" t="b">
        <v>0</v>
      </c>
      <c r="T24" s="76"/>
      <c r="U24" s="79"/>
      <c r="V24" s="83"/>
      <c r="W24" s="74"/>
      <c r="X24" s="74"/>
    </row>
    <row r="25">
      <c r="A25" s="75"/>
      <c r="B25" s="76"/>
      <c r="C25" s="77"/>
      <c r="D25" s="76"/>
      <c r="E25" s="76"/>
      <c r="F25" s="76"/>
      <c r="G25" s="76"/>
      <c r="H25" s="76"/>
      <c r="I25" s="75"/>
      <c r="J25" s="78"/>
      <c r="K25" s="76"/>
      <c r="L25" s="79" t="b">
        <v>0</v>
      </c>
      <c r="M25" s="80" t="str">
        <f t="shared" si="1"/>
        <v/>
      </c>
      <c r="N25" s="131" t="b">
        <v>0</v>
      </c>
      <c r="O25" s="80" t="str">
        <f t="shared" si="2"/>
        <v/>
      </c>
      <c r="P25" s="76"/>
      <c r="Q25" s="76"/>
      <c r="R25" s="76" t="b">
        <v>0</v>
      </c>
      <c r="S25" s="82" t="b">
        <v>0</v>
      </c>
      <c r="T25" s="76"/>
      <c r="U25" s="79"/>
      <c r="V25" s="83"/>
      <c r="W25" s="74"/>
      <c r="X25" s="74"/>
    </row>
    <row r="26">
      <c r="A26" s="75"/>
      <c r="B26" s="76"/>
      <c r="C26" s="77"/>
      <c r="D26" s="76"/>
      <c r="E26" s="76"/>
      <c r="F26" s="76"/>
      <c r="G26" s="76"/>
      <c r="H26" s="76"/>
      <c r="I26" s="75"/>
      <c r="J26" s="78"/>
      <c r="K26" s="76"/>
      <c r="L26" s="79" t="b">
        <v>0</v>
      </c>
      <c r="M26" s="80" t="str">
        <f t="shared" si="1"/>
        <v/>
      </c>
      <c r="N26" s="131" t="b">
        <v>0</v>
      </c>
      <c r="O26" s="80" t="str">
        <f t="shared" si="2"/>
        <v/>
      </c>
      <c r="P26" s="76"/>
      <c r="Q26" s="76"/>
      <c r="R26" s="76" t="b">
        <v>0</v>
      </c>
      <c r="S26" s="82" t="b">
        <v>0</v>
      </c>
      <c r="T26" s="76"/>
      <c r="U26" s="79"/>
      <c r="V26" s="83"/>
      <c r="W26" s="74"/>
      <c r="X26" s="74"/>
    </row>
    <row r="27">
      <c r="A27" s="75"/>
      <c r="B27" s="76"/>
      <c r="C27" s="77"/>
      <c r="D27" s="76"/>
      <c r="E27" s="76"/>
      <c r="F27" s="76"/>
      <c r="G27" s="76"/>
      <c r="H27" s="76"/>
      <c r="I27" s="75"/>
      <c r="J27" s="78"/>
      <c r="K27" s="76"/>
      <c r="L27" s="79" t="b">
        <v>0</v>
      </c>
      <c r="M27" s="80" t="str">
        <f t="shared" si="1"/>
        <v/>
      </c>
      <c r="N27" s="131" t="b">
        <v>0</v>
      </c>
      <c r="O27" s="80" t="str">
        <f t="shared" si="2"/>
        <v/>
      </c>
      <c r="P27" s="76"/>
      <c r="Q27" s="76"/>
      <c r="R27" s="76" t="b">
        <v>0</v>
      </c>
      <c r="S27" s="82" t="b">
        <v>0</v>
      </c>
      <c r="T27" s="76"/>
      <c r="U27" s="79"/>
      <c r="V27" s="83"/>
      <c r="W27" s="74"/>
      <c r="X27" s="86"/>
    </row>
    <row r="28">
      <c r="A28" s="75"/>
      <c r="B28" s="76"/>
      <c r="C28" s="77"/>
      <c r="D28" s="76"/>
      <c r="E28" s="76"/>
      <c r="F28" s="76"/>
      <c r="G28" s="76"/>
      <c r="H28" s="76"/>
      <c r="I28" s="75"/>
      <c r="J28" s="78"/>
      <c r="K28" s="76"/>
      <c r="L28" s="79" t="b">
        <v>0</v>
      </c>
      <c r="M28" s="80" t="str">
        <f t="shared" si="1"/>
        <v/>
      </c>
      <c r="N28" s="131" t="b">
        <v>0</v>
      </c>
      <c r="O28" s="80" t="str">
        <f t="shared" si="2"/>
        <v/>
      </c>
      <c r="P28" s="76"/>
      <c r="Q28" s="76"/>
      <c r="R28" s="76" t="b">
        <v>0</v>
      </c>
      <c r="S28" s="82" t="b">
        <v>0</v>
      </c>
      <c r="T28" s="76"/>
      <c r="U28" s="79"/>
      <c r="V28" s="83"/>
      <c r="W28" s="74"/>
      <c r="X28" s="86"/>
    </row>
    <row r="29">
      <c r="A29" s="75"/>
      <c r="B29" s="76"/>
      <c r="C29" s="77"/>
      <c r="D29" s="76"/>
      <c r="E29" s="76"/>
      <c r="F29" s="76"/>
      <c r="G29" s="76"/>
      <c r="H29" s="76"/>
      <c r="I29" s="75"/>
      <c r="J29" s="78"/>
      <c r="K29" s="76"/>
      <c r="L29" s="79" t="b">
        <v>0</v>
      </c>
      <c r="M29" s="80" t="str">
        <f t="shared" si="1"/>
        <v/>
      </c>
      <c r="N29" s="131" t="b">
        <v>0</v>
      </c>
      <c r="O29" s="80" t="str">
        <f t="shared" si="2"/>
        <v/>
      </c>
      <c r="P29" s="76"/>
      <c r="Q29" s="76"/>
      <c r="R29" s="76" t="b">
        <v>0</v>
      </c>
      <c r="S29" s="82" t="b">
        <v>0</v>
      </c>
      <c r="T29" s="76"/>
      <c r="U29" s="79"/>
      <c r="V29" s="83"/>
      <c r="W29" s="74"/>
      <c r="X29" s="86"/>
      <c r="AE29" s="87"/>
      <c r="AF29" s="87"/>
      <c r="AG29" s="87"/>
      <c r="AH29" s="87"/>
    </row>
    <row r="30">
      <c r="A30" s="75"/>
      <c r="B30" s="76"/>
      <c r="C30" s="77"/>
      <c r="D30" s="76"/>
      <c r="E30" s="76"/>
      <c r="F30" s="76"/>
      <c r="G30" s="76"/>
      <c r="H30" s="76"/>
      <c r="I30" s="75"/>
      <c r="J30" s="78"/>
      <c r="K30" s="76"/>
      <c r="L30" s="79" t="b">
        <v>0</v>
      </c>
      <c r="M30" s="80" t="str">
        <f t="shared" si="1"/>
        <v/>
      </c>
      <c r="N30" s="131" t="b">
        <v>0</v>
      </c>
      <c r="O30" s="80" t="str">
        <f t="shared" si="2"/>
        <v/>
      </c>
      <c r="P30" s="76"/>
      <c r="Q30" s="76"/>
      <c r="R30" s="76" t="b">
        <v>0</v>
      </c>
      <c r="S30" s="82" t="b">
        <v>0</v>
      </c>
      <c r="T30" s="76"/>
      <c r="U30" s="79"/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/>
      <c r="B31" s="76"/>
      <c r="C31" s="77"/>
      <c r="D31" s="76"/>
      <c r="E31" s="76"/>
      <c r="F31" s="76"/>
      <c r="G31" s="76"/>
      <c r="H31" s="76"/>
      <c r="I31" s="75"/>
      <c r="J31" s="78"/>
      <c r="K31" s="76"/>
      <c r="L31" s="79" t="b">
        <v>0</v>
      </c>
      <c r="M31" s="80" t="str">
        <f t="shared" si="1"/>
        <v/>
      </c>
      <c r="N31" s="131" t="b">
        <v>0</v>
      </c>
      <c r="O31" s="80" t="str">
        <f t="shared" si="2"/>
        <v/>
      </c>
      <c r="P31" s="76"/>
      <c r="Q31" s="76"/>
      <c r="R31" s="76" t="b">
        <v>0</v>
      </c>
      <c r="S31" s="82" t="b">
        <v>0</v>
      </c>
      <c r="T31" s="76"/>
      <c r="U31" s="79"/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/>
      <c r="B32" s="76"/>
      <c r="C32" s="77"/>
      <c r="D32" s="76"/>
      <c r="E32" s="76"/>
      <c r="F32" s="76"/>
      <c r="G32" s="76"/>
      <c r="H32" s="76"/>
      <c r="I32" s="75"/>
      <c r="J32" s="78"/>
      <c r="K32" s="76"/>
      <c r="L32" s="79" t="b">
        <v>0</v>
      </c>
      <c r="M32" s="80" t="str">
        <f t="shared" si="1"/>
        <v/>
      </c>
      <c r="N32" s="131" t="b">
        <v>0</v>
      </c>
      <c r="O32" s="80" t="str">
        <f t="shared" si="2"/>
        <v/>
      </c>
      <c r="P32" s="76"/>
      <c r="Q32" s="76"/>
      <c r="R32" s="76" t="b">
        <v>0</v>
      </c>
      <c r="S32" s="82" t="b">
        <v>0</v>
      </c>
      <c r="T32" s="76"/>
      <c r="U32" s="79"/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/>
      <c r="B33" s="76"/>
      <c r="C33" s="77"/>
      <c r="D33" s="76"/>
      <c r="E33" s="76"/>
      <c r="F33" s="76"/>
      <c r="G33" s="76"/>
      <c r="H33" s="76"/>
      <c r="I33" s="75"/>
      <c r="J33" s="78"/>
      <c r="K33" s="76"/>
      <c r="L33" s="79" t="b">
        <v>0</v>
      </c>
      <c r="M33" s="80" t="str">
        <f t="shared" si="1"/>
        <v/>
      </c>
      <c r="N33" s="131" t="b">
        <v>0</v>
      </c>
      <c r="O33" s="80" t="str">
        <f t="shared" si="2"/>
        <v/>
      </c>
      <c r="P33" s="76"/>
      <c r="Q33" s="76"/>
      <c r="R33" s="76" t="b">
        <v>0</v>
      </c>
      <c r="S33" s="82" t="b">
        <v>0</v>
      </c>
      <c r="T33" s="76"/>
      <c r="U33" s="79"/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/>
      <c r="B34" s="76"/>
      <c r="C34" s="77"/>
      <c r="D34" s="76"/>
      <c r="E34" s="76"/>
      <c r="F34" s="76"/>
      <c r="G34" s="76"/>
      <c r="H34" s="76"/>
      <c r="I34" s="75"/>
      <c r="J34" s="78"/>
      <c r="K34" s="76"/>
      <c r="L34" s="79" t="b">
        <v>0</v>
      </c>
      <c r="M34" s="80" t="str">
        <f t="shared" si="1"/>
        <v/>
      </c>
      <c r="N34" s="131" t="b">
        <v>0</v>
      </c>
      <c r="O34" s="80" t="str">
        <f t="shared" si="2"/>
        <v/>
      </c>
      <c r="P34" s="76"/>
      <c r="Q34" s="76"/>
      <c r="R34" s="76" t="b">
        <v>0</v>
      </c>
      <c r="S34" s="82" t="b">
        <v>0</v>
      </c>
      <c r="T34" s="76"/>
      <c r="U34" s="79"/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/>
      <c r="B35" s="76"/>
      <c r="C35" s="77"/>
      <c r="D35" s="76"/>
      <c r="E35" s="76"/>
      <c r="F35" s="76"/>
      <c r="G35" s="76"/>
      <c r="H35" s="76"/>
      <c r="I35" s="75"/>
      <c r="J35" s="78"/>
      <c r="K35" s="76"/>
      <c r="L35" s="79" t="b">
        <v>0</v>
      </c>
      <c r="M35" s="80" t="str">
        <f t="shared" si="1"/>
        <v/>
      </c>
      <c r="N35" s="131" t="b">
        <v>0</v>
      </c>
      <c r="O35" s="80" t="str">
        <f t="shared" si="2"/>
        <v/>
      </c>
      <c r="P35" s="76"/>
      <c r="Q35" s="76"/>
      <c r="R35" s="76" t="b">
        <v>0</v>
      </c>
      <c r="S35" s="82" t="b">
        <v>0</v>
      </c>
      <c r="T35" s="76"/>
      <c r="U35" s="79"/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/>
      <c r="B36" s="76"/>
      <c r="C36" s="77"/>
      <c r="D36" s="76"/>
      <c r="E36" s="76"/>
      <c r="F36" s="76"/>
      <c r="G36" s="76"/>
      <c r="H36" s="76"/>
      <c r="I36" s="75"/>
      <c r="J36" s="78"/>
      <c r="K36" s="76"/>
      <c r="L36" s="79" t="b">
        <v>0</v>
      </c>
      <c r="M36" s="80" t="str">
        <f t="shared" si="1"/>
        <v/>
      </c>
      <c r="N36" s="131" t="b">
        <v>0</v>
      </c>
      <c r="O36" s="80" t="str">
        <f t="shared" si="2"/>
        <v/>
      </c>
      <c r="P36" s="76"/>
      <c r="Q36" s="76"/>
      <c r="R36" s="76" t="b">
        <v>0</v>
      </c>
      <c r="S36" s="82" t="b">
        <v>0</v>
      </c>
      <c r="T36" s="76"/>
      <c r="U36" s="79"/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/>
      <c r="B37" s="76"/>
      <c r="C37" s="77"/>
      <c r="D37" s="76"/>
      <c r="E37" s="76"/>
      <c r="F37" s="76"/>
      <c r="G37" s="76"/>
      <c r="H37" s="76"/>
      <c r="I37" s="75"/>
      <c r="J37" s="78"/>
      <c r="K37" s="76"/>
      <c r="L37" s="79" t="b">
        <v>0</v>
      </c>
      <c r="M37" s="80" t="str">
        <f t="shared" si="1"/>
        <v/>
      </c>
      <c r="N37" s="131" t="b">
        <v>0</v>
      </c>
      <c r="O37" s="80" t="str">
        <f t="shared" si="2"/>
        <v/>
      </c>
      <c r="P37" s="76"/>
      <c r="Q37" s="76"/>
      <c r="R37" s="76" t="b">
        <v>0</v>
      </c>
      <c r="S37" s="82" t="b">
        <v>0</v>
      </c>
      <c r="T37" s="76"/>
      <c r="U37" s="79"/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/>
      <c r="B38" s="76"/>
      <c r="C38" s="77"/>
      <c r="D38" s="76"/>
      <c r="E38" s="76"/>
      <c r="F38" s="76"/>
      <c r="G38" s="76"/>
      <c r="H38" s="76"/>
      <c r="I38" s="75"/>
      <c r="J38" s="78"/>
      <c r="K38" s="76"/>
      <c r="L38" s="79" t="b">
        <v>0</v>
      </c>
      <c r="M38" s="80" t="str">
        <f t="shared" si="1"/>
        <v/>
      </c>
      <c r="N38" s="131" t="b">
        <v>0</v>
      </c>
      <c r="O38" s="80" t="str">
        <f t="shared" si="2"/>
        <v/>
      </c>
      <c r="P38" s="76"/>
      <c r="Q38" s="76"/>
      <c r="R38" s="76" t="b">
        <v>0</v>
      </c>
      <c r="S38" s="82" t="b">
        <v>0</v>
      </c>
      <c r="T38" s="76"/>
      <c r="U38" s="79"/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/>
      <c r="B39" s="76"/>
      <c r="C39" s="77"/>
      <c r="D39" s="76"/>
      <c r="E39" s="76"/>
      <c r="F39" s="76"/>
      <c r="G39" s="76"/>
      <c r="H39" s="76"/>
      <c r="I39" s="75"/>
      <c r="J39" s="78"/>
      <c r="K39" s="76"/>
      <c r="L39" s="79" t="b">
        <v>0</v>
      </c>
      <c r="M39" s="80" t="str">
        <f t="shared" si="1"/>
        <v/>
      </c>
      <c r="N39" s="131" t="b">
        <v>0</v>
      </c>
      <c r="O39" s="80" t="str">
        <f t="shared" si="2"/>
        <v/>
      </c>
      <c r="P39" s="76"/>
      <c r="Q39" s="76"/>
      <c r="R39" s="76" t="b">
        <v>0</v>
      </c>
      <c r="S39" s="82" t="b">
        <v>0</v>
      </c>
      <c r="T39" s="76"/>
      <c r="U39" s="79"/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/>
      <c r="B40" s="76"/>
      <c r="C40" s="77"/>
      <c r="D40" s="76"/>
      <c r="E40" s="76"/>
      <c r="F40" s="76"/>
      <c r="G40" s="76"/>
      <c r="H40" s="76"/>
      <c r="I40" s="75"/>
      <c r="J40" s="78"/>
      <c r="K40" s="76"/>
      <c r="L40" s="79" t="b">
        <v>0</v>
      </c>
      <c r="M40" s="80" t="str">
        <f t="shared" si="1"/>
        <v/>
      </c>
      <c r="N40" s="131" t="b">
        <v>0</v>
      </c>
      <c r="O40" s="80" t="str">
        <f t="shared" si="2"/>
        <v/>
      </c>
      <c r="P40" s="76"/>
      <c r="Q40" s="76"/>
      <c r="R40" s="76" t="b">
        <v>0</v>
      </c>
      <c r="S40" s="82" t="b">
        <v>0</v>
      </c>
      <c r="T40" s="76"/>
      <c r="U40" s="79"/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/>
      <c r="B41" s="76"/>
      <c r="C41" s="77"/>
      <c r="D41" s="76"/>
      <c r="E41" s="76"/>
      <c r="F41" s="76"/>
      <c r="G41" s="76"/>
      <c r="H41" s="76"/>
      <c r="I41" s="75"/>
      <c r="J41" s="78"/>
      <c r="K41" s="76"/>
      <c r="L41" s="79" t="b">
        <v>0</v>
      </c>
      <c r="M41" s="80" t="str">
        <f t="shared" si="1"/>
        <v/>
      </c>
      <c r="N41" s="131" t="b">
        <v>0</v>
      </c>
      <c r="O41" s="80" t="str">
        <f t="shared" si="2"/>
        <v/>
      </c>
      <c r="P41" s="76"/>
      <c r="Q41" s="76"/>
      <c r="R41" s="76" t="b">
        <v>0</v>
      </c>
      <c r="S41" s="82" t="b">
        <v>0</v>
      </c>
      <c r="T41" s="76"/>
      <c r="U41" s="79"/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/>
      <c r="B42" s="76"/>
      <c r="C42" s="77"/>
      <c r="D42" s="76"/>
      <c r="E42" s="76"/>
      <c r="F42" s="76"/>
      <c r="G42" s="76"/>
      <c r="H42" s="76"/>
      <c r="I42" s="75"/>
      <c r="J42" s="78"/>
      <c r="K42" s="76"/>
      <c r="L42" s="79" t="b">
        <v>0</v>
      </c>
      <c r="M42" s="80" t="str">
        <f t="shared" si="1"/>
        <v/>
      </c>
      <c r="N42" s="131" t="b">
        <v>0</v>
      </c>
      <c r="O42" s="80" t="str">
        <f t="shared" si="2"/>
        <v/>
      </c>
      <c r="P42" s="76"/>
      <c r="Q42" s="76"/>
      <c r="R42" s="76" t="b">
        <v>0</v>
      </c>
      <c r="S42" s="82" t="b">
        <v>0</v>
      </c>
      <c r="T42" s="76"/>
      <c r="U42" s="79"/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/>
      <c r="B43" s="76"/>
      <c r="C43" s="77"/>
      <c r="D43" s="76"/>
      <c r="E43" s="76"/>
      <c r="F43" s="76"/>
      <c r="G43" s="76"/>
      <c r="H43" s="76"/>
      <c r="I43" s="75"/>
      <c r="J43" s="78"/>
      <c r="K43" s="76"/>
      <c r="L43" s="79" t="b">
        <v>0</v>
      </c>
      <c r="M43" s="80" t="str">
        <f t="shared" si="1"/>
        <v/>
      </c>
      <c r="N43" s="131" t="b">
        <v>0</v>
      </c>
      <c r="O43" s="80" t="str">
        <f t="shared" si="2"/>
        <v/>
      </c>
      <c r="P43" s="76"/>
      <c r="Q43" s="76"/>
      <c r="R43" s="76" t="b">
        <v>0</v>
      </c>
      <c r="S43" s="82" t="b">
        <v>0</v>
      </c>
      <c r="T43" s="76"/>
      <c r="U43" s="79"/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/>
      <c r="B44" s="76"/>
      <c r="C44" s="77"/>
      <c r="D44" s="76"/>
      <c r="E44" s="76"/>
      <c r="F44" s="76"/>
      <c r="G44" s="76"/>
      <c r="H44" s="76"/>
      <c r="I44" s="75"/>
      <c r="J44" s="78"/>
      <c r="K44" s="76"/>
      <c r="L44" s="79" t="b">
        <v>0</v>
      </c>
      <c r="M44" s="80" t="str">
        <f t="shared" si="1"/>
        <v/>
      </c>
      <c r="N44" s="131" t="b">
        <v>0</v>
      </c>
      <c r="O44" s="80" t="str">
        <f t="shared" si="2"/>
        <v/>
      </c>
      <c r="P44" s="76"/>
      <c r="Q44" s="76"/>
      <c r="R44" s="76" t="b">
        <v>0</v>
      </c>
      <c r="S44" s="82" t="b">
        <v>0</v>
      </c>
      <c r="T44" s="76"/>
      <c r="U44" s="79"/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/>
      <c r="B45" s="76"/>
      <c r="C45" s="77"/>
      <c r="D45" s="76"/>
      <c r="E45" s="76"/>
      <c r="F45" s="76"/>
      <c r="G45" s="76"/>
      <c r="H45" s="76"/>
      <c r="I45" s="75"/>
      <c r="J45" s="78"/>
      <c r="K45" s="76"/>
      <c r="L45" s="79" t="b">
        <v>0</v>
      </c>
      <c r="M45" s="80" t="str">
        <f t="shared" si="1"/>
        <v/>
      </c>
      <c r="N45" s="131" t="b">
        <v>0</v>
      </c>
      <c r="O45" s="80" t="str">
        <f t="shared" si="2"/>
        <v/>
      </c>
      <c r="P45" s="76"/>
      <c r="Q45" s="76"/>
      <c r="R45" s="76" t="b">
        <v>0</v>
      </c>
      <c r="S45" s="82" t="b">
        <v>0</v>
      </c>
      <c r="T45" s="76"/>
      <c r="U45" s="79"/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/>
      <c r="B46" s="76"/>
      <c r="C46" s="77"/>
      <c r="D46" s="76"/>
      <c r="E46" s="76"/>
      <c r="F46" s="76"/>
      <c r="G46" s="76"/>
      <c r="H46" s="76"/>
      <c r="I46" s="75"/>
      <c r="J46" s="78"/>
      <c r="K46" s="76"/>
      <c r="L46" s="79" t="b">
        <v>0</v>
      </c>
      <c r="M46" s="80" t="str">
        <f t="shared" si="1"/>
        <v/>
      </c>
      <c r="N46" s="131" t="b">
        <v>0</v>
      </c>
      <c r="O46" s="80" t="str">
        <f t="shared" si="2"/>
        <v/>
      </c>
      <c r="P46" s="76"/>
      <c r="Q46" s="76"/>
      <c r="R46" s="76" t="b">
        <v>0</v>
      </c>
      <c r="S46" s="82" t="b">
        <v>0</v>
      </c>
      <c r="T46" s="76"/>
      <c r="U46" s="79"/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/>
      <c r="B47" s="76"/>
      <c r="C47" s="77"/>
      <c r="D47" s="76"/>
      <c r="E47" s="76"/>
      <c r="F47" s="76"/>
      <c r="G47" s="76"/>
      <c r="H47" s="76"/>
      <c r="I47" s="75"/>
      <c r="J47" s="78"/>
      <c r="K47" s="76"/>
      <c r="L47" s="79" t="b">
        <v>0</v>
      </c>
      <c r="M47" s="80" t="str">
        <f t="shared" si="1"/>
        <v/>
      </c>
      <c r="N47" s="131" t="b">
        <v>0</v>
      </c>
      <c r="O47" s="80" t="str">
        <f t="shared" si="2"/>
        <v/>
      </c>
      <c r="P47" s="76"/>
      <c r="Q47" s="76"/>
      <c r="R47" s="76" t="b">
        <v>0</v>
      </c>
      <c r="S47" s="82" t="b">
        <v>0</v>
      </c>
      <c r="T47" s="76"/>
      <c r="U47" s="79"/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/>
      <c r="B48" s="76"/>
      <c r="C48" s="77"/>
      <c r="D48" s="76"/>
      <c r="E48" s="76"/>
      <c r="F48" s="76"/>
      <c r="G48" s="76"/>
      <c r="H48" s="76"/>
      <c r="I48" s="75"/>
      <c r="J48" s="78"/>
      <c r="K48" s="76"/>
      <c r="L48" s="79" t="b">
        <v>0</v>
      </c>
      <c r="M48" s="80" t="str">
        <f t="shared" si="1"/>
        <v/>
      </c>
      <c r="N48" s="131" t="b">
        <v>0</v>
      </c>
      <c r="O48" s="80" t="str">
        <f t="shared" si="2"/>
        <v/>
      </c>
      <c r="P48" s="76"/>
      <c r="Q48" s="76"/>
      <c r="R48" s="76" t="b">
        <v>0</v>
      </c>
      <c r="S48" s="82" t="b">
        <v>0</v>
      </c>
      <c r="T48" s="76"/>
      <c r="U48" s="79"/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/>
      <c r="B49" s="76"/>
      <c r="C49" s="77"/>
      <c r="D49" s="76"/>
      <c r="E49" s="76"/>
      <c r="F49" s="76"/>
      <c r="G49" s="76"/>
      <c r="H49" s="76"/>
      <c r="I49" s="75"/>
      <c r="J49" s="78"/>
      <c r="K49" s="76"/>
      <c r="L49" s="79" t="b">
        <v>0</v>
      </c>
      <c r="M49" s="80" t="str">
        <f t="shared" si="1"/>
        <v/>
      </c>
      <c r="N49" s="131" t="b">
        <v>0</v>
      </c>
      <c r="O49" s="80" t="str">
        <f t="shared" si="2"/>
        <v/>
      </c>
      <c r="P49" s="76"/>
      <c r="Q49" s="76"/>
      <c r="R49" s="76" t="b">
        <v>0</v>
      </c>
      <c r="S49" s="82" t="b">
        <v>0</v>
      </c>
      <c r="T49" s="76"/>
      <c r="U49" s="79"/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/>
      <c r="B50" s="76"/>
      <c r="C50" s="77"/>
      <c r="D50" s="76"/>
      <c r="E50" s="76"/>
      <c r="F50" s="76"/>
      <c r="G50" s="76"/>
      <c r="H50" s="76"/>
      <c r="I50" s="75"/>
      <c r="J50" s="78"/>
      <c r="K50" s="76"/>
      <c r="L50" s="79" t="b">
        <v>0</v>
      </c>
      <c r="M50" s="80" t="str">
        <f t="shared" si="1"/>
        <v/>
      </c>
      <c r="N50" s="131" t="b">
        <v>0</v>
      </c>
      <c r="O50" s="80" t="str">
        <f t="shared" si="2"/>
        <v/>
      </c>
      <c r="P50" s="76"/>
      <c r="Q50" s="76"/>
      <c r="R50" s="76" t="b">
        <v>0</v>
      </c>
      <c r="S50" s="82" t="b">
        <v>0</v>
      </c>
      <c r="T50" s="76"/>
      <c r="U50" s="79"/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/>
      <c r="B51" s="76"/>
      <c r="C51" s="77"/>
      <c r="D51" s="76"/>
      <c r="E51" s="76"/>
      <c r="F51" s="76"/>
      <c r="G51" s="76"/>
      <c r="H51" s="76"/>
      <c r="I51" s="75"/>
      <c r="J51" s="78"/>
      <c r="K51" s="76"/>
      <c r="L51" s="79" t="b">
        <v>0</v>
      </c>
      <c r="M51" s="80" t="str">
        <f t="shared" si="1"/>
        <v/>
      </c>
      <c r="N51" s="131" t="b">
        <v>0</v>
      </c>
      <c r="O51" s="80" t="str">
        <f t="shared" si="2"/>
        <v/>
      </c>
      <c r="P51" s="76"/>
      <c r="Q51" s="76"/>
      <c r="R51" s="76" t="b">
        <v>0</v>
      </c>
      <c r="S51" s="82" t="b">
        <v>0</v>
      </c>
      <c r="T51" s="76"/>
      <c r="U51" s="79"/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/>
      <c r="B52" s="76"/>
      <c r="C52" s="77"/>
      <c r="D52" s="76"/>
      <c r="E52" s="76"/>
      <c r="F52" s="76"/>
      <c r="G52" s="76"/>
      <c r="H52" s="76"/>
      <c r="I52" s="75"/>
      <c r="J52" s="78"/>
      <c r="K52" s="76"/>
      <c r="L52" s="79" t="b">
        <v>0</v>
      </c>
      <c r="M52" s="80" t="str">
        <f t="shared" si="1"/>
        <v/>
      </c>
      <c r="N52" s="131" t="b">
        <v>0</v>
      </c>
      <c r="O52" s="80" t="str">
        <f t="shared" si="2"/>
        <v/>
      </c>
      <c r="P52" s="76"/>
      <c r="Q52" s="76"/>
      <c r="R52" s="76" t="b">
        <v>0</v>
      </c>
      <c r="S52" s="82" t="b">
        <v>0</v>
      </c>
      <c r="T52" s="76"/>
      <c r="U52" s="79"/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/>
      <c r="B53" s="76"/>
      <c r="C53" s="77"/>
      <c r="D53" s="76"/>
      <c r="E53" s="76"/>
      <c r="F53" s="76"/>
      <c r="G53" s="76"/>
      <c r="H53" s="76"/>
      <c r="I53" s="75"/>
      <c r="J53" s="78"/>
      <c r="K53" s="76"/>
      <c r="L53" s="79" t="b">
        <v>0</v>
      </c>
      <c r="M53" s="80" t="str">
        <f t="shared" si="1"/>
        <v/>
      </c>
      <c r="N53" s="131" t="b">
        <v>0</v>
      </c>
      <c r="O53" s="80" t="str">
        <f t="shared" si="2"/>
        <v/>
      </c>
      <c r="P53" s="76"/>
      <c r="Q53" s="76"/>
      <c r="R53" s="76" t="b">
        <v>0</v>
      </c>
      <c r="S53" s="82" t="b">
        <v>0</v>
      </c>
      <c r="T53" s="76"/>
      <c r="U53" s="79"/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/>
      <c r="B54" s="76"/>
      <c r="C54" s="77"/>
      <c r="D54" s="76"/>
      <c r="E54" s="76"/>
      <c r="F54" s="76"/>
      <c r="G54" s="76"/>
      <c r="H54" s="76"/>
      <c r="I54" s="75"/>
      <c r="J54" s="78"/>
      <c r="K54" s="76"/>
      <c r="L54" s="79" t="b">
        <v>0</v>
      </c>
      <c r="M54" s="80" t="str">
        <f t="shared" si="1"/>
        <v/>
      </c>
      <c r="N54" s="131" t="b">
        <v>0</v>
      </c>
      <c r="O54" s="80" t="str">
        <f t="shared" si="2"/>
        <v/>
      </c>
      <c r="P54" s="76"/>
      <c r="Q54" s="76"/>
      <c r="R54" s="76" t="b">
        <v>0</v>
      </c>
      <c r="S54" s="82" t="b">
        <v>0</v>
      </c>
      <c r="T54" s="76"/>
      <c r="U54" s="79"/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/>
      <c r="B55" s="76"/>
      <c r="C55" s="77"/>
      <c r="D55" s="76"/>
      <c r="E55" s="76"/>
      <c r="F55" s="76"/>
      <c r="G55" s="76"/>
      <c r="H55" s="76"/>
      <c r="I55" s="75"/>
      <c r="J55" s="78"/>
      <c r="K55" s="76"/>
      <c r="L55" s="79" t="b">
        <v>0</v>
      </c>
      <c r="M55" s="80" t="str">
        <f t="shared" si="1"/>
        <v/>
      </c>
      <c r="N55" s="131" t="b">
        <v>0</v>
      </c>
      <c r="O55" s="80" t="str">
        <f t="shared" si="2"/>
        <v/>
      </c>
      <c r="P55" s="76"/>
      <c r="Q55" s="76"/>
      <c r="R55" s="76" t="b">
        <v>0</v>
      </c>
      <c r="S55" s="82" t="b">
        <v>0</v>
      </c>
      <c r="T55" s="76"/>
      <c r="U55" s="79"/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/>
      <c r="B56" s="76"/>
      <c r="C56" s="77"/>
      <c r="D56" s="76"/>
      <c r="E56" s="76"/>
      <c r="F56" s="76"/>
      <c r="G56" s="76"/>
      <c r="H56" s="76"/>
      <c r="I56" s="75"/>
      <c r="J56" s="78"/>
      <c r="K56" s="76"/>
      <c r="L56" s="79" t="b">
        <v>0</v>
      </c>
      <c r="M56" s="80" t="str">
        <f t="shared" si="1"/>
        <v/>
      </c>
      <c r="N56" s="131" t="b">
        <v>0</v>
      </c>
      <c r="O56" s="80" t="str">
        <f t="shared" si="2"/>
        <v/>
      </c>
      <c r="P56" s="76"/>
      <c r="Q56" s="76"/>
      <c r="R56" s="76" t="b">
        <v>0</v>
      </c>
      <c r="S56" s="82" t="b">
        <v>0</v>
      </c>
      <c r="T56" s="76"/>
      <c r="U56" s="79"/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/>
      <c r="B57" s="76"/>
      <c r="C57" s="77"/>
      <c r="D57" s="76"/>
      <c r="E57" s="76"/>
      <c r="F57" s="76"/>
      <c r="G57" s="76"/>
      <c r="H57" s="76"/>
      <c r="I57" s="75"/>
      <c r="J57" s="78"/>
      <c r="K57" s="76"/>
      <c r="L57" s="79" t="b">
        <v>0</v>
      </c>
      <c r="M57" s="80" t="str">
        <f t="shared" si="1"/>
        <v/>
      </c>
      <c r="N57" s="131" t="b">
        <v>0</v>
      </c>
      <c r="O57" s="80" t="str">
        <f t="shared" si="2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/>
      <c r="B58" s="76"/>
      <c r="C58" s="77"/>
      <c r="D58" s="76"/>
      <c r="E58" s="76"/>
      <c r="F58" s="76"/>
      <c r="G58" s="76"/>
      <c r="H58" s="76"/>
      <c r="I58" s="75"/>
      <c r="J58" s="78"/>
      <c r="K58" s="76"/>
      <c r="L58" s="79" t="b">
        <v>0</v>
      </c>
      <c r="M58" s="80" t="str">
        <f t="shared" si="1"/>
        <v/>
      </c>
      <c r="N58" s="131" t="b">
        <v>0</v>
      </c>
      <c r="O58" s="80" t="str">
        <f t="shared" si="2"/>
        <v/>
      </c>
      <c r="P58" s="76"/>
      <c r="Q58" s="76"/>
      <c r="R58" s="76" t="b">
        <v>0</v>
      </c>
      <c r="S58" s="82" t="b">
        <v>0</v>
      </c>
      <c r="T58" s="76"/>
      <c r="U58" s="79"/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/>
      <c r="B59" s="76"/>
      <c r="C59" s="77"/>
      <c r="D59" s="76"/>
      <c r="E59" s="76"/>
      <c r="F59" s="76"/>
      <c r="G59" s="76"/>
      <c r="H59" s="76"/>
      <c r="I59" s="75"/>
      <c r="J59" s="78"/>
      <c r="K59" s="76"/>
      <c r="L59" s="79" t="b">
        <v>0</v>
      </c>
      <c r="M59" s="80" t="str">
        <f t="shared" si="1"/>
        <v/>
      </c>
      <c r="N59" s="131" t="b">
        <v>0</v>
      </c>
      <c r="O59" s="80" t="str">
        <f t="shared" si="2"/>
        <v/>
      </c>
      <c r="P59" s="76"/>
      <c r="Q59" s="76"/>
      <c r="R59" s="76" t="b">
        <v>0</v>
      </c>
      <c r="S59" s="82" t="b">
        <v>0</v>
      </c>
      <c r="T59" s="76"/>
      <c r="U59" s="79"/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/>
      <c r="B60" s="76"/>
      <c r="C60" s="77"/>
      <c r="D60" s="76"/>
      <c r="E60" s="76"/>
      <c r="F60" s="76"/>
      <c r="G60" s="76"/>
      <c r="H60" s="76"/>
      <c r="I60" s="75"/>
      <c r="J60" s="78"/>
      <c r="K60" s="76"/>
      <c r="L60" s="79" t="b">
        <v>0</v>
      </c>
      <c r="M60" s="80" t="str">
        <f t="shared" si="1"/>
        <v/>
      </c>
      <c r="N60" s="131" t="b">
        <v>0</v>
      </c>
      <c r="O60" s="80" t="str">
        <f t="shared" si="2"/>
        <v/>
      </c>
      <c r="P60" s="76"/>
      <c r="Q60" s="76"/>
      <c r="R60" s="76" t="b">
        <v>0</v>
      </c>
      <c r="S60" s="82" t="b">
        <v>0</v>
      </c>
      <c r="T60" s="76"/>
      <c r="U60" s="79"/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/>
      <c r="B61" s="76"/>
      <c r="C61" s="77"/>
      <c r="D61" s="76"/>
      <c r="E61" s="76"/>
      <c r="F61" s="76"/>
      <c r="G61" s="76"/>
      <c r="H61" s="76"/>
      <c r="I61" s="75"/>
      <c r="J61" s="78"/>
      <c r="K61" s="76"/>
      <c r="L61" s="79" t="b">
        <v>0</v>
      </c>
      <c r="M61" s="80" t="str">
        <f t="shared" si="1"/>
        <v/>
      </c>
      <c r="N61" s="131" t="b">
        <v>0</v>
      </c>
      <c r="O61" s="80" t="str">
        <f t="shared" si="2"/>
        <v/>
      </c>
      <c r="P61" s="76"/>
      <c r="Q61" s="76"/>
      <c r="R61" s="76" t="b">
        <v>0</v>
      </c>
      <c r="S61" s="82" t="b">
        <v>0</v>
      </c>
      <c r="T61" s="76"/>
      <c r="U61" s="79"/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/>
      <c r="B62" s="76"/>
      <c r="C62" s="77"/>
      <c r="D62" s="76"/>
      <c r="E62" s="76"/>
      <c r="F62" s="76"/>
      <c r="G62" s="76"/>
      <c r="H62" s="76"/>
      <c r="I62" s="75"/>
      <c r="J62" s="78"/>
      <c r="K62" s="76"/>
      <c r="L62" s="79" t="b">
        <v>0</v>
      </c>
      <c r="M62" s="80" t="str">
        <f t="shared" si="1"/>
        <v/>
      </c>
      <c r="N62" s="131" t="b">
        <v>0</v>
      </c>
      <c r="O62" s="80" t="str">
        <f t="shared" si="2"/>
        <v/>
      </c>
      <c r="P62" s="76"/>
      <c r="Q62" s="76"/>
      <c r="R62" s="76" t="b">
        <v>0</v>
      </c>
      <c r="S62" s="82" t="b">
        <v>0</v>
      </c>
      <c r="T62" s="76"/>
      <c r="U62" s="79"/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/>
      <c r="B63" s="76"/>
      <c r="C63" s="77"/>
      <c r="D63" s="76"/>
      <c r="E63" s="76"/>
      <c r="F63" s="76"/>
      <c r="G63" s="76"/>
      <c r="H63" s="76"/>
      <c r="I63" s="75"/>
      <c r="J63" s="78"/>
      <c r="K63" s="76"/>
      <c r="L63" s="79" t="b">
        <v>0</v>
      </c>
      <c r="M63" s="80" t="str">
        <f t="shared" si="1"/>
        <v/>
      </c>
      <c r="N63" s="131" t="b">
        <v>0</v>
      </c>
      <c r="O63" s="80" t="str">
        <f t="shared" si="2"/>
        <v/>
      </c>
      <c r="P63" s="76"/>
      <c r="Q63" s="76"/>
      <c r="R63" s="76" t="b">
        <v>0</v>
      </c>
      <c r="S63" s="82" t="b">
        <v>0</v>
      </c>
      <c r="T63" s="76"/>
      <c r="U63" s="79"/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/>
      <c r="B64" s="76"/>
      <c r="C64" s="77"/>
      <c r="D64" s="76"/>
      <c r="E64" s="76"/>
      <c r="F64" s="76"/>
      <c r="G64" s="76"/>
      <c r="H64" s="76"/>
      <c r="I64" s="75"/>
      <c r="J64" s="78"/>
      <c r="K64" s="76"/>
      <c r="L64" s="79" t="b">
        <v>0</v>
      </c>
      <c r="M64" s="80" t="str">
        <f t="shared" si="1"/>
        <v/>
      </c>
      <c r="N64" s="131" t="b">
        <v>0</v>
      </c>
      <c r="O64" s="80" t="str">
        <f t="shared" si="2"/>
        <v/>
      </c>
      <c r="P64" s="76"/>
      <c r="Q64" s="76"/>
      <c r="R64" s="76" t="b">
        <v>0</v>
      </c>
      <c r="S64" s="82" t="b">
        <v>0</v>
      </c>
      <c r="T64" s="76"/>
      <c r="U64" s="79"/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/>
      <c r="B65" s="76"/>
      <c r="C65" s="77"/>
      <c r="D65" s="76"/>
      <c r="E65" s="76"/>
      <c r="F65" s="76"/>
      <c r="G65" s="76"/>
      <c r="H65" s="76"/>
      <c r="I65" s="75"/>
      <c r="J65" s="78"/>
      <c r="K65" s="76"/>
      <c r="L65" s="79" t="b">
        <v>0</v>
      </c>
      <c r="M65" s="80" t="str">
        <f t="shared" si="1"/>
        <v/>
      </c>
      <c r="N65" s="131" t="b">
        <v>0</v>
      </c>
      <c r="O65" s="80" t="str">
        <f t="shared" si="2"/>
        <v/>
      </c>
      <c r="P65" s="76"/>
      <c r="Q65" s="76"/>
      <c r="R65" s="76" t="b">
        <v>0</v>
      </c>
      <c r="S65" s="82" t="b">
        <v>0</v>
      </c>
      <c r="T65" s="76"/>
      <c r="U65" s="79"/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/>
      <c r="B66" s="76"/>
      <c r="C66" s="77"/>
      <c r="D66" s="76"/>
      <c r="E66" s="76"/>
      <c r="F66" s="76"/>
      <c r="G66" s="76"/>
      <c r="H66" s="76"/>
      <c r="I66" s="75"/>
      <c r="J66" s="78"/>
      <c r="K66" s="76"/>
      <c r="L66" s="79" t="b">
        <v>0</v>
      </c>
      <c r="M66" s="80" t="str">
        <f t="shared" si="1"/>
        <v/>
      </c>
      <c r="N66" s="131" t="b">
        <v>0</v>
      </c>
      <c r="O66" s="80" t="str">
        <f t="shared" si="2"/>
        <v/>
      </c>
      <c r="P66" s="76"/>
      <c r="Q66" s="76"/>
      <c r="R66" s="76" t="b">
        <v>0</v>
      </c>
      <c r="S66" s="82" t="b">
        <v>0</v>
      </c>
      <c r="T66" s="76"/>
      <c r="U66" s="79"/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/>
      <c r="B67" s="76"/>
      <c r="C67" s="77"/>
      <c r="D67" s="76"/>
      <c r="E67" s="76"/>
      <c r="F67" s="76"/>
      <c r="G67" s="76"/>
      <c r="H67" s="76"/>
      <c r="I67" s="75"/>
      <c r="J67" s="78"/>
      <c r="K67" s="76"/>
      <c r="L67" s="79" t="b">
        <v>0</v>
      </c>
      <c r="M67" s="80" t="str">
        <f t="shared" si="1"/>
        <v/>
      </c>
      <c r="N67" s="131" t="b">
        <v>0</v>
      </c>
      <c r="O67" s="80" t="str">
        <f t="shared" si="2"/>
        <v/>
      </c>
      <c r="P67" s="76"/>
      <c r="Q67" s="76"/>
      <c r="R67" s="76" t="b">
        <v>0</v>
      </c>
      <c r="S67" s="82" t="b">
        <v>0</v>
      </c>
      <c r="T67" s="76"/>
      <c r="U67" s="79"/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/>
      <c r="B68" s="76"/>
      <c r="C68" s="77"/>
      <c r="D68" s="76"/>
      <c r="E68" s="76"/>
      <c r="F68" s="76"/>
      <c r="G68" s="76"/>
      <c r="H68" s="76"/>
      <c r="I68" s="75"/>
      <c r="J68" s="78"/>
      <c r="K68" s="76"/>
      <c r="L68" s="79" t="b">
        <v>0</v>
      </c>
      <c r="M68" s="80" t="str">
        <f t="shared" si="1"/>
        <v/>
      </c>
      <c r="N68" s="131" t="b">
        <v>0</v>
      </c>
      <c r="O68" s="80" t="str">
        <f t="shared" si="2"/>
        <v/>
      </c>
      <c r="P68" s="76"/>
      <c r="Q68" s="76"/>
      <c r="R68" s="76" t="b">
        <v>0</v>
      </c>
      <c r="S68" s="82" t="b">
        <v>0</v>
      </c>
      <c r="T68" s="76"/>
      <c r="U68" s="79"/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/>
      <c r="B69" s="76"/>
      <c r="C69" s="77"/>
      <c r="D69" s="76"/>
      <c r="E69" s="76"/>
      <c r="F69" s="76"/>
      <c r="G69" s="76"/>
      <c r="H69" s="76"/>
      <c r="I69" s="75"/>
      <c r="J69" s="78"/>
      <c r="K69" s="76"/>
      <c r="L69" s="79" t="b">
        <v>0</v>
      </c>
      <c r="M69" s="80" t="str">
        <f t="shared" si="1"/>
        <v/>
      </c>
      <c r="N69" s="131" t="b">
        <v>0</v>
      </c>
      <c r="O69" s="80" t="str">
        <f t="shared" si="2"/>
        <v/>
      </c>
      <c r="P69" s="76"/>
      <c r="Q69" s="76"/>
      <c r="R69" s="76" t="b">
        <v>0</v>
      </c>
      <c r="S69" s="82" t="b">
        <v>0</v>
      </c>
      <c r="T69" s="76"/>
      <c r="U69" s="79"/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/>
      <c r="B70" s="76"/>
      <c r="C70" s="77"/>
      <c r="D70" s="76"/>
      <c r="E70" s="76"/>
      <c r="F70" s="76"/>
      <c r="G70" s="76"/>
      <c r="H70" s="76"/>
      <c r="I70" s="75"/>
      <c r="J70" s="78"/>
      <c r="K70" s="76"/>
      <c r="L70" s="79" t="b">
        <v>0</v>
      </c>
      <c r="M70" s="80" t="str">
        <f t="shared" si="1"/>
        <v/>
      </c>
      <c r="N70" s="131" t="b">
        <v>0</v>
      </c>
      <c r="O70" s="80" t="str">
        <f t="shared" si="2"/>
        <v/>
      </c>
      <c r="P70" s="76"/>
      <c r="Q70" s="76"/>
      <c r="R70" s="76" t="b">
        <v>0</v>
      </c>
      <c r="S70" s="82" t="b">
        <v>0</v>
      </c>
      <c r="T70" s="76"/>
      <c r="U70" s="79"/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/>
      <c r="B71" s="76"/>
      <c r="C71" s="77"/>
      <c r="D71" s="76"/>
      <c r="E71" s="76"/>
      <c r="F71" s="76"/>
      <c r="G71" s="76"/>
      <c r="H71" s="76"/>
      <c r="I71" s="75"/>
      <c r="J71" s="78"/>
      <c r="K71" s="76"/>
      <c r="L71" s="79" t="b">
        <v>0</v>
      </c>
      <c r="M71" s="80" t="str">
        <f t="shared" si="1"/>
        <v/>
      </c>
      <c r="N71" s="131" t="b">
        <v>0</v>
      </c>
      <c r="O71" s="80" t="str">
        <f t="shared" si="2"/>
        <v/>
      </c>
      <c r="P71" s="76"/>
      <c r="Q71" s="76"/>
      <c r="R71" s="76" t="b">
        <v>0</v>
      </c>
      <c r="S71" s="82" t="b">
        <v>0</v>
      </c>
      <c r="T71" s="76"/>
      <c r="U71" s="79"/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/>
      <c r="B72" s="76"/>
      <c r="C72" s="77"/>
      <c r="D72" s="76"/>
      <c r="E72" s="76"/>
      <c r="F72" s="76"/>
      <c r="G72" s="76"/>
      <c r="H72" s="76"/>
      <c r="I72" s="75"/>
      <c r="J72" s="78"/>
      <c r="K72" s="76"/>
      <c r="L72" s="79" t="b">
        <v>0</v>
      </c>
      <c r="M72" s="80" t="str">
        <f t="shared" si="1"/>
        <v/>
      </c>
      <c r="N72" s="131" t="b">
        <v>0</v>
      </c>
      <c r="O72" s="80" t="str">
        <f t="shared" si="2"/>
        <v/>
      </c>
      <c r="P72" s="76"/>
      <c r="Q72" s="76"/>
      <c r="R72" s="76" t="b">
        <v>0</v>
      </c>
      <c r="S72" s="82" t="b">
        <v>0</v>
      </c>
      <c r="T72" s="76"/>
      <c r="U72" s="79"/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/>
      <c r="B73" s="76"/>
      <c r="C73" s="77"/>
      <c r="D73" s="76"/>
      <c r="E73" s="76"/>
      <c r="F73" s="76"/>
      <c r="G73" s="76"/>
      <c r="H73" s="76"/>
      <c r="I73" s="75"/>
      <c r="J73" s="78"/>
      <c r="K73" s="76"/>
      <c r="L73" s="79" t="b">
        <v>0</v>
      </c>
      <c r="M73" s="80" t="str">
        <f t="shared" si="1"/>
        <v/>
      </c>
      <c r="N73" s="131" t="b">
        <v>0</v>
      </c>
      <c r="O73" s="80" t="str">
        <f t="shared" si="2"/>
        <v/>
      </c>
      <c r="P73" s="76"/>
      <c r="Q73" s="76"/>
      <c r="R73" s="76" t="b">
        <v>0</v>
      </c>
      <c r="S73" s="82" t="b">
        <v>0</v>
      </c>
      <c r="T73" s="76"/>
      <c r="U73" s="79"/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/>
      <c r="B74" s="76"/>
      <c r="C74" s="77"/>
      <c r="D74" s="76"/>
      <c r="E74" s="76"/>
      <c r="F74" s="76"/>
      <c r="G74" s="76"/>
      <c r="H74" s="76"/>
      <c r="I74" s="75"/>
      <c r="J74" s="78"/>
      <c r="K74" s="76"/>
      <c r="L74" s="79" t="b">
        <v>0</v>
      </c>
      <c r="M74" s="80" t="str">
        <f t="shared" si="1"/>
        <v/>
      </c>
      <c r="N74" s="131" t="b">
        <v>0</v>
      </c>
      <c r="O74" s="80" t="str">
        <f t="shared" si="2"/>
        <v/>
      </c>
      <c r="P74" s="76"/>
      <c r="Q74" s="76"/>
      <c r="R74" s="76" t="b">
        <v>0</v>
      </c>
      <c r="S74" s="82" t="b">
        <v>0</v>
      </c>
      <c r="T74" s="76"/>
      <c r="U74" s="79"/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/>
      <c r="B75" s="76"/>
      <c r="C75" s="77"/>
      <c r="D75" s="76"/>
      <c r="E75" s="76"/>
      <c r="F75" s="76"/>
      <c r="G75" s="76"/>
      <c r="H75" s="76"/>
      <c r="I75" s="75"/>
      <c r="J75" s="78"/>
      <c r="K75" s="76"/>
      <c r="L75" s="79" t="b">
        <v>0</v>
      </c>
      <c r="M75" s="80" t="str">
        <f t="shared" si="1"/>
        <v/>
      </c>
      <c r="N75" s="131" t="b">
        <v>0</v>
      </c>
      <c r="O75" s="80" t="str">
        <f t="shared" si="2"/>
        <v/>
      </c>
      <c r="P75" s="76"/>
      <c r="Q75" s="76"/>
      <c r="R75" s="76" t="b">
        <v>0</v>
      </c>
      <c r="S75" s="82" t="b">
        <v>0</v>
      </c>
      <c r="T75" s="76"/>
      <c r="U75" s="79"/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/>
      <c r="B76" s="76"/>
      <c r="C76" s="77"/>
      <c r="D76" s="76"/>
      <c r="E76" s="76"/>
      <c r="F76" s="76"/>
      <c r="G76" s="76"/>
      <c r="H76" s="76"/>
      <c r="I76" s="75"/>
      <c r="J76" s="78"/>
      <c r="K76" s="76"/>
      <c r="L76" s="79" t="b">
        <v>0</v>
      </c>
      <c r="M76" s="80" t="str">
        <f t="shared" si="1"/>
        <v/>
      </c>
      <c r="N76" s="131" t="b">
        <v>0</v>
      </c>
      <c r="O76" s="80" t="str">
        <f t="shared" si="2"/>
        <v/>
      </c>
      <c r="P76" s="76"/>
      <c r="Q76" s="76"/>
      <c r="R76" s="76" t="b">
        <v>0</v>
      </c>
      <c r="S76" s="82" t="b">
        <v>0</v>
      </c>
      <c r="T76" s="76"/>
      <c r="U76" s="79"/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/>
      <c r="B77" s="76"/>
      <c r="C77" s="77"/>
      <c r="D77" s="76"/>
      <c r="E77" s="76"/>
      <c r="F77" s="76"/>
      <c r="G77" s="76"/>
      <c r="H77" s="76"/>
      <c r="I77" s="75"/>
      <c r="J77" s="78"/>
      <c r="K77" s="76"/>
      <c r="L77" s="79" t="b">
        <v>0</v>
      </c>
      <c r="M77" s="80" t="str">
        <f t="shared" si="1"/>
        <v/>
      </c>
      <c r="N77" s="131" t="b">
        <v>0</v>
      </c>
      <c r="O77" s="80" t="str">
        <f t="shared" si="2"/>
        <v/>
      </c>
      <c r="P77" s="76"/>
      <c r="Q77" s="76"/>
      <c r="R77" s="76" t="b">
        <v>0</v>
      </c>
      <c r="S77" s="82" t="b">
        <v>0</v>
      </c>
      <c r="T77" s="76"/>
      <c r="U77" s="79"/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/>
      <c r="B78" s="76"/>
      <c r="C78" s="77"/>
      <c r="D78" s="76"/>
      <c r="E78" s="76"/>
      <c r="F78" s="76"/>
      <c r="G78" s="76"/>
      <c r="H78" s="76"/>
      <c r="I78" s="75"/>
      <c r="J78" s="78"/>
      <c r="K78" s="76"/>
      <c r="L78" s="79" t="b">
        <v>0</v>
      </c>
      <c r="M78" s="80" t="str">
        <f t="shared" si="1"/>
        <v/>
      </c>
      <c r="N78" s="131" t="b">
        <v>0</v>
      </c>
      <c r="O78" s="80" t="str">
        <f t="shared" si="2"/>
        <v/>
      </c>
      <c r="P78" s="76"/>
      <c r="Q78" s="76"/>
      <c r="R78" s="76" t="b">
        <v>0</v>
      </c>
      <c r="S78" s="82" t="b">
        <v>0</v>
      </c>
      <c r="T78" s="76"/>
      <c r="U78" s="79"/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76"/>
      <c r="C79" s="77"/>
      <c r="D79" s="76"/>
      <c r="E79" s="76"/>
      <c r="F79" s="76"/>
      <c r="G79" s="76"/>
      <c r="H79" s="76"/>
      <c r="I79" s="75"/>
      <c r="J79" s="78"/>
      <c r="K79" s="76"/>
      <c r="L79" s="79" t="b">
        <v>0</v>
      </c>
      <c r="M79" s="80" t="str">
        <f t="shared" si="1"/>
        <v/>
      </c>
      <c r="N79" s="131" t="b">
        <v>0</v>
      </c>
      <c r="O79" s="80" t="str">
        <f t="shared" si="2"/>
        <v/>
      </c>
      <c r="P79" s="76"/>
      <c r="Q79" s="76"/>
      <c r="R79" s="76" t="b">
        <v>0</v>
      </c>
      <c r="S79" s="82" t="b">
        <v>0</v>
      </c>
      <c r="T79" s="76"/>
      <c r="U79" s="79"/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/>
      <c r="B80" s="76"/>
      <c r="C80" s="77"/>
      <c r="D80" s="76"/>
      <c r="E80" s="76"/>
      <c r="F80" s="76"/>
      <c r="G80" s="76"/>
      <c r="H80" s="76"/>
      <c r="I80" s="75"/>
      <c r="J80" s="78"/>
      <c r="K80" s="76"/>
      <c r="L80" s="79" t="b">
        <v>0</v>
      </c>
      <c r="M80" s="80" t="str">
        <f t="shared" si="1"/>
        <v/>
      </c>
      <c r="N80" s="131" t="b">
        <v>0</v>
      </c>
      <c r="O80" s="80" t="str">
        <f t="shared" si="2"/>
        <v/>
      </c>
      <c r="P80" s="76"/>
      <c r="Q80" s="76"/>
      <c r="R80" s="76" t="b">
        <v>0</v>
      </c>
      <c r="S80" s="82" t="b">
        <v>0</v>
      </c>
      <c r="T80" s="76"/>
      <c r="U80" s="79"/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76"/>
      <c r="C81" s="77"/>
      <c r="D81" s="76"/>
      <c r="E81" s="76"/>
      <c r="F81" s="76"/>
      <c r="G81" s="76"/>
      <c r="H81" s="76"/>
      <c r="I81" s="75"/>
      <c r="J81" s="78"/>
      <c r="K81" s="76"/>
      <c r="L81" s="79" t="b">
        <v>0</v>
      </c>
      <c r="M81" s="80" t="str">
        <f t="shared" si="1"/>
        <v/>
      </c>
      <c r="N81" s="131" t="b">
        <v>0</v>
      </c>
      <c r="O81" s="80" t="str">
        <f t="shared" si="2"/>
        <v/>
      </c>
      <c r="P81" s="76"/>
      <c r="Q81" s="76"/>
      <c r="R81" s="76" t="b">
        <v>0</v>
      </c>
      <c r="S81" s="82" t="b">
        <v>0</v>
      </c>
      <c r="T81" s="76"/>
      <c r="U81" s="79"/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/>
      <c r="B82" s="76"/>
      <c r="C82" s="77"/>
      <c r="D82" s="76"/>
      <c r="E82" s="76"/>
      <c r="F82" s="76"/>
      <c r="G82" s="76"/>
      <c r="H82" s="76"/>
      <c r="I82" s="75"/>
      <c r="J82" s="78"/>
      <c r="K82" s="76"/>
      <c r="L82" s="79" t="b">
        <v>0</v>
      </c>
      <c r="M82" s="80" t="str">
        <f t="shared" si="1"/>
        <v/>
      </c>
      <c r="N82" s="131" t="b">
        <v>0</v>
      </c>
      <c r="O82" s="80" t="str">
        <f t="shared" si="2"/>
        <v/>
      </c>
      <c r="P82" s="76"/>
      <c r="Q82" s="76"/>
      <c r="R82" s="76" t="b">
        <v>0</v>
      </c>
      <c r="S82" s="82" t="b">
        <v>0</v>
      </c>
      <c r="T82" s="76"/>
      <c r="U82" s="79"/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/>
      <c r="B83" s="76"/>
      <c r="C83" s="77"/>
      <c r="D83" s="76"/>
      <c r="E83" s="76"/>
      <c r="F83" s="76"/>
      <c r="G83" s="76"/>
      <c r="H83" s="76"/>
      <c r="I83" s="75"/>
      <c r="J83" s="78"/>
      <c r="K83" s="76"/>
      <c r="L83" s="79" t="b">
        <v>0</v>
      </c>
      <c r="M83" s="80" t="str">
        <f t="shared" si="1"/>
        <v/>
      </c>
      <c r="N83" s="79" t="b">
        <v>0</v>
      </c>
      <c r="O83" s="80" t="str">
        <f t="shared" si="2"/>
        <v/>
      </c>
      <c r="P83" s="76"/>
      <c r="Q83" s="76"/>
      <c r="R83" s="76" t="b">
        <v>0</v>
      </c>
      <c r="S83" s="82" t="b">
        <v>0</v>
      </c>
      <c r="T83" s="76"/>
      <c r="U83" s="79"/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/>
      <c r="B84" s="76"/>
      <c r="C84" s="77"/>
      <c r="D84" s="76"/>
      <c r="E84" s="76"/>
      <c r="F84" s="76"/>
      <c r="G84" s="76"/>
      <c r="H84" s="76"/>
      <c r="I84" s="75"/>
      <c r="J84" s="78"/>
      <c r="K84" s="76"/>
      <c r="L84" s="79" t="b">
        <v>0</v>
      </c>
      <c r="M84" s="80" t="str">
        <f t="shared" si="1"/>
        <v/>
      </c>
      <c r="N84" s="79" t="b">
        <v>0</v>
      </c>
      <c r="O84" s="80" t="str">
        <f t="shared" si="2"/>
        <v/>
      </c>
      <c r="P84" s="76"/>
      <c r="Q84" s="76"/>
      <c r="R84" s="76" t="b">
        <v>0</v>
      </c>
      <c r="S84" s="82" t="b">
        <v>0</v>
      </c>
      <c r="T84" s="76"/>
      <c r="U84" s="79"/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/>
      <c r="B85" s="76"/>
      <c r="C85" s="77"/>
      <c r="D85" s="76"/>
      <c r="E85" s="76"/>
      <c r="F85" s="76"/>
      <c r="G85" s="76"/>
      <c r="H85" s="76"/>
      <c r="I85" s="75"/>
      <c r="J85" s="78"/>
      <c r="K85" s="76"/>
      <c r="L85" s="79" t="b">
        <v>0</v>
      </c>
      <c r="M85" s="80" t="str">
        <f t="shared" si="1"/>
        <v/>
      </c>
      <c r="N85" s="79" t="b">
        <v>0</v>
      </c>
      <c r="O85" s="80" t="str">
        <f t="shared" si="2"/>
        <v/>
      </c>
      <c r="P85" s="76"/>
      <c r="Q85" s="76"/>
      <c r="R85" s="76" t="b">
        <v>0</v>
      </c>
      <c r="S85" s="82" t="b">
        <v>0</v>
      </c>
      <c r="T85" s="76"/>
      <c r="U85" s="79"/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/>
      <c r="B86" s="76"/>
      <c r="C86" s="77"/>
      <c r="D86" s="76"/>
      <c r="E86" s="76"/>
      <c r="F86" s="76"/>
      <c r="G86" s="76"/>
      <c r="H86" s="76"/>
      <c r="I86" s="75"/>
      <c r="J86" s="78"/>
      <c r="K86" s="76"/>
      <c r="L86" s="79" t="b">
        <v>0</v>
      </c>
      <c r="M86" s="80" t="str">
        <f t="shared" si="1"/>
        <v/>
      </c>
      <c r="N86" s="79" t="b">
        <v>0</v>
      </c>
      <c r="O86" s="80" t="str">
        <f t="shared" si="2"/>
        <v/>
      </c>
      <c r="P86" s="76"/>
      <c r="Q86" s="76"/>
      <c r="R86" s="76" t="b">
        <v>0</v>
      </c>
      <c r="S86" s="82" t="b">
        <v>0</v>
      </c>
      <c r="T86" s="76"/>
      <c r="U86" s="79"/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76"/>
      <c r="C87" s="77"/>
      <c r="D87" s="76"/>
      <c r="E87" s="76"/>
      <c r="F87" s="76"/>
      <c r="G87" s="76"/>
      <c r="H87" s="76"/>
      <c r="I87" s="75"/>
      <c r="J87" s="78"/>
      <c r="K87" s="76"/>
      <c r="L87" s="79" t="b">
        <v>0</v>
      </c>
      <c r="M87" s="80" t="str">
        <f t="shared" si="1"/>
        <v/>
      </c>
      <c r="N87" s="79" t="b">
        <v>0</v>
      </c>
      <c r="O87" s="80" t="str">
        <f t="shared" si="2"/>
        <v/>
      </c>
      <c r="P87" s="76"/>
      <c r="Q87" s="76"/>
      <c r="R87" s="76" t="b">
        <v>0</v>
      </c>
      <c r="S87" s="82" t="b">
        <v>0</v>
      </c>
      <c r="T87" s="76"/>
      <c r="U87" s="79"/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/>
      <c r="B88" s="76"/>
      <c r="C88" s="77"/>
      <c r="D88" s="76"/>
      <c r="E88" s="76"/>
      <c r="F88" s="76"/>
      <c r="G88" s="76"/>
      <c r="H88" s="76"/>
      <c r="I88" s="75"/>
      <c r="J88" s="78"/>
      <c r="K88" s="76"/>
      <c r="L88" s="79" t="b">
        <v>0</v>
      </c>
      <c r="M88" s="80" t="str">
        <f t="shared" si="1"/>
        <v/>
      </c>
      <c r="N88" s="79" t="b">
        <v>0</v>
      </c>
      <c r="O88" s="80" t="str">
        <f t="shared" si="2"/>
        <v/>
      </c>
      <c r="P88" s="76"/>
      <c r="Q88" s="76"/>
      <c r="R88" s="76" t="b">
        <v>0</v>
      </c>
      <c r="S88" s="82" t="b">
        <v>0</v>
      </c>
      <c r="T88" s="76"/>
      <c r="U88" s="79"/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76"/>
      <c r="C89" s="77"/>
      <c r="D89" s="76"/>
      <c r="E89" s="76"/>
      <c r="F89" s="76"/>
      <c r="G89" s="76"/>
      <c r="H89" s="76"/>
      <c r="I89" s="75"/>
      <c r="J89" s="78"/>
      <c r="K89" s="76"/>
      <c r="L89" s="79" t="b">
        <v>0</v>
      </c>
      <c r="M89" s="80" t="str">
        <f t="shared" si="1"/>
        <v/>
      </c>
      <c r="N89" s="79" t="b">
        <v>0</v>
      </c>
      <c r="O89" s="80" t="str">
        <f t="shared" si="2"/>
        <v/>
      </c>
      <c r="P89" s="76"/>
      <c r="Q89" s="76"/>
      <c r="R89" s="76" t="b">
        <v>0</v>
      </c>
      <c r="S89" s="82" t="b">
        <v>0</v>
      </c>
      <c r="T89" s="76"/>
      <c r="U89" s="79"/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/>
      <c r="B90" s="76"/>
      <c r="C90" s="77"/>
      <c r="D90" s="76"/>
      <c r="E90" s="76"/>
      <c r="F90" s="76"/>
      <c r="G90" s="76"/>
      <c r="H90" s="76"/>
      <c r="I90" s="75"/>
      <c r="J90" s="78"/>
      <c r="K90" s="76"/>
      <c r="L90" s="79" t="b">
        <v>0</v>
      </c>
      <c r="M90" s="80" t="str">
        <f t="shared" si="1"/>
        <v/>
      </c>
      <c r="N90" s="79" t="b">
        <v>0</v>
      </c>
      <c r="O90" s="80" t="str">
        <f t="shared" si="2"/>
        <v/>
      </c>
      <c r="P90" s="76"/>
      <c r="Q90" s="76"/>
      <c r="R90" s="76" t="b">
        <v>0</v>
      </c>
      <c r="S90" s="82" t="b">
        <v>0</v>
      </c>
      <c r="T90" s="76"/>
      <c r="U90" s="79"/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76"/>
      <c r="C91" s="77"/>
      <c r="D91" s="76"/>
      <c r="E91" s="76"/>
      <c r="F91" s="76"/>
      <c r="G91" s="76"/>
      <c r="H91" s="76"/>
      <c r="I91" s="75"/>
      <c r="J91" s="78"/>
      <c r="K91" s="76"/>
      <c r="L91" s="79" t="b">
        <v>0</v>
      </c>
      <c r="M91" s="80" t="str">
        <f t="shared" si="1"/>
        <v/>
      </c>
      <c r="N91" s="79" t="b">
        <v>0</v>
      </c>
      <c r="O91" s="80" t="str">
        <f t="shared" si="2"/>
        <v/>
      </c>
      <c r="P91" s="76"/>
      <c r="Q91" s="76"/>
      <c r="R91" s="76" t="b">
        <v>0</v>
      </c>
      <c r="S91" s="82" t="b">
        <v>0</v>
      </c>
      <c r="T91" s="76"/>
      <c r="U91" s="79"/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76"/>
      <c r="C92" s="77"/>
      <c r="D92" s="76"/>
      <c r="E92" s="76"/>
      <c r="F92" s="76"/>
      <c r="G92" s="76"/>
      <c r="H92" s="76"/>
      <c r="I92" s="75"/>
      <c r="J92" s="78"/>
      <c r="K92" s="76"/>
      <c r="L92" s="79" t="b">
        <v>0</v>
      </c>
      <c r="M92" s="80" t="str">
        <f t="shared" si="1"/>
        <v/>
      </c>
      <c r="N92" s="79" t="b">
        <v>0</v>
      </c>
      <c r="O92" s="80" t="str">
        <f t="shared" si="2"/>
        <v/>
      </c>
      <c r="P92" s="76"/>
      <c r="Q92" s="76"/>
      <c r="R92" s="76" t="b">
        <v>0</v>
      </c>
      <c r="S92" s="82" t="b">
        <v>0</v>
      </c>
      <c r="T92" s="76"/>
      <c r="U92" s="79"/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76"/>
      <c r="C93" s="77"/>
      <c r="D93" s="76"/>
      <c r="E93" s="76"/>
      <c r="F93" s="76"/>
      <c r="G93" s="76"/>
      <c r="H93" s="76"/>
      <c r="I93" s="75"/>
      <c r="J93" s="78"/>
      <c r="K93" s="76"/>
      <c r="L93" s="79" t="b">
        <v>0</v>
      </c>
      <c r="M93" s="80" t="str">
        <f t="shared" si="1"/>
        <v/>
      </c>
      <c r="N93" s="79" t="b">
        <v>0</v>
      </c>
      <c r="O93" s="80" t="str">
        <f t="shared" si="2"/>
        <v/>
      </c>
      <c r="P93" s="76"/>
      <c r="Q93" s="76"/>
      <c r="R93" s="76" t="b">
        <v>0</v>
      </c>
      <c r="S93" s="82" t="b">
        <v>0</v>
      </c>
      <c r="T93" s="76"/>
      <c r="U93" s="79"/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/>
      <c r="B94" s="76"/>
      <c r="C94" s="77"/>
      <c r="D94" s="76"/>
      <c r="E94" s="76"/>
      <c r="F94" s="76"/>
      <c r="G94" s="76"/>
      <c r="H94" s="76"/>
      <c r="I94" s="75"/>
      <c r="J94" s="78"/>
      <c r="K94" s="76"/>
      <c r="L94" s="79" t="b">
        <v>0</v>
      </c>
      <c r="M94" s="80" t="str">
        <f t="shared" si="1"/>
        <v/>
      </c>
      <c r="N94" s="79" t="b">
        <v>0</v>
      </c>
      <c r="O94" s="80" t="str">
        <f t="shared" si="2"/>
        <v/>
      </c>
      <c r="P94" s="76"/>
      <c r="Q94" s="76"/>
      <c r="R94" s="76" t="b">
        <v>0</v>
      </c>
      <c r="S94" s="82" t="b">
        <v>0</v>
      </c>
      <c r="T94" s="76"/>
      <c r="U94" s="79"/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/>
      <c r="B95" s="76"/>
      <c r="C95" s="77"/>
      <c r="D95" s="76"/>
      <c r="E95" s="76"/>
      <c r="F95" s="76"/>
      <c r="G95" s="76"/>
      <c r="H95" s="76"/>
      <c r="I95" s="75"/>
      <c r="J95" s="78"/>
      <c r="K95" s="76"/>
      <c r="L95" s="79" t="b">
        <v>0</v>
      </c>
      <c r="M95" s="80" t="str">
        <f t="shared" si="1"/>
        <v/>
      </c>
      <c r="N95" s="79" t="b">
        <v>0</v>
      </c>
      <c r="O95" s="80" t="str">
        <f t="shared" si="2"/>
        <v/>
      </c>
      <c r="P95" s="76"/>
      <c r="Q95" s="76"/>
      <c r="R95" s="76" t="b">
        <v>0</v>
      </c>
      <c r="S95" s="82" t="b">
        <v>0</v>
      </c>
      <c r="T95" s="76"/>
      <c r="U95" s="79"/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76"/>
      <c r="C96" s="77"/>
      <c r="D96" s="76"/>
      <c r="E96" s="76"/>
      <c r="F96" s="76"/>
      <c r="G96" s="76"/>
      <c r="H96" s="76"/>
      <c r="I96" s="75"/>
      <c r="J96" s="78"/>
      <c r="K96" s="76"/>
      <c r="L96" s="79" t="b">
        <v>0</v>
      </c>
      <c r="M96" s="80" t="str">
        <f t="shared" si="1"/>
        <v/>
      </c>
      <c r="N96" s="79" t="b">
        <v>0</v>
      </c>
      <c r="O96" s="80" t="str">
        <f t="shared" si="2"/>
        <v/>
      </c>
      <c r="P96" s="76"/>
      <c r="Q96" s="76"/>
      <c r="R96" s="76" t="b">
        <v>0</v>
      </c>
      <c r="S96" s="82" t="b">
        <v>0</v>
      </c>
      <c r="T96" s="76"/>
      <c r="U96" s="79"/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76"/>
      <c r="C97" s="77"/>
      <c r="D97" s="76"/>
      <c r="E97" s="76"/>
      <c r="F97" s="76"/>
      <c r="G97" s="76"/>
      <c r="H97" s="76"/>
      <c r="I97" s="75"/>
      <c r="J97" s="78"/>
      <c r="K97" s="76"/>
      <c r="L97" s="79" t="b">
        <v>0</v>
      </c>
      <c r="M97" s="80" t="str">
        <f t="shared" si="1"/>
        <v/>
      </c>
      <c r="N97" s="79" t="b">
        <v>0</v>
      </c>
      <c r="O97" s="80" t="str">
        <f t="shared" si="2"/>
        <v/>
      </c>
      <c r="P97" s="76"/>
      <c r="Q97" s="76"/>
      <c r="R97" s="76" t="b">
        <v>0</v>
      </c>
      <c r="S97" s="82" t="b">
        <v>0</v>
      </c>
      <c r="T97" s="76"/>
      <c r="U97" s="79"/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76"/>
      <c r="C98" s="77"/>
      <c r="D98" s="76"/>
      <c r="E98" s="76"/>
      <c r="F98" s="76"/>
      <c r="G98" s="76"/>
      <c r="H98" s="76"/>
      <c r="I98" s="75"/>
      <c r="J98" s="78"/>
      <c r="K98" s="76"/>
      <c r="L98" s="79" t="b">
        <v>0</v>
      </c>
      <c r="M98" s="80" t="str">
        <f t="shared" si="1"/>
        <v/>
      </c>
      <c r="N98" s="79" t="b">
        <v>0</v>
      </c>
      <c r="O98" s="80" t="str">
        <f t="shared" si="2"/>
        <v/>
      </c>
      <c r="P98" s="76"/>
      <c r="Q98" s="76"/>
      <c r="R98" s="76" t="b">
        <v>0</v>
      </c>
      <c r="S98" s="82" t="b">
        <v>0</v>
      </c>
      <c r="T98" s="76"/>
      <c r="U98" s="79"/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76"/>
      <c r="C99" s="77"/>
      <c r="D99" s="76"/>
      <c r="E99" s="76"/>
      <c r="F99" s="76"/>
      <c r="G99" s="76"/>
      <c r="H99" s="76"/>
      <c r="I99" s="75"/>
      <c r="J99" s="78"/>
      <c r="K99" s="76"/>
      <c r="L99" s="79" t="b">
        <v>0</v>
      </c>
      <c r="M99" s="80" t="str">
        <f t="shared" si="1"/>
        <v/>
      </c>
      <c r="N99" s="79" t="b">
        <v>0</v>
      </c>
      <c r="O99" s="80" t="str">
        <f t="shared" si="2"/>
        <v/>
      </c>
      <c r="P99" s="76"/>
      <c r="Q99" s="76"/>
      <c r="R99" s="76" t="b">
        <v>0</v>
      </c>
      <c r="S99" s="82" t="b">
        <v>0</v>
      </c>
      <c r="T99" s="76"/>
      <c r="U99" s="79"/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76"/>
      <c r="C100" s="77"/>
      <c r="D100" s="76"/>
      <c r="E100" s="76"/>
      <c r="F100" s="76"/>
      <c r="G100" s="76"/>
      <c r="H100" s="76"/>
      <c r="I100" s="75"/>
      <c r="J100" s="78"/>
      <c r="K100" s="76"/>
      <c r="L100" s="79" t="b">
        <v>0</v>
      </c>
      <c r="M100" s="80" t="str">
        <f t="shared" si="1"/>
        <v/>
      </c>
      <c r="N100" s="79" t="b">
        <v>0</v>
      </c>
      <c r="O100" s="80" t="str">
        <f t="shared" si="2"/>
        <v/>
      </c>
      <c r="P100" s="76"/>
      <c r="Q100" s="76"/>
      <c r="R100" s="76" t="b">
        <v>0</v>
      </c>
      <c r="S100" s="82" t="b">
        <v>0</v>
      </c>
      <c r="T100" s="76"/>
      <c r="U100" s="79"/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76"/>
      <c r="C101" s="77"/>
      <c r="D101" s="76"/>
      <c r="E101" s="76"/>
      <c r="F101" s="76"/>
      <c r="G101" s="76"/>
      <c r="H101" s="76"/>
      <c r="I101" s="75"/>
      <c r="J101" s="78"/>
      <c r="K101" s="76"/>
      <c r="L101" s="79" t="b">
        <v>0</v>
      </c>
      <c r="M101" s="80" t="str">
        <f t="shared" si="1"/>
        <v/>
      </c>
      <c r="N101" s="79" t="b">
        <v>0</v>
      </c>
      <c r="O101" s="80" t="str">
        <f t="shared" si="2"/>
        <v/>
      </c>
      <c r="P101" s="76"/>
      <c r="Q101" s="76"/>
      <c r="R101" s="76" t="b">
        <v>0</v>
      </c>
      <c r="S101" s="82" t="b">
        <v>0</v>
      </c>
      <c r="T101" s="76"/>
      <c r="U101" s="79"/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76"/>
      <c r="C102" s="77"/>
      <c r="D102" s="76"/>
      <c r="E102" s="76"/>
      <c r="F102" s="76"/>
      <c r="G102" s="76"/>
      <c r="H102" s="76"/>
      <c r="I102" s="75"/>
      <c r="J102" s="78"/>
      <c r="K102" s="76"/>
      <c r="L102" s="79" t="b">
        <v>0</v>
      </c>
      <c r="M102" s="80" t="str">
        <f t="shared" si="1"/>
        <v/>
      </c>
      <c r="N102" s="79" t="b">
        <v>0</v>
      </c>
      <c r="O102" s="80" t="str">
        <f t="shared" si="2"/>
        <v/>
      </c>
      <c r="P102" s="76"/>
      <c r="Q102" s="76"/>
      <c r="R102" s="76" t="b">
        <v>0</v>
      </c>
      <c r="S102" s="82" t="b">
        <v>0</v>
      </c>
      <c r="T102" s="76"/>
      <c r="U102" s="79"/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76"/>
      <c r="C103" s="77"/>
      <c r="D103" s="76"/>
      <c r="E103" s="76"/>
      <c r="F103" s="76"/>
      <c r="G103" s="76"/>
      <c r="H103" s="76"/>
      <c r="I103" s="75"/>
      <c r="J103" s="78"/>
      <c r="K103" s="76"/>
      <c r="L103" s="79" t="b">
        <v>0</v>
      </c>
      <c r="M103" s="80" t="str">
        <f t="shared" si="1"/>
        <v/>
      </c>
      <c r="N103" s="79" t="b">
        <v>0</v>
      </c>
      <c r="O103" s="80" t="str">
        <f t="shared" si="2"/>
        <v/>
      </c>
      <c r="P103" s="76"/>
      <c r="Q103" s="76"/>
      <c r="R103" s="76" t="b">
        <v>0</v>
      </c>
      <c r="S103" s="82" t="b">
        <v>0</v>
      </c>
      <c r="T103" s="76"/>
      <c r="U103" s="79"/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76"/>
      <c r="C104" s="77"/>
      <c r="D104" s="76"/>
      <c r="E104" s="76"/>
      <c r="F104" s="76"/>
      <c r="G104" s="76"/>
      <c r="H104" s="76"/>
      <c r="I104" s="75"/>
      <c r="J104" s="78"/>
      <c r="K104" s="76"/>
      <c r="L104" s="79" t="b">
        <v>0</v>
      </c>
      <c r="M104" s="80" t="str">
        <f t="shared" si="1"/>
        <v/>
      </c>
      <c r="N104" s="79" t="b">
        <v>0</v>
      </c>
      <c r="O104" s="80" t="str">
        <f t="shared" si="2"/>
        <v/>
      </c>
      <c r="P104" s="76"/>
      <c r="Q104" s="76"/>
      <c r="R104" s="76" t="b">
        <v>0</v>
      </c>
      <c r="S104" s="82" t="b">
        <v>0</v>
      </c>
      <c r="T104" s="76"/>
      <c r="U104" s="79"/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76"/>
      <c r="C105" s="77"/>
      <c r="D105" s="76"/>
      <c r="E105" s="76"/>
      <c r="F105" s="76"/>
      <c r="G105" s="76"/>
      <c r="H105" s="76"/>
      <c r="I105" s="75"/>
      <c r="J105" s="78"/>
      <c r="K105" s="76"/>
      <c r="L105" s="79" t="b">
        <v>0</v>
      </c>
      <c r="M105" s="80" t="str">
        <f t="shared" si="1"/>
        <v/>
      </c>
      <c r="N105" s="79" t="b">
        <v>0</v>
      </c>
      <c r="O105" s="80" t="str">
        <f t="shared" si="2"/>
        <v/>
      </c>
      <c r="P105" s="76"/>
      <c r="Q105" s="76"/>
      <c r="R105" s="76" t="b">
        <v>0</v>
      </c>
      <c r="S105" s="82" t="b">
        <v>0</v>
      </c>
      <c r="T105" s="76"/>
      <c r="U105" s="79"/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/>
      <c r="B106" s="76"/>
      <c r="C106" s="77"/>
      <c r="D106" s="76"/>
      <c r="E106" s="76"/>
      <c r="F106" s="76"/>
      <c r="G106" s="76"/>
      <c r="H106" s="76"/>
      <c r="I106" s="75"/>
      <c r="J106" s="78"/>
      <c r="K106" s="76"/>
      <c r="L106" s="79" t="b">
        <v>0</v>
      </c>
      <c r="M106" s="80" t="str">
        <f t="shared" si="1"/>
        <v/>
      </c>
      <c r="N106" s="79" t="b">
        <v>0</v>
      </c>
      <c r="O106" s="80" t="str">
        <f t="shared" si="2"/>
        <v/>
      </c>
      <c r="P106" s="76"/>
      <c r="Q106" s="76"/>
      <c r="R106" s="76" t="b">
        <v>0</v>
      </c>
      <c r="S106" s="82" t="b">
        <v>0</v>
      </c>
      <c r="T106" s="76"/>
      <c r="U106" s="79"/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/>
      <c r="B107" s="76"/>
      <c r="C107" s="77"/>
      <c r="D107" s="76"/>
      <c r="E107" s="76"/>
      <c r="F107" s="76"/>
      <c r="G107" s="76"/>
      <c r="H107" s="76"/>
      <c r="I107" s="75"/>
      <c r="J107" s="78"/>
      <c r="K107" s="76"/>
      <c r="L107" s="79" t="b">
        <v>0</v>
      </c>
      <c r="M107" s="80" t="str">
        <f t="shared" si="1"/>
        <v/>
      </c>
      <c r="N107" s="79" t="b">
        <v>0</v>
      </c>
      <c r="O107" s="80" t="str">
        <f t="shared" si="2"/>
        <v/>
      </c>
      <c r="P107" s="76"/>
      <c r="Q107" s="76"/>
      <c r="R107" s="76" t="b">
        <v>0</v>
      </c>
      <c r="S107" s="82" t="b">
        <v>0</v>
      </c>
      <c r="T107" s="76"/>
      <c r="U107" s="79"/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/>
      <c r="B108" s="76"/>
      <c r="C108" s="77"/>
      <c r="D108" s="76"/>
      <c r="E108" s="76"/>
      <c r="F108" s="76"/>
      <c r="G108" s="76"/>
      <c r="H108" s="76"/>
      <c r="I108" s="75"/>
      <c r="J108" s="78"/>
      <c r="K108" s="76"/>
      <c r="L108" s="79" t="b">
        <v>0</v>
      </c>
      <c r="M108" s="80" t="str">
        <f t="shared" si="1"/>
        <v/>
      </c>
      <c r="N108" s="79" t="b">
        <v>0</v>
      </c>
      <c r="O108" s="80" t="str">
        <f t="shared" si="2"/>
        <v/>
      </c>
      <c r="P108" s="76"/>
      <c r="Q108" s="76"/>
      <c r="R108" s="76" t="b">
        <v>0</v>
      </c>
      <c r="S108" s="82" t="b">
        <v>0</v>
      </c>
      <c r="T108" s="76"/>
      <c r="U108" s="79"/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/>
      <c r="B109" s="76"/>
      <c r="C109" s="77"/>
      <c r="D109" s="76"/>
      <c r="E109" s="76"/>
      <c r="F109" s="76"/>
      <c r="G109" s="76"/>
      <c r="H109" s="76"/>
      <c r="I109" s="75"/>
      <c r="J109" s="78"/>
      <c r="K109" s="76"/>
      <c r="L109" s="79" t="b">
        <v>0</v>
      </c>
      <c r="M109" s="80" t="str">
        <f t="shared" si="1"/>
        <v/>
      </c>
      <c r="N109" s="79" t="b">
        <v>0</v>
      </c>
      <c r="O109" s="80" t="str">
        <f t="shared" si="2"/>
        <v/>
      </c>
      <c r="P109" s="76"/>
      <c r="Q109" s="76"/>
      <c r="R109" s="76" t="b">
        <v>0</v>
      </c>
      <c r="S109" s="82" t="b">
        <v>0</v>
      </c>
      <c r="T109" s="76"/>
      <c r="U109" s="79"/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/>
      <c r="B110" s="76"/>
      <c r="C110" s="77"/>
      <c r="D110" s="76"/>
      <c r="E110" s="76"/>
      <c r="F110" s="76"/>
      <c r="G110" s="76"/>
      <c r="H110" s="76"/>
      <c r="I110" s="75"/>
      <c r="J110" s="78"/>
      <c r="K110" s="76"/>
      <c r="L110" s="79" t="b">
        <v>0</v>
      </c>
      <c r="M110" s="80" t="str">
        <f t="shared" si="1"/>
        <v/>
      </c>
      <c r="N110" s="79" t="b">
        <v>0</v>
      </c>
      <c r="O110" s="80" t="str">
        <f t="shared" si="2"/>
        <v/>
      </c>
      <c r="P110" s="76"/>
      <c r="Q110" s="76"/>
      <c r="R110" s="76" t="b">
        <v>0</v>
      </c>
      <c r="S110" s="82" t="b">
        <v>0</v>
      </c>
      <c r="T110" s="76"/>
      <c r="U110" s="79"/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/>
      <c r="B111" s="76"/>
      <c r="C111" s="77"/>
      <c r="D111" s="76"/>
      <c r="E111" s="76"/>
      <c r="F111" s="76"/>
      <c r="G111" s="76"/>
      <c r="H111" s="76"/>
      <c r="I111" s="75"/>
      <c r="J111" s="78"/>
      <c r="K111" s="76"/>
      <c r="L111" s="79" t="b">
        <v>0</v>
      </c>
      <c r="M111" s="80" t="str">
        <f t="shared" si="1"/>
        <v/>
      </c>
      <c r="N111" s="79" t="b">
        <v>0</v>
      </c>
      <c r="O111" s="80" t="str">
        <f t="shared" si="2"/>
        <v/>
      </c>
      <c r="P111" s="76"/>
      <c r="Q111" s="76"/>
      <c r="R111" s="76" t="b">
        <v>0</v>
      </c>
      <c r="S111" s="82" t="b">
        <v>0</v>
      </c>
      <c r="T111" s="76"/>
      <c r="U111" s="79"/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/>
      <c r="B112" s="76"/>
      <c r="C112" s="77"/>
      <c r="D112" s="76"/>
      <c r="E112" s="76"/>
      <c r="F112" s="76"/>
      <c r="G112" s="76"/>
      <c r="H112" s="76"/>
      <c r="I112" s="75"/>
      <c r="J112" s="78"/>
      <c r="K112" s="76"/>
      <c r="L112" s="79" t="b">
        <v>0</v>
      </c>
      <c r="M112" s="80" t="str">
        <f t="shared" si="1"/>
        <v/>
      </c>
      <c r="N112" s="79" t="b">
        <v>0</v>
      </c>
      <c r="O112" s="80" t="str">
        <f t="shared" si="2"/>
        <v/>
      </c>
      <c r="P112" s="76"/>
      <c r="Q112" s="76"/>
      <c r="R112" s="76" t="b">
        <v>0</v>
      </c>
      <c r="S112" s="82" t="b">
        <v>0</v>
      </c>
      <c r="T112" s="76"/>
      <c r="U112" s="79"/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/>
      <c r="B113" s="76"/>
      <c r="C113" s="77"/>
      <c r="D113" s="76"/>
      <c r="E113" s="76"/>
      <c r="F113" s="76"/>
      <c r="G113" s="76"/>
      <c r="H113" s="76"/>
      <c r="I113" s="75"/>
      <c r="J113" s="78"/>
      <c r="K113" s="76"/>
      <c r="L113" s="79" t="b">
        <v>0</v>
      </c>
      <c r="M113" s="80" t="str">
        <f t="shared" si="1"/>
        <v/>
      </c>
      <c r="N113" s="79" t="b">
        <v>0</v>
      </c>
      <c r="O113" s="80" t="str">
        <f t="shared" si="2"/>
        <v/>
      </c>
      <c r="P113" s="76"/>
      <c r="Q113" s="76"/>
      <c r="R113" s="76" t="b">
        <v>0</v>
      </c>
      <c r="S113" s="82" t="b">
        <v>0</v>
      </c>
      <c r="T113" s="76"/>
      <c r="U113" s="79"/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/>
      <c r="B114" s="91"/>
      <c r="C114" s="92"/>
      <c r="D114" s="136"/>
      <c r="E114" s="94"/>
      <c r="F114" s="136"/>
      <c r="G114" s="137"/>
      <c r="H114" s="91"/>
      <c r="I114" s="75"/>
      <c r="J114" s="78"/>
      <c r="K114" s="76"/>
      <c r="L114" s="79" t="b">
        <v>0</v>
      </c>
      <c r="M114" s="80" t="str">
        <f t="shared" si="1"/>
        <v/>
      </c>
      <c r="N114" s="79" t="b">
        <v>0</v>
      </c>
      <c r="O114" s="80" t="str">
        <f t="shared" si="2"/>
        <v/>
      </c>
      <c r="P114" s="76"/>
      <c r="Q114" s="76"/>
      <c r="R114" s="76" t="b">
        <v>0</v>
      </c>
      <c r="S114" s="82" t="b">
        <v>0</v>
      </c>
      <c r="T114" s="76"/>
      <c r="U114" s="79"/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/>
      <c r="B115" s="76"/>
      <c r="C115" s="77"/>
      <c r="D115" s="76"/>
      <c r="E115" s="76"/>
      <c r="F115" s="76"/>
      <c r="G115" s="76"/>
      <c r="H115" s="76"/>
      <c r="I115" s="75"/>
      <c r="J115" s="78"/>
      <c r="K115" s="76"/>
      <c r="L115" s="79" t="b">
        <v>0</v>
      </c>
      <c r="M115" s="80" t="str">
        <f t="shared" si="1"/>
        <v/>
      </c>
      <c r="N115" s="79" t="b">
        <v>0</v>
      </c>
      <c r="O115" s="80" t="str">
        <f t="shared" si="2"/>
        <v/>
      </c>
      <c r="P115" s="76"/>
      <c r="Q115" s="76"/>
      <c r="R115" s="76" t="b">
        <v>0</v>
      </c>
      <c r="S115" s="82" t="b">
        <v>0</v>
      </c>
      <c r="T115" s="76"/>
      <c r="U115" s="79"/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/>
      <c r="B116" s="76"/>
      <c r="C116" s="77"/>
      <c r="D116" s="76"/>
      <c r="E116" s="76"/>
      <c r="F116" s="76"/>
      <c r="G116" s="76"/>
      <c r="H116" s="76"/>
      <c r="I116" s="75"/>
      <c r="J116" s="78"/>
      <c r="K116" s="76"/>
      <c r="L116" s="79" t="b">
        <v>0</v>
      </c>
      <c r="M116" s="80" t="str">
        <f t="shared" si="1"/>
        <v/>
      </c>
      <c r="N116" s="79" t="b">
        <v>0</v>
      </c>
      <c r="O116" s="80" t="str">
        <f t="shared" si="2"/>
        <v/>
      </c>
      <c r="P116" s="76"/>
      <c r="Q116" s="76"/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/>
      <c r="B117" s="76"/>
      <c r="C117" s="77"/>
      <c r="D117" s="76"/>
      <c r="E117" s="76"/>
      <c r="F117" s="76"/>
      <c r="G117" s="76"/>
      <c r="H117" s="76"/>
      <c r="I117" s="75"/>
      <c r="J117" s="78"/>
      <c r="K117" s="76"/>
      <c r="L117" s="79" t="b">
        <v>0</v>
      </c>
      <c r="M117" s="80" t="str">
        <f t="shared" si="1"/>
        <v/>
      </c>
      <c r="N117" s="79" t="b">
        <v>0</v>
      </c>
      <c r="O117" s="80" t="str">
        <f t="shared" si="2"/>
        <v/>
      </c>
      <c r="P117" s="76"/>
      <c r="Q117" s="76"/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/>
      <c r="B118" s="76"/>
      <c r="C118" s="77"/>
      <c r="D118" s="76"/>
      <c r="E118" s="76"/>
      <c r="F118" s="76"/>
      <c r="G118" s="76"/>
      <c r="H118" s="76"/>
      <c r="I118" s="75"/>
      <c r="J118" s="78"/>
      <c r="K118" s="76"/>
      <c r="L118" s="79" t="b">
        <v>0</v>
      </c>
      <c r="M118" s="80" t="str">
        <f t="shared" si="1"/>
        <v/>
      </c>
      <c r="N118" s="79" t="b">
        <v>0</v>
      </c>
      <c r="O118" s="80" t="str">
        <f t="shared" si="2"/>
        <v/>
      </c>
      <c r="P118" s="76"/>
      <c r="Q118" s="76"/>
      <c r="R118" s="76" t="b">
        <v>0</v>
      </c>
      <c r="S118" s="82" t="b">
        <v>0</v>
      </c>
      <c r="T118" s="76"/>
      <c r="U118" s="79"/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/>
      <c r="B119" s="76"/>
      <c r="C119" s="77"/>
      <c r="D119" s="76"/>
      <c r="E119" s="76"/>
      <c r="F119" s="76"/>
      <c r="G119" s="76"/>
      <c r="H119" s="76"/>
      <c r="I119" s="75"/>
      <c r="J119" s="78"/>
      <c r="K119" s="76"/>
      <c r="L119" s="79" t="b">
        <v>0</v>
      </c>
      <c r="M119" s="80" t="str">
        <f t="shared" si="1"/>
        <v/>
      </c>
      <c r="N119" s="79" t="b">
        <v>0</v>
      </c>
      <c r="O119" s="80" t="str">
        <f t="shared" si="2"/>
        <v/>
      </c>
      <c r="P119" s="76"/>
      <c r="Q119" s="76"/>
      <c r="R119" s="76" t="b">
        <v>0</v>
      </c>
      <c r="S119" s="82" t="b">
        <v>0</v>
      </c>
      <c r="T119" s="76"/>
      <c r="U119" s="79"/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/>
      <c r="B120" s="76"/>
      <c r="C120" s="77"/>
      <c r="D120" s="76"/>
      <c r="E120" s="76"/>
      <c r="F120" s="76"/>
      <c r="G120" s="76"/>
      <c r="H120" s="76"/>
      <c r="I120" s="75"/>
      <c r="J120" s="78"/>
      <c r="K120" s="76"/>
      <c r="L120" s="79" t="b">
        <v>0</v>
      </c>
      <c r="M120" s="80" t="str">
        <f t="shared" si="1"/>
        <v/>
      </c>
      <c r="N120" s="79" t="b">
        <v>0</v>
      </c>
      <c r="O120" s="80" t="str">
        <f t="shared" si="2"/>
        <v/>
      </c>
      <c r="P120" s="76"/>
      <c r="Q120" s="76"/>
      <c r="R120" s="76" t="b">
        <v>0</v>
      </c>
      <c r="S120" s="82" t="b">
        <v>0</v>
      </c>
      <c r="T120" s="76"/>
      <c r="U120" s="79"/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/>
      <c r="B121" s="76"/>
      <c r="C121" s="77"/>
      <c r="D121" s="76"/>
      <c r="E121" s="76"/>
      <c r="F121" s="76"/>
      <c r="G121" s="76"/>
      <c r="H121" s="76"/>
      <c r="I121" s="75"/>
      <c r="J121" s="78"/>
      <c r="K121" s="76"/>
      <c r="L121" s="79" t="b">
        <v>0</v>
      </c>
      <c r="M121" s="80" t="str">
        <f t="shared" si="1"/>
        <v/>
      </c>
      <c r="N121" s="79" t="b">
        <v>0</v>
      </c>
      <c r="O121" s="80" t="str">
        <f t="shared" si="2"/>
        <v/>
      </c>
      <c r="P121" s="76"/>
      <c r="Q121" s="76"/>
      <c r="R121" s="76" t="b">
        <v>0</v>
      </c>
      <c r="S121" s="82" t="b">
        <v>0</v>
      </c>
      <c r="T121" s="76"/>
      <c r="U121" s="79"/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/>
      <c r="B122" s="76"/>
      <c r="C122" s="77"/>
      <c r="D122" s="76"/>
      <c r="E122" s="76"/>
      <c r="F122" s="76"/>
      <c r="G122" s="76"/>
      <c r="H122" s="76"/>
      <c r="I122" s="75"/>
      <c r="J122" s="78"/>
      <c r="K122" s="76"/>
      <c r="L122" s="79" t="b">
        <v>0</v>
      </c>
      <c r="M122" s="80" t="str">
        <f t="shared" si="1"/>
        <v/>
      </c>
      <c r="N122" s="79" t="b">
        <v>0</v>
      </c>
      <c r="O122" s="80" t="str">
        <f t="shared" si="2"/>
        <v/>
      </c>
      <c r="P122" s="76"/>
      <c r="Q122" s="76"/>
      <c r="R122" s="76" t="b">
        <v>0</v>
      </c>
      <c r="S122" s="82" t="b">
        <v>0</v>
      </c>
      <c r="T122" s="76"/>
      <c r="U122" s="79"/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/>
      <c r="B123" s="76"/>
      <c r="C123" s="77"/>
      <c r="D123" s="76"/>
      <c r="E123" s="76"/>
      <c r="F123" s="76"/>
      <c r="G123" s="76"/>
      <c r="H123" s="76"/>
      <c r="I123" s="75"/>
      <c r="J123" s="78"/>
      <c r="K123" s="76"/>
      <c r="L123" s="79" t="b">
        <v>0</v>
      </c>
      <c r="M123" s="80" t="str">
        <f t="shared" si="1"/>
        <v/>
      </c>
      <c r="N123" s="79" t="b">
        <v>0</v>
      </c>
      <c r="O123" s="80" t="str">
        <f t="shared" si="2"/>
        <v/>
      </c>
      <c r="P123" s="76"/>
      <c r="Q123" s="76"/>
      <c r="R123" s="76" t="b">
        <v>0</v>
      </c>
      <c r="S123" s="82" t="b">
        <v>0</v>
      </c>
      <c r="T123" s="76"/>
      <c r="U123" s="79"/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/>
      <c r="B124" s="76"/>
      <c r="C124" s="77"/>
      <c r="D124" s="76"/>
      <c r="E124" s="76"/>
      <c r="F124" s="76"/>
      <c r="G124" s="76"/>
      <c r="H124" s="76"/>
      <c r="I124" s="75"/>
      <c r="J124" s="78"/>
      <c r="K124" s="76"/>
      <c r="L124" s="79" t="b">
        <v>0</v>
      </c>
      <c r="M124" s="80" t="str">
        <f t="shared" si="1"/>
        <v/>
      </c>
      <c r="N124" s="79" t="b">
        <v>0</v>
      </c>
      <c r="O124" s="80" t="str">
        <f t="shared" si="2"/>
        <v/>
      </c>
      <c r="P124" s="76"/>
      <c r="Q124" s="76"/>
      <c r="R124" s="76" t="b">
        <v>0</v>
      </c>
      <c r="S124" s="82" t="b">
        <v>0</v>
      </c>
      <c r="T124" s="76"/>
      <c r="U124" s="79"/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/>
      <c r="B125" s="76"/>
      <c r="C125" s="77"/>
      <c r="D125" s="76"/>
      <c r="E125" s="76"/>
      <c r="F125" s="76"/>
      <c r="G125" s="76"/>
      <c r="H125" s="76"/>
      <c r="I125" s="75"/>
      <c r="J125" s="78"/>
      <c r="K125" s="76"/>
      <c r="L125" s="79" t="b">
        <v>0</v>
      </c>
      <c r="M125" s="80" t="str">
        <f t="shared" si="1"/>
        <v/>
      </c>
      <c r="N125" s="79" t="b">
        <v>0</v>
      </c>
      <c r="O125" s="80" t="str">
        <f t="shared" si="2"/>
        <v/>
      </c>
      <c r="P125" s="76"/>
      <c r="Q125" s="76"/>
      <c r="R125" s="76" t="b">
        <v>0</v>
      </c>
      <c r="S125" s="82" t="b">
        <v>0</v>
      </c>
      <c r="T125" s="76"/>
      <c r="U125" s="79"/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 t="b">
        <v>0</v>
      </c>
      <c r="M126" s="80" t="str">
        <f t="shared" si="1"/>
        <v/>
      </c>
      <c r="N126" s="79" t="b">
        <v>0</v>
      </c>
      <c r="O126" s="80" t="str">
        <f t="shared" si="2"/>
        <v/>
      </c>
      <c r="P126" s="76"/>
      <c r="Q126" s="76"/>
      <c r="R126" s="76" t="b">
        <v>0</v>
      </c>
      <c r="S126" s="82" t="b">
        <v>0</v>
      </c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/>
      <c r="B127" s="76"/>
      <c r="C127" s="77"/>
      <c r="D127" s="76"/>
      <c r="E127" s="76"/>
      <c r="F127" s="76"/>
      <c r="G127" s="76"/>
      <c r="H127" s="76"/>
      <c r="I127" s="75"/>
      <c r="J127" s="78"/>
      <c r="K127" s="76"/>
      <c r="L127" s="79" t="b">
        <v>0</v>
      </c>
      <c r="M127" s="80" t="str">
        <f t="shared" si="1"/>
        <v/>
      </c>
      <c r="N127" s="79" t="b">
        <v>0</v>
      </c>
      <c r="O127" s="80" t="str">
        <f t="shared" si="2"/>
        <v/>
      </c>
      <c r="P127" s="76"/>
      <c r="Q127" s="76"/>
      <c r="R127" s="76" t="b">
        <v>0</v>
      </c>
      <c r="S127" s="82" t="b">
        <v>0</v>
      </c>
      <c r="T127" s="76"/>
      <c r="U127" s="79"/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/>
      <c r="B128" s="76"/>
      <c r="C128" s="77"/>
      <c r="D128" s="76"/>
      <c r="E128" s="76"/>
      <c r="F128" s="76"/>
      <c r="G128" s="76"/>
      <c r="H128" s="76"/>
      <c r="I128" s="75"/>
      <c r="J128" s="78"/>
      <c r="K128" s="76"/>
      <c r="L128" s="79" t="b">
        <v>0</v>
      </c>
      <c r="M128" s="80" t="str">
        <f t="shared" si="1"/>
        <v/>
      </c>
      <c r="N128" s="79" t="b">
        <v>0</v>
      </c>
      <c r="O128" s="80" t="str">
        <f t="shared" si="2"/>
        <v/>
      </c>
      <c r="P128" s="76"/>
      <c r="Q128" s="76"/>
      <c r="R128" s="76" t="b">
        <v>0</v>
      </c>
      <c r="S128" s="82" t="b">
        <v>0</v>
      </c>
      <c r="T128" s="76"/>
      <c r="U128" s="79"/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/>
      <c r="B129" s="76"/>
      <c r="C129" s="77"/>
      <c r="D129" s="76"/>
      <c r="E129" s="76"/>
      <c r="F129" s="76"/>
      <c r="G129" s="76"/>
      <c r="H129" s="76"/>
      <c r="I129" s="75"/>
      <c r="J129" s="78"/>
      <c r="K129" s="76"/>
      <c r="L129" s="79" t="b">
        <v>0</v>
      </c>
      <c r="M129" s="80" t="str">
        <f t="shared" si="1"/>
        <v/>
      </c>
      <c r="N129" s="79" t="b">
        <v>0</v>
      </c>
      <c r="O129" s="80" t="str">
        <f t="shared" si="2"/>
        <v/>
      </c>
      <c r="P129" s="76"/>
      <c r="Q129" s="76"/>
      <c r="R129" s="76" t="b">
        <v>0</v>
      </c>
      <c r="S129" s="82" t="b">
        <v>0</v>
      </c>
      <c r="T129" s="76"/>
      <c r="U129" s="79"/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/>
      <c r="B130" s="76"/>
      <c r="C130" s="77"/>
      <c r="D130" s="76"/>
      <c r="E130" s="76"/>
      <c r="F130" s="76"/>
      <c r="G130" s="76"/>
      <c r="H130" s="76"/>
      <c r="I130" s="75"/>
      <c r="J130" s="78"/>
      <c r="K130" s="76"/>
      <c r="L130" s="79" t="b">
        <v>0</v>
      </c>
      <c r="M130" s="80" t="str">
        <f t="shared" si="1"/>
        <v/>
      </c>
      <c r="N130" s="79" t="b">
        <v>0</v>
      </c>
      <c r="O130" s="80" t="str">
        <f t="shared" si="2"/>
        <v/>
      </c>
      <c r="P130" s="76"/>
      <c r="Q130" s="76"/>
      <c r="R130" s="76" t="b">
        <v>0</v>
      </c>
      <c r="S130" s="82" t="b">
        <v>0</v>
      </c>
      <c r="T130" s="76"/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/>
      <c r="B131" s="76"/>
      <c r="C131" s="77"/>
      <c r="D131" s="76"/>
      <c r="E131" s="76"/>
      <c r="F131" s="76"/>
      <c r="G131" s="76"/>
      <c r="H131" s="76"/>
      <c r="I131" s="75"/>
      <c r="J131" s="78"/>
      <c r="K131" s="76"/>
      <c r="L131" s="79" t="b">
        <v>0</v>
      </c>
      <c r="M131" s="80" t="str">
        <f t="shared" si="1"/>
        <v/>
      </c>
      <c r="N131" s="79" t="b">
        <v>0</v>
      </c>
      <c r="O131" s="80" t="str">
        <f t="shared" si="2"/>
        <v/>
      </c>
      <c r="P131" s="76"/>
      <c r="Q131" s="76"/>
      <c r="R131" s="76" t="b">
        <v>0</v>
      </c>
      <c r="S131" s="82" t="b">
        <v>0</v>
      </c>
      <c r="T131" s="76"/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/>
      <c r="B132" s="76"/>
      <c r="C132" s="77"/>
      <c r="D132" s="76"/>
      <c r="E132" s="76"/>
      <c r="F132" s="76"/>
      <c r="G132" s="76"/>
      <c r="H132" s="76"/>
      <c r="I132" s="75"/>
      <c r="J132" s="78"/>
      <c r="K132" s="76"/>
      <c r="L132" s="79" t="b">
        <v>0</v>
      </c>
      <c r="M132" s="80" t="str">
        <f t="shared" si="1"/>
        <v/>
      </c>
      <c r="N132" s="79" t="b">
        <v>0</v>
      </c>
      <c r="O132" s="80" t="str">
        <f t="shared" si="2"/>
        <v/>
      </c>
      <c r="P132" s="76"/>
      <c r="Q132" s="76"/>
      <c r="R132" s="76" t="b">
        <v>0</v>
      </c>
      <c r="S132" s="82" t="b">
        <v>0</v>
      </c>
      <c r="T132" s="76"/>
      <c r="U132" s="79"/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/>
      <c r="B133" s="76"/>
      <c r="C133" s="77"/>
      <c r="D133" s="76"/>
      <c r="E133" s="76"/>
      <c r="F133" s="76"/>
      <c r="G133" s="76"/>
      <c r="H133" s="76"/>
      <c r="I133" s="75"/>
      <c r="J133" s="78"/>
      <c r="K133" s="76"/>
      <c r="L133" s="79" t="b">
        <v>0</v>
      </c>
      <c r="M133" s="80" t="str">
        <f t="shared" si="1"/>
        <v/>
      </c>
      <c r="N133" s="79" t="b">
        <v>0</v>
      </c>
      <c r="O133" s="80" t="str">
        <f t="shared" si="2"/>
        <v/>
      </c>
      <c r="P133" s="76"/>
      <c r="Q133" s="76"/>
      <c r="R133" s="76" t="b">
        <v>0</v>
      </c>
      <c r="S133" s="82" t="b">
        <v>0</v>
      </c>
      <c r="T133" s="76"/>
      <c r="U133" s="79"/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/>
      <c r="B134" s="76"/>
      <c r="C134" s="77"/>
      <c r="D134" s="76"/>
      <c r="E134" s="76"/>
      <c r="F134" s="76"/>
      <c r="G134" s="76"/>
      <c r="H134" s="76"/>
      <c r="I134" s="75"/>
      <c r="J134" s="78"/>
      <c r="K134" s="76"/>
      <c r="L134" s="79" t="b">
        <v>0</v>
      </c>
      <c r="M134" s="80" t="str">
        <f t="shared" si="1"/>
        <v/>
      </c>
      <c r="N134" s="79" t="b">
        <v>0</v>
      </c>
      <c r="O134" s="80" t="str">
        <f t="shared" si="2"/>
        <v/>
      </c>
      <c r="P134" s="76"/>
      <c r="Q134" s="76"/>
      <c r="R134" s="76" t="b">
        <v>0</v>
      </c>
      <c r="S134" s="82" t="b">
        <v>0</v>
      </c>
      <c r="T134" s="76"/>
      <c r="U134" s="79"/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/>
      <c r="B135" s="76"/>
      <c r="C135" s="77"/>
      <c r="D135" s="76"/>
      <c r="E135" s="76"/>
      <c r="F135" s="76"/>
      <c r="G135" s="76"/>
      <c r="H135" s="76"/>
      <c r="I135" s="75"/>
      <c r="J135" s="78"/>
      <c r="K135" s="76"/>
      <c r="L135" s="79" t="b">
        <v>0</v>
      </c>
      <c r="M135" s="80" t="str">
        <f t="shared" si="1"/>
        <v/>
      </c>
      <c r="N135" s="79" t="b">
        <v>0</v>
      </c>
      <c r="O135" s="80" t="str">
        <f t="shared" si="2"/>
        <v/>
      </c>
      <c r="P135" s="76"/>
      <c r="Q135" s="76"/>
      <c r="R135" s="76" t="b">
        <v>0</v>
      </c>
      <c r="S135" s="82" t="b">
        <v>0</v>
      </c>
      <c r="T135" s="76"/>
      <c r="U135" s="79"/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/>
      <c r="B136" s="76"/>
      <c r="C136" s="77"/>
      <c r="D136" s="76"/>
      <c r="E136" s="76"/>
      <c r="F136" s="76"/>
      <c r="G136" s="76"/>
      <c r="H136" s="76"/>
      <c r="I136" s="75"/>
      <c r="J136" s="78"/>
      <c r="K136" s="76"/>
      <c r="L136" s="79" t="b">
        <v>0</v>
      </c>
      <c r="M136" s="80" t="str">
        <f t="shared" si="1"/>
        <v/>
      </c>
      <c r="N136" s="79" t="b">
        <v>0</v>
      </c>
      <c r="O136" s="80" t="str">
        <f t="shared" si="2"/>
        <v/>
      </c>
      <c r="P136" s="76"/>
      <c r="Q136" s="76"/>
      <c r="R136" s="76" t="b">
        <v>0</v>
      </c>
      <c r="S136" s="82" t="b">
        <v>0</v>
      </c>
      <c r="T136" s="76"/>
      <c r="U136" s="79"/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/>
      <c r="B137" s="76"/>
      <c r="C137" s="77"/>
      <c r="D137" s="76"/>
      <c r="E137" s="76"/>
      <c r="F137" s="76"/>
      <c r="G137" s="76"/>
      <c r="H137" s="76"/>
      <c r="I137" s="75"/>
      <c r="J137" s="78"/>
      <c r="K137" s="76"/>
      <c r="L137" s="79" t="b">
        <v>0</v>
      </c>
      <c r="M137" s="80" t="str">
        <f t="shared" si="1"/>
        <v/>
      </c>
      <c r="N137" s="79" t="b">
        <v>0</v>
      </c>
      <c r="O137" s="80" t="str">
        <f t="shared" si="2"/>
        <v/>
      </c>
      <c r="P137" s="76"/>
      <c r="Q137" s="76"/>
      <c r="R137" s="76" t="b">
        <v>0</v>
      </c>
      <c r="S137" s="82" t="b">
        <v>0</v>
      </c>
      <c r="T137" s="76"/>
      <c r="U137" s="79"/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 t="b">
        <v>0</v>
      </c>
      <c r="M138" s="80" t="str">
        <f t="shared" si="1"/>
        <v/>
      </c>
      <c r="N138" s="79" t="b">
        <v>0</v>
      </c>
      <c r="O138" s="80" t="str">
        <f t="shared" si="2"/>
        <v/>
      </c>
      <c r="P138" s="76"/>
      <c r="Q138" s="76"/>
      <c r="R138" s="76" t="b">
        <v>0</v>
      </c>
      <c r="S138" s="82" t="b">
        <v>0</v>
      </c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 t="b">
        <v>0</v>
      </c>
      <c r="M139" s="80" t="str">
        <f t="shared" si="1"/>
        <v/>
      </c>
      <c r="N139" s="79" t="b">
        <v>0</v>
      </c>
      <c r="O139" s="80" t="str">
        <f t="shared" si="2"/>
        <v/>
      </c>
      <c r="P139" s="76"/>
      <c r="Q139" s="76"/>
      <c r="R139" s="76" t="b">
        <v>0</v>
      </c>
      <c r="S139" s="82" t="b">
        <v>0</v>
      </c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si="1"/>
        <v/>
      </c>
      <c r="N140" s="79" t="b">
        <v>0</v>
      </c>
      <c r="O140" s="80" t="str">
        <f t="shared" si="2"/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1"/>
        <v/>
      </c>
      <c r="N141" s="79" t="b">
        <v>0</v>
      </c>
      <c r="O141" s="80" t="str">
        <f t="shared" si="2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1"/>
        <v/>
      </c>
      <c r="N142" s="79" t="b">
        <v>0</v>
      </c>
      <c r="O142" s="80" t="str">
        <f t="shared" si="2"/>
        <v/>
      </c>
      <c r="P142" s="76"/>
      <c r="Q142" s="76"/>
      <c r="R142" s="76" t="b">
        <v>0</v>
      </c>
      <c r="S142" s="82" t="b">
        <v>0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1"/>
        <v/>
      </c>
      <c r="N143" s="79" t="b">
        <v>0</v>
      </c>
      <c r="O143" s="80" t="str">
        <f t="shared" si="2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1"/>
        <v/>
      </c>
      <c r="N144" s="79" t="b">
        <v>0</v>
      </c>
      <c r="O144" s="80" t="str">
        <f t="shared" si="2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1"/>
        <v/>
      </c>
      <c r="N145" s="79" t="b">
        <v>0</v>
      </c>
      <c r="O145" s="80" t="str">
        <f t="shared" si="2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1"/>
        <v/>
      </c>
      <c r="N146" s="79" t="b">
        <v>0</v>
      </c>
      <c r="O146" s="80" t="str">
        <f t="shared" si="2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1"/>
        <v/>
      </c>
      <c r="N147" s="79" t="b">
        <v>0</v>
      </c>
      <c r="O147" s="80" t="str">
        <f t="shared" si="2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1"/>
        <v/>
      </c>
      <c r="N148" s="79" t="b">
        <v>0</v>
      </c>
      <c r="O148" s="80" t="str">
        <f t="shared" si="2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1"/>
        <v/>
      </c>
      <c r="N149" s="79" t="b">
        <v>0</v>
      </c>
      <c r="O149" s="80" t="str">
        <f t="shared" si="2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1"/>
        <v/>
      </c>
      <c r="N150" s="79" t="b">
        <v>0</v>
      </c>
      <c r="O150" s="80" t="str">
        <f t="shared" si="2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1"/>
        <v/>
      </c>
      <c r="N151" s="79" t="b">
        <v>0</v>
      </c>
      <c r="O151" s="80" t="str">
        <f t="shared" si="2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1"/>
        <v/>
      </c>
      <c r="N152" s="79" t="b">
        <v>0</v>
      </c>
      <c r="O152" s="80" t="str">
        <f t="shared" si="2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1"/>
        <v/>
      </c>
      <c r="N153" s="79" t="b">
        <v>0</v>
      </c>
      <c r="O153" s="80" t="str">
        <f t="shared" si="2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1"/>
        <v/>
      </c>
      <c r="N154" s="79" t="b">
        <v>0</v>
      </c>
      <c r="O154" s="80" t="str">
        <f t="shared" si="2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1"/>
        <v/>
      </c>
      <c r="N155" s="79" t="b">
        <v>0</v>
      </c>
      <c r="O155" s="80" t="str">
        <f t="shared" si="2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1"/>
        <v/>
      </c>
      <c r="N156" s="79" t="b">
        <v>0</v>
      </c>
      <c r="O156" s="80" t="str">
        <f t="shared" si="2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1"/>
        <v/>
      </c>
      <c r="N157" s="79" t="b">
        <v>0</v>
      </c>
      <c r="O157" s="80" t="str">
        <f t="shared" si="2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1"/>
        <v/>
      </c>
      <c r="N158" s="79" t="b">
        <v>0</v>
      </c>
      <c r="O158" s="80" t="str">
        <f t="shared" si="2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1"/>
        <v/>
      </c>
      <c r="N159" s="79" t="b">
        <v>0</v>
      </c>
      <c r="O159" s="80" t="str">
        <f t="shared" si="2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1"/>
        <v/>
      </c>
      <c r="N160" s="79" t="b">
        <v>0</v>
      </c>
      <c r="O160" s="80" t="str">
        <f t="shared" si="2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1"/>
        <v/>
      </c>
      <c r="N161" s="79" t="b">
        <v>0</v>
      </c>
      <c r="O161" s="80" t="str">
        <f t="shared" si="2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1"/>
        <v/>
      </c>
      <c r="N162" s="79" t="b">
        <v>0</v>
      </c>
      <c r="O162" s="80" t="str">
        <f t="shared" si="2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1"/>
        <v/>
      </c>
      <c r="N163" s="79" t="b">
        <v>0</v>
      </c>
      <c r="O163" s="80" t="str">
        <f t="shared" si="2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1"/>
        <v/>
      </c>
      <c r="N164" s="79" t="b">
        <v>0</v>
      </c>
      <c r="O164" s="80" t="str">
        <f t="shared" si="2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1"/>
        <v/>
      </c>
      <c r="N165" s="79" t="b">
        <v>0</v>
      </c>
      <c r="O165" s="80" t="str">
        <f t="shared" si="2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1"/>
        <v/>
      </c>
      <c r="N166" s="79" t="b">
        <v>0</v>
      </c>
      <c r="O166" s="80" t="str">
        <f t="shared" si="2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1"/>
        <v/>
      </c>
      <c r="N167" s="79" t="b">
        <v>0</v>
      </c>
      <c r="O167" s="80" t="str">
        <f t="shared" si="2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1"/>
        <v/>
      </c>
      <c r="N168" s="79" t="b">
        <v>0</v>
      </c>
      <c r="O168" s="80" t="str">
        <f t="shared" si="2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1"/>
        <v/>
      </c>
      <c r="N169" s="79" t="b">
        <v>0</v>
      </c>
      <c r="O169" s="80" t="str">
        <f t="shared" si="2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1"/>
        <v/>
      </c>
      <c r="N170" s="79" t="b">
        <v>0</v>
      </c>
      <c r="O170" s="80" t="str">
        <f t="shared" si="2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1"/>
        <v/>
      </c>
      <c r="N171" s="79" t="b">
        <v>0</v>
      </c>
      <c r="O171" s="80" t="str">
        <f t="shared" si="2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1"/>
        <v/>
      </c>
      <c r="N172" s="79" t="b">
        <v>0</v>
      </c>
      <c r="O172" s="80" t="str">
        <f t="shared" si="2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1"/>
        <v/>
      </c>
      <c r="N173" s="79" t="b">
        <v>0</v>
      </c>
      <c r="O173" s="80" t="str">
        <f t="shared" si="2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1"/>
        <v/>
      </c>
      <c r="N174" s="79" t="b">
        <v>0</v>
      </c>
      <c r="O174" s="80" t="str">
        <f t="shared" si="2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1"/>
        <v/>
      </c>
      <c r="N175" s="79" t="b">
        <v>0</v>
      </c>
      <c r="O175" s="80" t="str">
        <f t="shared" si="2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1"/>
        <v/>
      </c>
      <c r="N176" s="79" t="b">
        <v>0</v>
      </c>
      <c r="O176" s="80" t="str">
        <f t="shared" si="2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1"/>
        <v/>
      </c>
      <c r="N177" s="79" t="b">
        <v>0</v>
      </c>
      <c r="O177" s="80" t="str">
        <f t="shared" si="2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1"/>
        <v/>
      </c>
      <c r="N178" s="79" t="b">
        <v>0</v>
      </c>
      <c r="O178" s="80" t="str">
        <f t="shared" si="2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1"/>
        <v/>
      </c>
      <c r="N179" s="79" t="b">
        <v>0</v>
      </c>
      <c r="O179" s="80" t="str">
        <f t="shared" si="2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1"/>
        <v/>
      </c>
      <c r="N180" s="79" t="b">
        <v>0</v>
      </c>
      <c r="O180" s="80" t="str">
        <f t="shared" si="2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1"/>
        <v/>
      </c>
      <c r="N181" s="79" t="b">
        <v>0</v>
      </c>
      <c r="O181" s="80" t="str">
        <f t="shared" si="2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1"/>
        <v/>
      </c>
      <c r="N182" s="79" t="b">
        <v>0</v>
      </c>
      <c r="O182" s="80" t="str">
        <f t="shared" si="2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1"/>
        <v/>
      </c>
      <c r="N183" s="79" t="b">
        <v>0</v>
      </c>
      <c r="O183" s="80" t="str">
        <f t="shared" si="2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1"/>
        <v/>
      </c>
      <c r="N184" s="79" t="b">
        <v>0</v>
      </c>
      <c r="O184" s="80" t="str">
        <f t="shared" si="2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1"/>
        <v/>
      </c>
      <c r="N185" s="79" t="b">
        <v>0</v>
      </c>
      <c r="O185" s="80" t="str">
        <f t="shared" si="2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1"/>
        <v/>
      </c>
      <c r="N186" s="79" t="b">
        <v>0</v>
      </c>
      <c r="O186" s="80" t="str">
        <f t="shared" si="2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1"/>
        <v/>
      </c>
      <c r="N187" s="79" t="b">
        <v>0</v>
      </c>
      <c r="O187" s="80" t="str">
        <f t="shared" si="2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1"/>
        <v/>
      </c>
      <c r="N188" s="79" t="b">
        <v>0</v>
      </c>
      <c r="O188" s="80" t="str">
        <f t="shared" si="2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1"/>
        <v/>
      </c>
      <c r="N189" s="79" t="b">
        <v>0</v>
      </c>
      <c r="O189" s="80" t="str">
        <f t="shared" si="2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1"/>
        <v/>
      </c>
      <c r="N190" s="79" t="b">
        <v>0</v>
      </c>
      <c r="O190" s="80" t="str">
        <f t="shared" si="2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1"/>
        <v/>
      </c>
      <c r="N191" s="79" t="b">
        <v>0</v>
      </c>
      <c r="O191" s="80" t="str">
        <f t="shared" si="2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1"/>
        <v/>
      </c>
      <c r="N192" s="79" t="b">
        <v>0</v>
      </c>
      <c r="O192" s="80" t="str">
        <f t="shared" si="2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1"/>
        <v/>
      </c>
      <c r="N193" s="79" t="b">
        <v>0</v>
      </c>
      <c r="O193" s="80" t="str">
        <f t="shared" si="2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1"/>
        <v/>
      </c>
      <c r="N194" s="79" t="b">
        <v>0</v>
      </c>
      <c r="O194" s="80" t="str">
        <f t="shared" si="2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1"/>
        <v/>
      </c>
      <c r="N195" s="79" t="b">
        <v>0</v>
      </c>
      <c r="O195" s="80" t="str">
        <f t="shared" si="2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1"/>
        <v/>
      </c>
      <c r="N196" s="79" t="b">
        <v>0</v>
      </c>
      <c r="O196" s="80" t="str">
        <f t="shared" si="2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1"/>
        <v/>
      </c>
      <c r="N197" s="79" t="b">
        <v>0</v>
      </c>
      <c r="O197" s="80" t="str">
        <f t="shared" si="2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1"/>
        <v/>
      </c>
      <c r="N198" s="79" t="b">
        <v>0</v>
      </c>
      <c r="O198" s="80" t="str">
        <f t="shared" si="2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1"/>
        <v/>
      </c>
      <c r="N199" s="79" t="b">
        <v>0</v>
      </c>
      <c r="O199" s="80" t="str">
        <f t="shared" si="2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1"/>
        <v/>
      </c>
      <c r="N200" s="79" t="b">
        <v>0</v>
      </c>
      <c r="O200" s="80" t="str">
        <f t="shared" si="2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1"/>
        <v/>
      </c>
      <c r="N201" s="79" t="b">
        <v>0</v>
      </c>
      <c r="O201" s="80" t="str">
        <f t="shared" si="2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1"/>
        <v/>
      </c>
      <c r="N202" s="79" t="b">
        <v>0</v>
      </c>
      <c r="O202" s="80" t="str">
        <f t="shared" si="2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1"/>
        <v/>
      </c>
      <c r="N203" s="79" t="b">
        <v>0</v>
      </c>
      <c r="O203" s="80" t="str">
        <f t="shared" si="2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1"/>
        <v/>
      </c>
      <c r="N204" s="79" t="b">
        <v>0</v>
      </c>
      <c r="O204" s="80" t="str">
        <f t="shared" si="2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1"/>
        <v/>
      </c>
      <c r="N205" s="79" t="b">
        <v>0</v>
      </c>
      <c r="O205" s="80" t="str">
        <f t="shared" si="2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1"/>
        <v/>
      </c>
      <c r="N206" s="79" t="b">
        <v>0</v>
      </c>
      <c r="O206" s="80" t="str">
        <f t="shared" si="2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1"/>
        <v/>
      </c>
      <c r="N207" s="79" t="b">
        <v>0</v>
      </c>
      <c r="O207" s="80" t="str">
        <f t="shared" si="2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1"/>
        <v/>
      </c>
      <c r="N208" s="79" t="b">
        <v>0</v>
      </c>
      <c r="O208" s="80" t="str">
        <f t="shared" si="2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1"/>
        <v/>
      </c>
      <c r="N209" s="79" t="b">
        <v>0</v>
      </c>
      <c r="O209" s="80" t="str">
        <f t="shared" si="2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1"/>
        <v/>
      </c>
      <c r="N210" s="79" t="b">
        <v>0</v>
      </c>
      <c r="O210" s="80" t="str">
        <f t="shared" si="2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1"/>
        <v/>
      </c>
      <c r="N211" s="79" t="b">
        <v>0</v>
      </c>
      <c r="O211" s="80" t="str">
        <f t="shared" si="2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1"/>
        <v/>
      </c>
      <c r="N212" s="79" t="b">
        <v>0</v>
      </c>
      <c r="O212" s="80" t="str">
        <f t="shared" si="2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1"/>
        <v/>
      </c>
      <c r="N213" s="79" t="b">
        <v>0</v>
      </c>
      <c r="O213" s="80" t="str">
        <f t="shared" si="2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1"/>
        <v/>
      </c>
      <c r="N214" s="79" t="b">
        <v>0</v>
      </c>
      <c r="O214" s="80" t="str">
        <f t="shared" si="2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1"/>
        <v/>
      </c>
      <c r="N215" s="79" t="b">
        <v>0</v>
      </c>
      <c r="O215" s="80" t="str">
        <f t="shared" si="2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1"/>
        <v/>
      </c>
      <c r="N216" s="79" t="b">
        <v>0</v>
      </c>
      <c r="O216" s="80" t="str">
        <f t="shared" si="2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1"/>
        <v/>
      </c>
      <c r="N217" s="79" t="b">
        <v>0</v>
      </c>
      <c r="O217" s="80" t="str">
        <f t="shared" si="2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1"/>
        <v/>
      </c>
      <c r="N218" s="79" t="b">
        <v>0</v>
      </c>
      <c r="O218" s="80" t="str">
        <f t="shared" si="2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1"/>
        <v/>
      </c>
      <c r="N219" s="79" t="b">
        <v>0</v>
      </c>
      <c r="O219" s="80" t="str">
        <f t="shared" si="2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1"/>
        <v/>
      </c>
      <c r="N220" s="79" t="b">
        <v>0</v>
      </c>
      <c r="O220" s="80" t="str">
        <f t="shared" si="2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1"/>
        <v/>
      </c>
      <c r="N221" s="79" t="b">
        <v>0</v>
      </c>
      <c r="O221" s="80" t="str">
        <f t="shared" si="2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1"/>
        <v/>
      </c>
      <c r="N222" s="79" t="b">
        <v>0</v>
      </c>
      <c r="O222" s="80" t="str">
        <f t="shared" si="2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1"/>
        <v/>
      </c>
      <c r="N223" s="79" t="b">
        <v>0</v>
      </c>
      <c r="O223" s="80" t="str">
        <f t="shared" si="2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1"/>
        <v/>
      </c>
      <c r="N224" s="79" t="b">
        <v>0</v>
      </c>
      <c r="O224" s="80" t="str">
        <f t="shared" si="2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1"/>
        <v/>
      </c>
      <c r="N225" s="79" t="b">
        <v>0</v>
      </c>
      <c r="O225" s="80" t="str">
        <f t="shared" si="2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1"/>
        <v/>
      </c>
      <c r="N226" s="79" t="b">
        <v>0</v>
      </c>
      <c r="O226" s="80" t="str">
        <f t="shared" si="2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1"/>
        <v/>
      </c>
      <c r="N227" s="79" t="b">
        <v>0</v>
      </c>
      <c r="O227" s="80" t="str">
        <f t="shared" si="2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1"/>
        <v/>
      </c>
      <c r="N228" s="79" t="b">
        <v>0</v>
      </c>
      <c r="O228" s="80" t="str">
        <f t="shared" si="2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1"/>
        <v/>
      </c>
      <c r="N229" s="79" t="b">
        <v>0</v>
      </c>
      <c r="O229" s="80" t="str">
        <f t="shared" si="2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1"/>
        <v/>
      </c>
      <c r="N230" s="79" t="b">
        <v>0</v>
      </c>
      <c r="O230" s="80" t="str">
        <f t="shared" si="2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1"/>
        <v/>
      </c>
      <c r="N231" s="79" t="b">
        <v>0</v>
      </c>
      <c r="O231" s="80" t="str">
        <f t="shared" si="2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1"/>
        <v/>
      </c>
      <c r="N232" s="79" t="b">
        <v>0</v>
      </c>
      <c r="O232" s="80" t="str">
        <f t="shared" si="2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1"/>
        <v/>
      </c>
      <c r="N233" s="79" t="b">
        <v>0</v>
      </c>
      <c r="O233" s="80" t="str">
        <f t="shared" si="2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1"/>
        <v/>
      </c>
      <c r="N234" s="79" t="b">
        <v>0</v>
      </c>
      <c r="O234" s="80" t="str">
        <f t="shared" si="2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1"/>
        <v/>
      </c>
      <c r="N235" s="79" t="b">
        <v>0</v>
      </c>
      <c r="O235" s="80" t="str">
        <f t="shared" si="2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1"/>
        <v/>
      </c>
      <c r="N236" s="79" t="b">
        <v>0</v>
      </c>
      <c r="O236" s="80" t="str">
        <f t="shared" si="2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1"/>
        <v/>
      </c>
      <c r="N237" s="79" t="b">
        <v>0</v>
      </c>
      <c r="O237" s="80" t="str">
        <f t="shared" si="2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1"/>
        <v/>
      </c>
      <c r="N238" s="79" t="b">
        <v>0</v>
      </c>
      <c r="O238" s="80" t="str">
        <f t="shared" si="2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1"/>
        <v/>
      </c>
      <c r="N239" s="79" t="b">
        <v>0</v>
      </c>
      <c r="O239" s="80" t="str">
        <f t="shared" si="2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1"/>
        <v/>
      </c>
      <c r="N240" s="79" t="b">
        <v>0</v>
      </c>
      <c r="O240" s="80" t="str">
        <f t="shared" si="2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1"/>
        <v/>
      </c>
      <c r="N241" s="79" t="b">
        <v>0</v>
      </c>
      <c r="O241" s="80" t="str">
        <f t="shared" si="2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1"/>
        <v/>
      </c>
      <c r="N242" s="79" t="b">
        <v>0</v>
      </c>
      <c r="O242" s="80" t="str">
        <f t="shared" si="2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1"/>
        <v/>
      </c>
      <c r="N243" s="79" t="b">
        <v>0</v>
      </c>
      <c r="O243" s="80" t="str">
        <f t="shared" si="2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1"/>
        <v/>
      </c>
      <c r="N244" s="79" t="b">
        <v>0</v>
      </c>
      <c r="O244" s="80" t="str">
        <f t="shared" si="2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1"/>
        <v/>
      </c>
      <c r="N245" s="79" t="b">
        <v>0</v>
      </c>
      <c r="O245" s="80" t="str">
        <f t="shared" si="2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1"/>
        <v/>
      </c>
      <c r="N246" s="79" t="b">
        <v>0</v>
      </c>
      <c r="O246" s="80" t="str">
        <f t="shared" si="2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1"/>
        <v/>
      </c>
      <c r="N247" s="79" t="b">
        <v>0</v>
      </c>
      <c r="O247" s="80" t="str">
        <f t="shared" si="2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1"/>
        <v/>
      </c>
      <c r="N248" s="79" t="b">
        <v>0</v>
      </c>
      <c r="O248" s="80" t="str">
        <f t="shared" si="2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1"/>
        <v/>
      </c>
      <c r="N249" s="79" t="b">
        <v>0</v>
      </c>
      <c r="O249" s="80" t="str">
        <f t="shared" si="2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1"/>
        <v/>
      </c>
      <c r="N250" s="79" t="b">
        <v>0</v>
      </c>
      <c r="O250" s="80" t="str">
        <f t="shared" si="2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1"/>
        <v/>
      </c>
      <c r="N251" s="79" t="b">
        <v>0</v>
      </c>
      <c r="O251" s="80" t="str">
        <f t="shared" si="2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1"/>
        <v/>
      </c>
      <c r="N252" s="79" t="b">
        <v>0</v>
      </c>
      <c r="O252" s="80" t="str">
        <f t="shared" si="2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1"/>
        <v/>
      </c>
      <c r="N253" s="79" t="b">
        <v>0</v>
      </c>
      <c r="O253" s="80" t="str">
        <f t="shared" si="2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1"/>
        <v/>
      </c>
      <c r="N254" s="79" t="b">
        <v>0</v>
      </c>
      <c r="O254" s="80" t="str">
        <f t="shared" si="2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1"/>
        <v/>
      </c>
      <c r="N255" s="79" t="b">
        <v>0</v>
      </c>
      <c r="O255" s="80" t="str">
        <f t="shared" si="2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1"/>
        <v/>
      </c>
      <c r="N256" s="79" t="b">
        <v>0</v>
      </c>
      <c r="O256" s="80" t="str">
        <f t="shared" si="2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1"/>
        <v/>
      </c>
      <c r="N257" s="79" t="b">
        <v>0</v>
      </c>
      <c r="O257" s="80" t="str">
        <f t="shared" si="2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1"/>
        <v/>
      </c>
      <c r="N258" s="79" t="b">
        <v>0</v>
      </c>
      <c r="O258" s="80" t="str">
        <f t="shared" si="2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1"/>
        <v/>
      </c>
      <c r="N259" s="79" t="b">
        <v>0</v>
      </c>
      <c r="O259" s="80" t="str">
        <f t="shared" si="2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1"/>
        <v/>
      </c>
      <c r="N260" s="79" t="b">
        <v>0</v>
      </c>
      <c r="O260" s="80" t="str">
        <f t="shared" si="2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1"/>
        <v/>
      </c>
      <c r="N261" s="79" t="b">
        <v>0</v>
      </c>
      <c r="O261" s="80" t="str">
        <f t="shared" si="2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1"/>
        <v/>
      </c>
      <c r="N262" s="79" t="b">
        <v>0</v>
      </c>
      <c r="O262" s="80" t="str">
        <f t="shared" si="2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1"/>
        <v/>
      </c>
      <c r="N263" s="79" t="b">
        <v>0</v>
      </c>
      <c r="O263" s="80" t="str">
        <f t="shared" si="2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1"/>
        <v/>
      </c>
      <c r="N264" s="79" t="b">
        <v>0</v>
      </c>
      <c r="O264" s="80" t="str">
        <f t="shared" si="2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1"/>
        <v/>
      </c>
      <c r="N265" s="79" t="b">
        <v>0</v>
      </c>
      <c r="O265" s="80" t="str">
        <f t="shared" si="2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1"/>
        <v/>
      </c>
      <c r="N266" s="79" t="b">
        <v>0</v>
      </c>
      <c r="O266" s="80" t="str">
        <f t="shared" si="2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1"/>
        <v/>
      </c>
      <c r="N267" s="79" t="b">
        <v>0</v>
      </c>
      <c r="O267" s="80" t="str">
        <f t="shared" si="2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1"/>
        <v/>
      </c>
      <c r="N268" s="79" t="b">
        <v>0</v>
      </c>
      <c r="O268" s="80" t="str">
        <f t="shared" si="2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1"/>
        <v/>
      </c>
      <c r="N269" s="79" t="b">
        <v>0</v>
      </c>
      <c r="O269" s="80" t="str">
        <f t="shared" si="2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1"/>
        <v/>
      </c>
      <c r="N270" s="79" t="b">
        <v>0</v>
      </c>
      <c r="O270" s="80" t="str">
        <f t="shared" si="2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1"/>
        <v/>
      </c>
      <c r="N271" s="79" t="b">
        <v>0</v>
      </c>
      <c r="O271" s="80" t="str">
        <f t="shared" si="2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1"/>
        <v/>
      </c>
      <c r="N272" s="79" t="b">
        <v>0</v>
      </c>
      <c r="O272" s="80" t="str">
        <f t="shared" si="2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1"/>
        <v/>
      </c>
      <c r="N273" s="79" t="b">
        <v>0</v>
      </c>
      <c r="O273" s="80" t="str">
        <f t="shared" si="2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1"/>
        <v/>
      </c>
      <c r="N274" s="79" t="b">
        <v>0</v>
      </c>
      <c r="O274" s="80" t="str">
        <f t="shared" si="2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1"/>
        <v/>
      </c>
      <c r="N275" s="79" t="b">
        <v>0</v>
      </c>
      <c r="O275" s="80" t="str">
        <f t="shared" si="2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1"/>
        <v/>
      </c>
      <c r="N276" s="79" t="b">
        <v>0</v>
      </c>
      <c r="O276" s="80" t="str">
        <f t="shared" si="2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1"/>
        <v/>
      </c>
      <c r="N277" s="79" t="b">
        <v>0</v>
      </c>
      <c r="O277" s="80" t="str">
        <f t="shared" si="2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1"/>
        <v/>
      </c>
      <c r="N278" s="79" t="b">
        <v>0</v>
      </c>
      <c r="O278" s="80" t="str">
        <f t="shared" si="2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1"/>
        <v/>
      </c>
      <c r="N279" s="79" t="b">
        <v>0</v>
      </c>
      <c r="O279" s="80" t="str">
        <f t="shared" si="2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1"/>
        <v/>
      </c>
      <c r="N280" s="79" t="b">
        <v>0</v>
      </c>
      <c r="O280" s="80" t="str">
        <f t="shared" si="2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1"/>
        <v/>
      </c>
      <c r="N281" s="79" t="b">
        <v>0</v>
      </c>
      <c r="O281" s="80" t="str">
        <f t="shared" si="2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1"/>
        <v/>
      </c>
      <c r="N282" s="79" t="b">
        <v>0</v>
      </c>
      <c r="O282" s="80" t="str">
        <f t="shared" si="2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1"/>
        <v/>
      </c>
      <c r="N283" s="79" t="b">
        <v>0</v>
      </c>
      <c r="O283" s="80" t="str">
        <f t="shared" si="2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1"/>
        <v/>
      </c>
      <c r="N284" s="79" t="b">
        <v>0</v>
      </c>
      <c r="O284" s="80" t="str">
        <f t="shared" si="2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1"/>
        <v/>
      </c>
      <c r="N285" s="79" t="b">
        <v>0</v>
      </c>
      <c r="O285" s="80" t="str">
        <f t="shared" si="2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1"/>
        <v/>
      </c>
      <c r="N286" s="79" t="b">
        <v>0</v>
      </c>
      <c r="O286" s="80" t="str">
        <f t="shared" si="2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1"/>
        <v/>
      </c>
      <c r="N287" s="79" t="b">
        <v>0</v>
      </c>
      <c r="O287" s="80" t="str">
        <f t="shared" si="2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1"/>
        <v/>
      </c>
      <c r="N288" s="79" t="b">
        <v>0</v>
      </c>
      <c r="O288" s="80" t="str">
        <f t="shared" si="2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1"/>
        <v/>
      </c>
      <c r="N289" s="79" t="b">
        <v>0</v>
      </c>
      <c r="O289" s="80" t="str">
        <f t="shared" si="2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1"/>
        <v/>
      </c>
      <c r="N290" s="79" t="b">
        <v>0</v>
      </c>
      <c r="O290" s="80" t="str">
        <f t="shared" si="2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1"/>
        <v/>
      </c>
      <c r="N291" s="79" t="b">
        <v>0</v>
      </c>
      <c r="O291" s="80" t="str">
        <f t="shared" si="2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1"/>
        <v/>
      </c>
      <c r="N292" s="79" t="b">
        <v>0</v>
      </c>
      <c r="O292" s="80" t="str">
        <f t="shared" si="2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1"/>
        <v/>
      </c>
      <c r="N293" s="79" t="b">
        <v>0</v>
      </c>
      <c r="O293" s="80" t="str">
        <f t="shared" si="2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1"/>
        <v/>
      </c>
      <c r="N294" s="79" t="b">
        <v>0</v>
      </c>
      <c r="O294" s="80" t="str">
        <f t="shared" si="2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1"/>
        <v/>
      </c>
      <c r="N295" s="79" t="b">
        <v>0</v>
      </c>
      <c r="O295" s="80" t="str">
        <f t="shared" si="2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1"/>
        <v/>
      </c>
      <c r="N296" s="79" t="b">
        <v>0</v>
      </c>
      <c r="O296" s="80" t="str">
        <f t="shared" si="2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1"/>
        <v/>
      </c>
      <c r="N297" s="79" t="b">
        <v>0</v>
      </c>
      <c r="O297" s="80" t="str">
        <f t="shared" si="2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1"/>
        <v/>
      </c>
      <c r="N298" s="79" t="b">
        <v>0</v>
      </c>
      <c r="O298" s="80" t="str">
        <f t="shared" si="2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1"/>
        <v/>
      </c>
      <c r="N299" s="79" t="b">
        <v>0</v>
      </c>
      <c r="O299" s="80" t="str">
        <f t="shared" si="2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1"/>
        <v/>
      </c>
      <c r="N300" s="79" t="b">
        <v>0</v>
      </c>
      <c r="O300" s="80" t="str">
        <f t="shared" si="2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1"/>
        <v/>
      </c>
      <c r="N301" s="79" t="b">
        <v>0</v>
      </c>
      <c r="O301" s="80" t="str">
        <f t="shared" si="2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1"/>
        <v/>
      </c>
      <c r="N302" s="79" t="b">
        <v>0</v>
      </c>
      <c r="O302" s="80" t="str">
        <f t="shared" si="2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1"/>
        <v/>
      </c>
      <c r="N303" s="79" t="b">
        <v>0</v>
      </c>
      <c r="O303" s="80" t="str">
        <f t="shared" si="2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1"/>
        <v/>
      </c>
      <c r="N304" s="79" t="b">
        <v>0</v>
      </c>
      <c r="O304" s="80" t="str">
        <f t="shared" si="2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1"/>
        <v/>
      </c>
      <c r="N305" s="79" t="b">
        <v>0</v>
      </c>
      <c r="O305" s="80" t="str">
        <f t="shared" si="2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1"/>
        <v/>
      </c>
      <c r="N306" s="79" t="b">
        <v>0</v>
      </c>
      <c r="O306" s="80" t="str">
        <f t="shared" si="2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1"/>
        <v/>
      </c>
      <c r="N307" s="79" t="b">
        <v>0</v>
      </c>
      <c r="O307" s="80" t="str">
        <f t="shared" si="2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 maintenance"</formula>
    </cfRule>
  </conditionalFormatting>
  <conditionalFormatting sqref="A11:V307">
    <cfRule type="expression" dxfId="0" priority="9">
      <formula>$U11="รอคอนเฟิร์ม"</formula>
    </cfRule>
  </conditionalFormatting>
  <conditionalFormatting sqref="A11:V307">
    <cfRule type="expression" dxfId="0" priority="10">
      <formula>$U11="รอดูสี"</formula>
    </cfRule>
  </conditionalFormatting>
  <conditionalFormatting sqref="A11:V307">
    <cfRule type="expression" dxfId="0" priority="11">
      <formula>$U11="กระดาษชื้น"</formula>
    </cfRule>
  </conditionalFormatting>
  <conditionalFormatting sqref="A11:V307">
    <cfRule type="expression" dxfId="4" priority="12">
      <formula>$L11=True</formula>
    </cfRule>
  </conditionalFormatting>
  <conditionalFormatting sqref="A11:V307">
    <cfRule type="expression" dxfId="6" priority="13">
      <formula>$F11="ตามคิว"</formula>
    </cfRule>
  </conditionalFormatting>
  <conditionalFormatting sqref="A11:V307">
    <cfRule type="expression" dxfId="7" priority="14">
      <formula>$F11="Same Day"</formula>
    </cfRule>
  </conditionalFormatting>
  <conditionalFormatting sqref="A11:V307">
    <cfRule type="expression" dxfId="6" priority="15">
      <formula>$F11="ตัวอย่าง Mockup"</formula>
    </cfRule>
  </conditionalFormatting>
  <conditionalFormatting sqref="D17:F17">
    <cfRule type="notContainsBlanks" dxfId="8" priority="16">
      <formula>LEN(TRIM(D17))&gt;0</formula>
    </cfRule>
  </conditionalFormatting>
  <conditionalFormatting sqref="A11:V307">
    <cfRule type="expression" dxfId="5" priority="17">
      <formula>$F11="VIP"</formula>
    </cfRule>
  </conditionalFormatting>
  <conditionalFormatting sqref="D17:F17">
    <cfRule type="notContainsBlanks" dxfId="8" priority="18">
      <formula>LEN(TRIM(D17))&gt;0</formula>
    </cfRule>
  </conditionalFormatting>
  <conditionalFormatting sqref="U400:W400">
    <cfRule type="expression" dxfId="9" priority="19">
      <formula>"D11"</formula>
    </cfRule>
  </conditionalFormatting>
  <conditionalFormatting sqref="A1:B1">
    <cfRule type="notContainsBlanks" dxfId="8" priority="20">
      <formula>LEN(TRIM(A1))&gt;0</formula>
    </cfRule>
  </conditionalFormatting>
  <conditionalFormatting sqref="A11:V307">
    <cfRule type="expression" dxfId="10" priority="21">
      <formula>$F11="งานซ่อม"</formula>
    </cfRule>
  </conditionalFormatting>
  <conditionalFormatting sqref="A11:V307">
    <cfRule type="expression" dxfId="10" priority="22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307 P11:P307">
      <formula1>"Fluke,Sunney"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0</v>
      </c>
      <c r="D2" s="13" t="s">
        <v>8</v>
      </c>
      <c r="E2" s="14">
        <f>COUNTIFS(F11:F1000,"ตามคิว")</f>
        <v>0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0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0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0</v>
      </c>
      <c r="D3" s="13" t="s">
        <v>18</v>
      </c>
      <c r="E3" s="14">
        <f>COUNTIFS(F11:F1000,"Same Day")</f>
        <v>0</v>
      </c>
      <c r="F3" s="15" t="s">
        <v>9</v>
      </c>
      <c r="G3" s="27" t="s">
        <v>19</v>
      </c>
      <c r="H3" s="28">
        <f>COUNTIFS(U11:U1000,"Dicut Jwei")</f>
        <v>0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0</v>
      </c>
      <c r="Y3" s="25" t="s">
        <v>9</v>
      </c>
      <c r="Z3" s="25" t="s">
        <v>24</v>
      </c>
      <c r="AA3" s="25">
        <f>COUNTIFS(D11:E1000,"ปอนด์ 80g (โกดัง)")</f>
        <v>0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0</v>
      </c>
      <c r="F4" s="15" t="s">
        <v>9</v>
      </c>
      <c r="G4" s="27" t="s">
        <v>28</v>
      </c>
      <c r="H4" s="28">
        <f>COUNTIFS(U11:U1000,"Dicut Graptech")</f>
        <v>0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0</v>
      </c>
      <c r="Y4" s="25" t="s">
        <v>9</v>
      </c>
      <c r="Z4" s="25" t="s">
        <v>32</v>
      </c>
      <c r="AA4" s="25">
        <f>COUNTIFS(D11:E1000,"ปอนด์ 100g (โกดัง)")</f>
        <v>0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0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0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0</v>
      </c>
      <c r="AH5" s="26" t="s">
        <v>9</v>
      </c>
    </row>
    <row r="6" ht="21.75" customHeight="1">
      <c r="A6" s="11">
        <f>COUNTIFS(N11:N1000,True,B11:B1000,"*",K11:K1000,"*")</f>
        <v>0</v>
      </c>
      <c r="B6" s="2"/>
      <c r="C6" s="12" t="s">
        <v>9</v>
      </c>
      <c r="D6" s="13" t="s">
        <v>44</v>
      </c>
      <c r="E6" s="14">
        <f>COUNTIFS(F11:F1000,"ซ่อมไม่มีใบสั่ง")</f>
        <v>0</v>
      </c>
      <c r="F6" s="15" t="s">
        <v>9</v>
      </c>
      <c r="G6" s="42" t="s">
        <v>11</v>
      </c>
      <c r="H6" s="19">
        <f>COUNTIFS(Q11:Q1000,"C12000")</f>
        <v>0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0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0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0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0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0</v>
      </c>
      <c r="I8" s="51" t="s">
        <v>59</v>
      </c>
      <c r="J8" s="2"/>
      <c r="K8" s="53">
        <f>SUM(H3+H4)</f>
        <v>0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0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/>
      <c r="B11" s="76"/>
      <c r="C11" s="77"/>
      <c r="D11" s="76"/>
      <c r="E11" s="76"/>
      <c r="F11" s="76"/>
      <c r="G11" s="76"/>
      <c r="H11" s="76"/>
      <c r="I11" s="75"/>
      <c r="J11" s="78"/>
      <c r="K11" s="76"/>
      <c r="L11" s="79" t="b">
        <v>0</v>
      </c>
      <c r="M11" s="80" t="str">
        <f t="shared" ref="M11:M307" si="1">IFS(L11=FALSE,"",M11="",NOW(),TRUE,M11)</f>
        <v/>
      </c>
      <c r="N11" s="131" t="b">
        <v>0</v>
      </c>
      <c r="O11" s="80" t="str">
        <f t="shared" ref="O11:O307" si="2">IFS(N11=FALSE,"",O11="",NOW(),TRUE,O11)</f>
        <v/>
      </c>
      <c r="P11" s="76"/>
      <c r="Q11" s="76"/>
      <c r="R11" s="76" t="b">
        <v>0</v>
      </c>
      <c r="S11" s="82" t="b">
        <v>0</v>
      </c>
      <c r="T11" s="76"/>
      <c r="U11" s="79"/>
      <c r="V11" s="83"/>
      <c r="W11" s="118"/>
    </row>
    <row r="12">
      <c r="A12" s="75"/>
      <c r="B12" s="76"/>
      <c r="C12" s="77"/>
      <c r="D12" s="76"/>
      <c r="E12" s="76"/>
      <c r="F12" s="76"/>
      <c r="G12" s="76"/>
      <c r="H12" s="76"/>
      <c r="I12" s="75"/>
      <c r="J12" s="78"/>
      <c r="K12" s="76"/>
      <c r="L12" s="79" t="b">
        <v>0</v>
      </c>
      <c r="M12" s="80" t="str">
        <f t="shared" si="1"/>
        <v/>
      </c>
      <c r="N12" s="131" t="b">
        <v>0</v>
      </c>
      <c r="O12" s="80" t="str">
        <f t="shared" si="2"/>
        <v/>
      </c>
      <c r="P12" s="76"/>
      <c r="Q12" s="76"/>
      <c r="R12" s="76" t="b">
        <v>0</v>
      </c>
      <c r="S12" s="82" t="b">
        <v>0</v>
      </c>
      <c r="T12" s="76"/>
      <c r="U12" s="79"/>
      <c r="V12" s="83"/>
      <c r="W12" s="74"/>
    </row>
    <row r="13">
      <c r="A13" s="75"/>
      <c r="B13" s="76"/>
      <c r="C13" s="77"/>
      <c r="D13" s="76"/>
      <c r="E13" s="76"/>
      <c r="F13" s="76"/>
      <c r="G13" s="76"/>
      <c r="H13" s="76"/>
      <c r="I13" s="75"/>
      <c r="J13" s="78"/>
      <c r="K13" s="76"/>
      <c r="L13" s="79" t="b">
        <v>0</v>
      </c>
      <c r="M13" s="80" t="str">
        <f t="shared" si="1"/>
        <v/>
      </c>
      <c r="N13" s="131" t="b">
        <v>0</v>
      </c>
      <c r="O13" s="80" t="str">
        <f t="shared" si="2"/>
        <v/>
      </c>
      <c r="P13" s="76"/>
      <c r="Q13" s="76"/>
      <c r="R13" s="76" t="b">
        <v>0</v>
      </c>
      <c r="S13" s="82" t="b">
        <v>0</v>
      </c>
      <c r="T13" s="76"/>
      <c r="U13" s="79"/>
      <c r="V13" s="83"/>
      <c r="W13" s="74"/>
    </row>
    <row r="14">
      <c r="A14" s="75"/>
      <c r="B14" s="76"/>
      <c r="C14" s="77"/>
      <c r="D14" s="76"/>
      <c r="E14" s="76"/>
      <c r="F14" s="76"/>
      <c r="G14" s="76"/>
      <c r="H14" s="76"/>
      <c r="I14" s="75"/>
      <c r="J14" s="78"/>
      <c r="K14" s="76"/>
      <c r="L14" s="79" t="b">
        <v>0</v>
      </c>
      <c r="M14" s="80" t="str">
        <f t="shared" si="1"/>
        <v/>
      </c>
      <c r="N14" s="131" t="b">
        <v>0</v>
      </c>
      <c r="O14" s="80" t="str">
        <f t="shared" si="2"/>
        <v/>
      </c>
      <c r="P14" s="76"/>
      <c r="Q14" s="76"/>
      <c r="R14" s="76" t="b">
        <v>0</v>
      </c>
      <c r="S14" s="82" t="b">
        <v>0</v>
      </c>
      <c r="T14" s="76"/>
      <c r="U14" s="79"/>
      <c r="V14" s="83"/>
      <c r="W14" s="74"/>
    </row>
    <row r="15">
      <c r="A15" s="75"/>
      <c r="B15" s="76"/>
      <c r="C15" s="77"/>
      <c r="D15" s="76"/>
      <c r="E15" s="76"/>
      <c r="F15" s="76"/>
      <c r="G15" s="76"/>
      <c r="H15" s="76"/>
      <c r="I15" s="75"/>
      <c r="J15" s="78"/>
      <c r="K15" s="76"/>
      <c r="L15" s="79" t="b">
        <v>0</v>
      </c>
      <c r="M15" s="80" t="str">
        <f t="shared" si="1"/>
        <v/>
      </c>
      <c r="N15" s="131" t="b">
        <v>0</v>
      </c>
      <c r="O15" s="80" t="str">
        <f t="shared" si="2"/>
        <v/>
      </c>
      <c r="P15" s="76"/>
      <c r="Q15" s="76"/>
      <c r="R15" s="76" t="b">
        <v>0</v>
      </c>
      <c r="S15" s="82" t="b">
        <v>0</v>
      </c>
      <c r="T15" s="76"/>
      <c r="U15" s="79"/>
      <c r="V15" s="83"/>
      <c r="W15" s="118"/>
    </row>
    <row r="16">
      <c r="A16" s="75"/>
      <c r="B16" s="76"/>
      <c r="C16" s="77"/>
      <c r="D16" s="76"/>
      <c r="E16" s="76"/>
      <c r="F16" s="76"/>
      <c r="G16" s="76"/>
      <c r="H16" s="76"/>
      <c r="I16" s="75"/>
      <c r="J16" s="78"/>
      <c r="K16" s="76"/>
      <c r="L16" s="79" t="b">
        <v>0</v>
      </c>
      <c r="M16" s="80" t="str">
        <f t="shared" si="1"/>
        <v/>
      </c>
      <c r="N16" s="131" t="b">
        <v>0</v>
      </c>
      <c r="O16" s="80" t="str">
        <f t="shared" si="2"/>
        <v/>
      </c>
      <c r="P16" s="76"/>
      <c r="Q16" s="76"/>
      <c r="R16" s="76" t="b">
        <v>0</v>
      </c>
      <c r="S16" s="82" t="b">
        <v>0</v>
      </c>
      <c r="T16" s="76"/>
      <c r="U16" s="79"/>
      <c r="V16" s="83"/>
      <c r="W16" s="118"/>
    </row>
    <row r="17">
      <c r="A17" s="75"/>
      <c r="B17" s="76"/>
      <c r="C17" s="77"/>
      <c r="D17" s="76"/>
      <c r="E17" s="76"/>
      <c r="F17" s="76"/>
      <c r="G17" s="76"/>
      <c r="H17" s="76"/>
      <c r="I17" s="75"/>
      <c r="J17" s="78"/>
      <c r="K17" s="76"/>
      <c r="L17" s="79" t="b">
        <v>0</v>
      </c>
      <c r="M17" s="80" t="str">
        <f t="shared" si="1"/>
        <v/>
      </c>
      <c r="N17" s="131" t="b">
        <v>0</v>
      </c>
      <c r="O17" s="80" t="str">
        <f t="shared" si="2"/>
        <v/>
      </c>
      <c r="P17" s="76"/>
      <c r="Q17" s="76"/>
      <c r="R17" s="76" t="b">
        <v>0</v>
      </c>
      <c r="S17" s="82" t="b">
        <v>0</v>
      </c>
      <c r="T17" s="76"/>
      <c r="U17" s="79"/>
      <c r="V17" s="83"/>
      <c r="W17" s="74"/>
    </row>
    <row r="18">
      <c r="A18" s="75"/>
      <c r="B18" s="76"/>
      <c r="C18" s="77"/>
      <c r="D18" s="76"/>
      <c r="E18" s="76"/>
      <c r="F18" s="76"/>
      <c r="G18" s="76"/>
      <c r="H18" s="76"/>
      <c r="I18" s="75"/>
      <c r="J18" s="78"/>
      <c r="K18" s="76"/>
      <c r="L18" s="79" t="b">
        <v>0</v>
      </c>
      <c r="M18" s="80" t="str">
        <f t="shared" si="1"/>
        <v/>
      </c>
      <c r="N18" s="131" t="b">
        <v>0</v>
      </c>
      <c r="O18" s="80" t="str">
        <f t="shared" si="2"/>
        <v/>
      </c>
      <c r="P18" s="76"/>
      <c r="Q18" s="76"/>
      <c r="R18" s="76" t="b">
        <v>0</v>
      </c>
      <c r="S18" s="82" t="b">
        <v>0</v>
      </c>
      <c r="T18" s="76"/>
      <c r="U18" s="79"/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/>
      <c r="B19" s="76"/>
      <c r="C19" s="77"/>
      <c r="D19" s="76"/>
      <c r="E19" s="76"/>
      <c r="F19" s="76"/>
      <c r="G19" s="76"/>
      <c r="H19" s="76"/>
      <c r="I19" s="75"/>
      <c r="J19" s="78"/>
      <c r="K19" s="76"/>
      <c r="L19" s="79" t="b">
        <v>0</v>
      </c>
      <c r="M19" s="80" t="str">
        <f t="shared" si="1"/>
        <v/>
      </c>
      <c r="N19" s="131" t="b">
        <v>0</v>
      </c>
      <c r="O19" s="80" t="str">
        <f t="shared" si="2"/>
        <v/>
      </c>
      <c r="P19" s="76"/>
      <c r="Q19" s="76"/>
      <c r="R19" s="76" t="b">
        <v>0</v>
      </c>
      <c r="S19" s="82" t="b">
        <v>0</v>
      </c>
      <c r="T19" s="76"/>
      <c r="U19" s="79"/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/>
      <c r="B20" s="76"/>
      <c r="C20" s="77"/>
      <c r="D20" s="76"/>
      <c r="E20" s="76"/>
      <c r="F20" s="76"/>
      <c r="G20" s="76"/>
      <c r="H20" s="76"/>
      <c r="I20" s="75"/>
      <c r="J20" s="78"/>
      <c r="K20" s="76"/>
      <c r="L20" s="79" t="b">
        <v>0</v>
      </c>
      <c r="M20" s="80" t="str">
        <f t="shared" si="1"/>
        <v/>
      </c>
      <c r="N20" s="131" t="b">
        <v>0</v>
      </c>
      <c r="O20" s="80" t="str">
        <f t="shared" si="2"/>
        <v/>
      </c>
      <c r="P20" s="76"/>
      <c r="Q20" s="76"/>
      <c r="R20" s="76" t="b">
        <v>0</v>
      </c>
      <c r="S20" s="82" t="b">
        <v>0</v>
      </c>
      <c r="T20" s="76"/>
      <c r="U20" s="79"/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/>
      <c r="B21" s="76"/>
      <c r="C21" s="77"/>
      <c r="D21" s="76"/>
      <c r="E21" s="76"/>
      <c r="F21" s="76"/>
      <c r="G21" s="76"/>
      <c r="H21" s="76"/>
      <c r="I21" s="75"/>
      <c r="J21" s="78"/>
      <c r="K21" s="76"/>
      <c r="L21" s="79" t="b">
        <v>0</v>
      </c>
      <c r="M21" s="80" t="str">
        <f t="shared" si="1"/>
        <v/>
      </c>
      <c r="N21" s="131" t="b">
        <v>0</v>
      </c>
      <c r="O21" s="80" t="str">
        <f t="shared" si="2"/>
        <v/>
      </c>
      <c r="P21" s="76"/>
      <c r="Q21" s="76"/>
      <c r="R21" s="76" t="b">
        <v>0</v>
      </c>
      <c r="S21" s="82" t="b">
        <v>0</v>
      </c>
      <c r="T21" s="76"/>
      <c r="U21" s="79"/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/>
      <c r="B22" s="76"/>
      <c r="C22" s="77"/>
      <c r="D22" s="76"/>
      <c r="E22" s="76"/>
      <c r="F22" s="76"/>
      <c r="G22" s="76"/>
      <c r="H22" s="76"/>
      <c r="I22" s="75"/>
      <c r="J22" s="78"/>
      <c r="K22" s="76"/>
      <c r="L22" s="79" t="b">
        <v>0</v>
      </c>
      <c r="M22" s="80" t="str">
        <f t="shared" si="1"/>
        <v/>
      </c>
      <c r="N22" s="131" t="b">
        <v>0</v>
      </c>
      <c r="O22" s="80" t="str">
        <f t="shared" si="2"/>
        <v/>
      </c>
      <c r="P22" s="76"/>
      <c r="Q22" s="76"/>
      <c r="R22" s="76" t="b">
        <v>0</v>
      </c>
      <c r="S22" s="82" t="b">
        <v>0</v>
      </c>
      <c r="T22" s="76"/>
      <c r="U22" s="79"/>
      <c r="V22" s="83"/>
      <c r="W22" s="74"/>
      <c r="X22" s="74"/>
      <c r="AB22" s="74"/>
      <c r="AC22" s="74"/>
      <c r="AD22" s="74"/>
    </row>
    <row r="23">
      <c r="A23" s="75"/>
      <c r="B23" s="76"/>
      <c r="C23" s="77"/>
      <c r="D23" s="76"/>
      <c r="E23" s="76"/>
      <c r="F23" s="76"/>
      <c r="G23" s="76"/>
      <c r="H23" s="76"/>
      <c r="I23" s="75"/>
      <c r="J23" s="78"/>
      <c r="K23" s="76"/>
      <c r="L23" s="79" t="b">
        <v>0</v>
      </c>
      <c r="M23" s="80" t="str">
        <f t="shared" si="1"/>
        <v/>
      </c>
      <c r="N23" s="131" t="b">
        <v>0</v>
      </c>
      <c r="O23" s="80" t="str">
        <f t="shared" si="2"/>
        <v/>
      </c>
      <c r="P23" s="76"/>
      <c r="Q23" s="76"/>
      <c r="R23" s="76" t="b">
        <v>0</v>
      </c>
      <c r="S23" s="82" t="b">
        <v>0</v>
      </c>
      <c r="T23" s="76"/>
      <c r="U23" s="79"/>
      <c r="V23" s="83"/>
      <c r="W23" s="74"/>
      <c r="X23" s="74"/>
      <c r="AB23" s="74"/>
      <c r="AC23" s="74"/>
      <c r="AD23" s="74"/>
    </row>
    <row r="24">
      <c r="A24" s="75"/>
      <c r="B24" s="76"/>
      <c r="C24" s="77"/>
      <c r="D24" s="76"/>
      <c r="E24" s="76"/>
      <c r="F24" s="76"/>
      <c r="G24" s="76"/>
      <c r="H24" s="76"/>
      <c r="I24" s="75"/>
      <c r="J24" s="78"/>
      <c r="K24" s="76"/>
      <c r="L24" s="79" t="b">
        <v>0</v>
      </c>
      <c r="M24" s="80" t="str">
        <f t="shared" si="1"/>
        <v/>
      </c>
      <c r="N24" s="131" t="b">
        <v>0</v>
      </c>
      <c r="O24" s="80" t="str">
        <f t="shared" si="2"/>
        <v/>
      </c>
      <c r="P24" s="76"/>
      <c r="Q24" s="76"/>
      <c r="R24" s="76" t="b">
        <v>0</v>
      </c>
      <c r="S24" s="82" t="b">
        <v>0</v>
      </c>
      <c r="T24" s="76"/>
      <c r="U24" s="79"/>
      <c r="V24" s="83"/>
      <c r="W24" s="74"/>
      <c r="X24" s="74"/>
    </row>
    <row r="25">
      <c r="A25" s="75"/>
      <c r="B25" s="76"/>
      <c r="C25" s="77"/>
      <c r="D25" s="76"/>
      <c r="E25" s="76"/>
      <c r="F25" s="76"/>
      <c r="G25" s="76"/>
      <c r="H25" s="76"/>
      <c r="I25" s="75"/>
      <c r="J25" s="78"/>
      <c r="K25" s="76"/>
      <c r="L25" s="79" t="b">
        <v>0</v>
      </c>
      <c r="M25" s="80" t="str">
        <f t="shared" si="1"/>
        <v/>
      </c>
      <c r="N25" s="131" t="b">
        <v>0</v>
      </c>
      <c r="O25" s="80" t="str">
        <f t="shared" si="2"/>
        <v/>
      </c>
      <c r="P25" s="76"/>
      <c r="Q25" s="76"/>
      <c r="R25" s="76" t="b">
        <v>0</v>
      </c>
      <c r="S25" s="82" t="b">
        <v>0</v>
      </c>
      <c r="T25" s="76"/>
      <c r="U25" s="79"/>
      <c r="V25" s="83"/>
      <c r="W25" s="74"/>
      <c r="X25" s="74"/>
    </row>
    <row r="26">
      <c r="A26" s="75"/>
      <c r="B26" s="76"/>
      <c r="C26" s="77"/>
      <c r="D26" s="76"/>
      <c r="E26" s="76"/>
      <c r="F26" s="76"/>
      <c r="G26" s="76"/>
      <c r="H26" s="76"/>
      <c r="I26" s="75"/>
      <c r="J26" s="78"/>
      <c r="K26" s="76"/>
      <c r="L26" s="79" t="b">
        <v>0</v>
      </c>
      <c r="M26" s="80" t="str">
        <f t="shared" si="1"/>
        <v/>
      </c>
      <c r="N26" s="131" t="b">
        <v>0</v>
      </c>
      <c r="O26" s="80" t="str">
        <f t="shared" si="2"/>
        <v/>
      </c>
      <c r="P26" s="76"/>
      <c r="Q26" s="76"/>
      <c r="R26" s="76" t="b">
        <v>0</v>
      </c>
      <c r="S26" s="82" t="b">
        <v>0</v>
      </c>
      <c r="T26" s="76"/>
      <c r="U26" s="79"/>
      <c r="V26" s="83"/>
      <c r="W26" s="74"/>
      <c r="X26" s="74"/>
    </row>
    <row r="27">
      <c r="A27" s="75"/>
      <c r="B27" s="76"/>
      <c r="C27" s="77"/>
      <c r="D27" s="76"/>
      <c r="E27" s="76"/>
      <c r="F27" s="76"/>
      <c r="G27" s="76"/>
      <c r="H27" s="76"/>
      <c r="I27" s="75"/>
      <c r="J27" s="78"/>
      <c r="K27" s="76"/>
      <c r="L27" s="79" t="b">
        <v>0</v>
      </c>
      <c r="M27" s="80" t="str">
        <f t="shared" si="1"/>
        <v/>
      </c>
      <c r="N27" s="131" t="b">
        <v>0</v>
      </c>
      <c r="O27" s="80" t="str">
        <f t="shared" si="2"/>
        <v/>
      </c>
      <c r="P27" s="76"/>
      <c r="Q27" s="76"/>
      <c r="R27" s="76" t="b">
        <v>0</v>
      </c>
      <c r="S27" s="82" t="b">
        <v>0</v>
      </c>
      <c r="T27" s="76"/>
      <c r="U27" s="79"/>
      <c r="V27" s="83"/>
      <c r="W27" s="74"/>
      <c r="X27" s="86"/>
    </row>
    <row r="28">
      <c r="A28" s="75"/>
      <c r="B28" s="76"/>
      <c r="C28" s="77"/>
      <c r="D28" s="76"/>
      <c r="E28" s="76"/>
      <c r="F28" s="76"/>
      <c r="G28" s="76"/>
      <c r="H28" s="76"/>
      <c r="I28" s="75"/>
      <c r="J28" s="78"/>
      <c r="K28" s="76"/>
      <c r="L28" s="79" t="b">
        <v>0</v>
      </c>
      <c r="M28" s="80" t="str">
        <f t="shared" si="1"/>
        <v/>
      </c>
      <c r="N28" s="131" t="b">
        <v>0</v>
      </c>
      <c r="O28" s="80" t="str">
        <f t="shared" si="2"/>
        <v/>
      </c>
      <c r="P28" s="76"/>
      <c r="Q28" s="76"/>
      <c r="R28" s="76" t="b">
        <v>0</v>
      </c>
      <c r="S28" s="82" t="b">
        <v>0</v>
      </c>
      <c r="T28" s="76"/>
      <c r="U28" s="79"/>
      <c r="V28" s="83"/>
      <c r="W28" s="74"/>
      <c r="X28" s="86"/>
    </row>
    <row r="29">
      <c r="A29" s="75"/>
      <c r="B29" s="76"/>
      <c r="C29" s="77"/>
      <c r="D29" s="76"/>
      <c r="E29" s="76"/>
      <c r="F29" s="76"/>
      <c r="G29" s="76"/>
      <c r="H29" s="76"/>
      <c r="I29" s="75"/>
      <c r="J29" s="78"/>
      <c r="K29" s="76"/>
      <c r="L29" s="79" t="b">
        <v>0</v>
      </c>
      <c r="M29" s="80" t="str">
        <f t="shared" si="1"/>
        <v/>
      </c>
      <c r="N29" s="131" t="b">
        <v>0</v>
      </c>
      <c r="O29" s="80" t="str">
        <f t="shared" si="2"/>
        <v/>
      </c>
      <c r="P29" s="76"/>
      <c r="Q29" s="76"/>
      <c r="R29" s="76" t="b">
        <v>0</v>
      </c>
      <c r="S29" s="82" t="b">
        <v>0</v>
      </c>
      <c r="T29" s="76"/>
      <c r="U29" s="79"/>
      <c r="V29" s="83"/>
      <c r="W29" s="74"/>
      <c r="X29" s="86"/>
      <c r="AE29" s="87"/>
      <c r="AF29" s="87"/>
      <c r="AG29" s="87"/>
      <c r="AH29" s="87"/>
    </row>
    <row r="30">
      <c r="A30" s="75"/>
      <c r="B30" s="76"/>
      <c r="C30" s="77"/>
      <c r="D30" s="76"/>
      <c r="E30" s="76"/>
      <c r="F30" s="76"/>
      <c r="G30" s="76"/>
      <c r="H30" s="76"/>
      <c r="I30" s="75"/>
      <c r="J30" s="78"/>
      <c r="K30" s="76"/>
      <c r="L30" s="79" t="b">
        <v>0</v>
      </c>
      <c r="M30" s="80" t="str">
        <f t="shared" si="1"/>
        <v/>
      </c>
      <c r="N30" s="131" t="b">
        <v>0</v>
      </c>
      <c r="O30" s="80" t="str">
        <f t="shared" si="2"/>
        <v/>
      </c>
      <c r="P30" s="76"/>
      <c r="Q30" s="76"/>
      <c r="R30" s="76" t="b">
        <v>0</v>
      </c>
      <c r="S30" s="82" t="b">
        <v>0</v>
      </c>
      <c r="T30" s="76"/>
      <c r="U30" s="79"/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/>
      <c r="B31" s="76"/>
      <c r="C31" s="77"/>
      <c r="D31" s="76"/>
      <c r="E31" s="76"/>
      <c r="F31" s="76"/>
      <c r="G31" s="76"/>
      <c r="H31" s="76"/>
      <c r="I31" s="75"/>
      <c r="J31" s="78"/>
      <c r="K31" s="76"/>
      <c r="L31" s="79" t="b">
        <v>0</v>
      </c>
      <c r="M31" s="80" t="str">
        <f t="shared" si="1"/>
        <v/>
      </c>
      <c r="N31" s="131" t="b">
        <v>0</v>
      </c>
      <c r="O31" s="80" t="str">
        <f t="shared" si="2"/>
        <v/>
      </c>
      <c r="P31" s="76"/>
      <c r="Q31" s="76"/>
      <c r="R31" s="76" t="b">
        <v>0</v>
      </c>
      <c r="S31" s="82" t="b">
        <v>0</v>
      </c>
      <c r="T31" s="76"/>
      <c r="U31" s="79"/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/>
      <c r="B32" s="76"/>
      <c r="C32" s="77"/>
      <c r="D32" s="76"/>
      <c r="E32" s="76"/>
      <c r="F32" s="76"/>
      <c r="G32" s="76"/>
      <c r="H32" s="76"/>
      <c r="I32" s="75"/>
      <c r="J32" s="78"/>
      <c r="K32" s="76"/>
      <c r="L32" s="79" t="b">
        <v>0</v>
      </c>
      <c r="M32" s="80" t="str">
        <f t="shared" si="1"/>
        <v/>
      </c>
      <c r="N32" s="131" t="b">
        <v>0</v>
      </c>
      <c r="O32" s="80" t="str">
        <f t="shared" si="2"/>
        <v/>
      </c>
      <c r="P32" s="76"/>
      <c r="Q32" s="76"/>
      <c r="R32" s="76" t="b">
        <v>0</v>
      </c>
      <c r="S32" s="82" t="b">
        <v>0</v>
      </c>
      <c r="T32" s="76"/>
      <c r="U32" s="79"/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/>
      <c r="B33" s="76"/>
      <c r="C33" s="77"/>
      <c r="D33" s="76"/>
      <c r="E33" s="76"/>
      <c r="F33" s="76"/>
      <c r="G33" s="76"/>
      <c r="H33" s="76"/>
      <c r="I33" s="75"/>
      <c r="J33" s="78"/>
      <c r="K33" s="76"/>
      <c r="L33" s="79" t="b">
        <v>0</v>
      </c>
      <c r="M33" s="80" t="str">
        <f t="shared" si="1"/>
        <v/>
      </c>
      <c r="N33" s="131" t="b">
        <v>0</v>
      </c>
      <c r="O33" s="80" t="str">
        <f t="shared" si="2"/>
        <v/>
      </c>
      <c r="P33" s="76"/>
      <c r="Q33" s="76"/>
      <c r="R33" s="76" t="b">
        <v>0</v>
      </c>
      <c r="S33" s="82" t="b">
        <v>0</v>
      </c>
      <c r="T33" s="76"/>
      <c r="U33" s="79"/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/>
      <c r="B34" s="76"/>
      <c r="C34" s="77"/>
      <c r="D34" s="76"/>
      <c r="E34" s="76"/>
      <c r="F34" s="76"/>
      <c r="G34" s="76"/>
      <c r="H34" s="76"/>
      <c r="I34" s="75"/>
      <c r="J34" s="78"/>
      <c r="K34" s="76"/>
      <c r="L34" s="79" t="b">
        <v>0</v>
      </c>
      <c r="M34" s="80" t="str">
        <f t="shared" si="1"/>
        <v/>
      </c>
      <c r="N34" s="131" t="b">
        <v>0</v>
      </c>
      <c r="O34" s="80" t="str">
        <f t="shared" si="2"/>
        <v/>
      </c>
      <c r="P34" s="76"/>
      <c r="Q34" s="76"/>
      <c r="R34" s="76" t="b">
        <v>0</v>
      </c>
      <c r="S34" s="82" t="b">
        <v>0</v>
      </c>
      <c r="T34" s="76"/>
      <c r="U34" s="79"/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/>
      <c r="B35" s="76"/>
      <c r="C35" s="77"/>
      <c r="D35" s="76"/>
      <c r="E35" s="76"/>
      <c r="F35" s="76"/>
      <c r="G35" s="76"/>
      <c r="H35" s="76"/>
      <c r="I35" s="75"/>
      <c r="J35" s="78"/>
      <c r="K35" s="76"/>
      <c r="L35" s="79" t="b">
        <v>0</v>
      </c>
      <c r="M35" s="80" t="str">
        <f t="shared" si="1"/>
        <v/>
      </c>
      <c r="N35" s="131" t="b">
        <v>0</v>
      </c>
      <c r="O35" s="80" t="str">
        <f t="shared" si="2"/>
        <v/>
      </c>
      <c r="P35" s="76"/>
      <c r="Q35" s="76"/>
      <c r="R35" s="76" t="b">
        <v>0</v>
      </c>
      <c r="S35" s="82" t="b">
        <v>0</v>
      </c>
      <c r="T35" s="76"/>
      <c r="U35" s="79"/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/>
      <c r="B36" s="76"/>
      <c r="C36" s="77"/>
      <c r="D36" s="76"/>
      <c r="E36" s="76"/>
      <c r="F36" s="76"/>
      <c r="G36" s="76"/>
      <c r="H36" s="76"/>
      <c r="I36" s="75"/>
      <c r="J36" s="78"/>
      <c r="K36" s="76"/>
      <c r="L36" s="79" t="b">
        <v>0</v>
      </c>
      <c r="M36" s="80" t="str">
        <f t="shared" si="1"/>
        <v/>
      </c>
      <c r="N36" s="131" t="b">
        <v>0</v>
      </c>
      <c r="O36" s="80" t="str">
        <f t="shared" si="2"/>
        <v/>
      </c>
      <c r="P36" s="76"/>
      <c r="Q36" s="76"/>
      <c r="R36" s="76" t="b">
        <v>0</v>
      </c>
      <c r="S36" s="82" t="b">
        <v>0</v>
      </c>
      <c r="T36" s="76"/>
      <c r="U36" s="79"/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/>
      <c r="B37" s="76"/>
      <c r="C37" s="77"/>
      <c r="D37" s="76"/>
      <c r="E37" s="76"/>
      <c r="F37" s="76"/>
      <c r="G37" s="76"/>
      <c r="H37" s="76"/>
      <c r="I37" s="75"/>
      <c r="J37" s="78"/>
      <c r="K37" s="76"/>
      <c r="L37" s="79" t="b">
        <v>0</v>
      </c>
      <c r="M37" s="80" t="str">
        <f t="shared" si="1"/>
        <v/>
      </c>
      <c r="N37" s="131" t="b">
        <v>0</v>
      </c>
      <c r="O37" s="80" t="str">
        <f t="shared" si="2"/>
        <v/>
      </c>
      <c r="P37" s="76"/>
      <c r="Q37" s="76"/>
      <c r="R37" s="76" t="b">
        <v>0</v>
      </c>
      <c r="S37" s="82" t="b">
        <v>0</v>
      </c>
      <c r="T37" s="76"/>
      <c r="U37" s="79"/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/>
      <c r="B38" s="76"/>
      <c r="C38" s="77"/>
      <c r="D38" s="76"/>
      <c r="E38" s="76"/>
      <c r="F38" s="76"/>
      <c r="G38" s="76"/>
      <c r="H38" s="76"/>
      <c r="I38" s="75"/>
      <c r="J38" s="78"/>
      <c r="K38" s="76"/>
      <c r="L38" s="79" t="b">
        <v>0</v>
      </c>
      <c r="M38" s="80" t="str">
        <f t="shared" si="1"/>
        <v/>
      </c>
      <c r="N38" s="131" t="b">
        <v>0</v>
      </c>
      <c r="O38" s="80" t="str">
        <f t="shared" si="2"/>
        <v/>
      </c>
      <c r="P38" s="76"/>
      <c r="Q38" s="76"/>
      <c r="R38" s="76" t="b">
        <v>0</v>
      </c>
      <c r="S38" s="82" t="b">
        <v>0</v>
      </c>
      <c r="T38" s="76"/>
      <c r="U38" s="79"/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/>
      <c r="B39" s="76"/>
      <c r="C39" s="77"/>
      <c r="D39" s="76"/>
      <c r="E39" s="76"/>
      <c r="F39" s="76"/>
      <c r="G39" s="76"/>
      <c r="H39" s="76"/>
      <c r="I39" s="75"/>
      <c r="J39" s="78"/>
      <c r="K39" s="76"/>
      <c r="L39" s="79" t="b">
        <v>0</v>
      </c>
      <c r="M39" s="80" t="str">
        <f t="shared" si="1"/>
        <v/>
      </c>
      <c r="N39" s="131" t="b">
        <v>0</v>
      </c>
      <c r="O39" s="80" t="str">
        <f t="shared" si="2"/>
        <v/>
      </c>
      <c r="P39" s="76"/>
      <c r="Q39" s="76"/>
      <c r="R39" s="76" t="b">
        <v>0</v>
      </c>
      <c r="S39" s="82" t="b">
        <v>0</v>
      </c>
      <c r="T39" s="76"/>
      <c r="U39" s="79"/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/>
      <c r="B40" s="76"/>
      <c r="C40" s="77"/>
      <c r="D40" s="76"/>
      <c r="E40" s="76"/>
      <c r="F40" s="76"/>
      <c r="G40" s="76"/>
      <c r="H40" s="76"/>
      <c r="I40" s="75"/>
      <c r="J40" s="78"/>
      <c r="K40" s="76"/>
      <c r="L40" s="79" t="b">
        <v>0</v>
      </c>
      <c r="M40" s="80" t="str">
        <f t="shared" si="1"/>
        <v/>
      </c>
      <c r="N40" s="131" t="b">
        <v>0</v>
      </c>
      <c r="O40" s="80" t="str">
        <f t="shared" si="2"/>
        <v/>
      </c>
      <c r="P40" s="76"/>
      <c r="Q40" s="76"/>
      <c r="R40" s="76" t="b">
        <v>0</v>
      </c>
      <c r="S40" s="82" t="b">
        <v>0</v>
      </c>
      <c r="T40" s="76"/>
      <c r="U40" s="79"/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/>
      <c r="B41" s="76"/>
      <c r="C41" s="77"/>
      <c r="D41" s="76"/>
      <c r="E41" s="76"/>
      <c r="F41" s="76"/>
      <c r="G41" s="76"/>
      <c r="H41" s="76"/>
      <c r="I41" s="75"/>
      <c r="J41" s="78"/>
      <c r="K41" s="76"/>
      <c r="L41" s="79" t="b">
        <v>0</v>
      </c>
      <c r="M41" s="80" t="str">
        <f t="shared" si="1"/>
        <v/>
      </c>
      <c r="N41" s="131" t="b">
        <v>0</v>
      </c>
      <c r="O41" s="80" t="str">
        <f t="shared" si="2"/>
        <v/>
      </c>
      <c r="P41" s="76"/>
      <c r="Q41" s="76"/>
      <c r="R41" s="76" t="b">
        <v>0</v>
      </c>
      <c r="S41" s="82" t="b">
        <v>0</v>
      </c>
      <c r="T41" s="76"/>
      <c r="U41" s="79"/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/>
      <c r="B42" s="76"/>
      <c r="C42" s="77"/>
      <c r="D42" s="76"/>
      <c r="E42" s="76"/>
      <c r="F42" s="76"/>
      <c r="G42" s="76"/>
      <c r="H42" s="76"/>
      <c r="I42" s="75"/>
      <c r="J42" s="78"/>
      <c r="K42" s="76"/>
      <c r="L42" s="79" t="b">
        <v>0</v>
      </c>
      <c r="M42" s="80" t="str">
        <f t="shared" si="1"/>
        <v/>
      </c>
      <c r="N42" s="131" t="b">
        <v>0</v>
      </c>
      <c r="O42" s="80" t="str">
        <f t="shared" si="2"/>
        <v/>
      </c>
      <c r="P42" s="76"/>
      <c r="Q42" s="76"/>
      <c r="R42" s="76" t="b">
        <v>0</v>
      </c>
      <c r="S42" s="82" t="b">
        <v>0</v>
      </c>
      <c r="T42" s="76"/>
      <c r="U42" s="79"/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/>
      <c r="B43" s="76"/>
      <c r="C43" s="77"/>
      <c r="D43" s="76"/>
      <c r="E43" s="76"/>
      <c r="F43" s="76"/>
      <c r="G43" s="76"/>
      <c r="H43" s="76"/>
      <c r="I43" s="75"/>
      <c r="J43" s="78"/>
      <c r="K43" s="76"/>
      <c r="L43" s="79" t="b">
        <v>0</v>
      </c>
      <c r="M43" s="80" t="str">
        <f t="shared" si="1"/>
        <v/>
      </c>
      <c r="N43" s="131" t="b">
        <v>0</v>
      </c>
      <c r="O43" s="80" t="str">
        <f t="shared" si="2"/>
        <v/>
      </c>
      <c r="P43" s="76"/>
      <c r="Q43" s="76"/>
      <c r="R43" s="76" t="b">
        <v>0</v>
      </c>
      <c r="S43" s="82" t="b">
        <v>0</v>
      </c>
      <c r="T43" s="76"/>
      <c r="U43" s="79"/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/>
      <c r="B44" s="76"/>
      <c r="C44" s="77"/>
      <c r="D44" s="76"/>
      <c r="E44" s="76"/>
      <c r="F44" s="76"/>
      <c r="G44" s="76"/>
      <c r="H44" s="76"/>
      <c r="I44" s="75"/>
      <c r="J44" s="78"/>
      <c r="K44" s="76"/>
      <c r="L44" s="79" t="b">
        <v>0</v>
      </c>
      <c r="M44" s="80" t="str">
        <f t="shared" si="1"/>
        <v/>
      </c>
      <c r="N44" s="131" t="b">
        <v>0</v>
      </c>
      <c r="O44" s="80" t="str">
        <f t="shared" si="2"/>
        <v/>
      </c>
      <c r="P44" s="76"/>
      <c r="Q44" s="76"/>
      <c r="R44" s="76" t="b">
        <v>0</v>
      </c>
      <c r="S44" s="82" t="b">
        <v>0</v>
      </c>
      <c r="T44" s="76"/>
      <c r="U44" s="79"/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/>
      <c r="B45" s="76"/>
      <c r="C45" s="77"/>
      <c r="D45" s="76"/>
      <c r="E45" s="76"/>
      <c r="F45" s="76"/>
      <c r="G45" s="76"/>
      <c r="H45" s="76"/>
      <c r="I45" s="75"/>
      <c r="J45" s="78"/>
      <c r="K45" s="76"/>
      <c r="L45" s="79" t="b">
        <v>0</v>
      </c>
      <c r="M45" s="80" t="str">
        <f t="shared" si="1"/>
        <v/>
      </c>
      <c r="N45" s="131" t="b">
        <v>0</v>
      </c>
      <c r="O45" s="80" t="str">
        <f t="shared" si="2"/>
        <v/>
      </c>
      <c r="P45" s="76"/>
      <c r="Q45" s="76"/>
      <c r="R45" s="76" t="b">
        <v>0</v>
      </c>
      <c r="S45" s="82" t="b">
        <v>0</v>
      </c>
      <c r="T45" s="76"/>
      <c r="U45" s="79"/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/>
      <c r="B46" s="76"/>
      <c r="C46" s="77"/>
      <c r="D46" s="76"/>
      <c r="E46" s="76"/>
      <c r="F46" s="76"/>
      <c r="G46" s="76"/>
      <c r="H46" s="76"/>
      <c r="I46" s="75"/>
      <c r="J46" s="78"/>
      <c r="K46" s="76"/>
      <c r="L46" s="79" t="b">
        <v>0</v>
      </c>
      <c r="M46" s="80" t="str">
        <f t="shared" si="1"/>
        <v/>
      </c>
      <c r="N46" s="131" t="b">
        <v>0</v>
      </c>
      <c r="O46" s="80" t="str">
        <f t="shared" si="2"/>
        <v/>
      </c>
      <c r="P46" s="76"/>
      <c r="Q46" s="76"/>
      <c r="R46" s="76" t="b">
        <v>0</v>
      </c>
      <c r="S46" s="82" t="b">
        <v>0</v>
      </c>
      <c r="T46" s="76"/>
      <c r="U46" s="79"/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/>
      <c r="B47" s="76"/>
      <c r="C47" s="77"/>
      <c r="D47" s="76"/>
      <c r="E47" s="76"/>
      <c r="F47" s="76"/>
      <c r="G47" s="76"/>
      <c r="H47" s="76"/>
      <c r="I47" s="75"/>
      <c r="J47" s="78"/>
      <c r="K47" s="76"/>
      <c r="L47" s="79" t="b">
        <v>0</v>
      </c>
      <c r="M47" s="80" t="str">
        <f t="shared" si="1"/>
        <v/>
      </c>
      <c r="N47" s="131" t="b">
        <v>0</v>
      </c>
      <c r="O47" s="80" t="str">
        <f t="shared" si="2"/>
        <v/>
      </c>
      <c r="P47" s="76"/>
      <c r="Q47" s="76"/>
      <c r="R47" s="76" t="b">
        <v>0</v>
      </c>
      <c r="S47" s="82" t="b">
        <v>0</v>
      </c>
      <c r="T47" s="76"/>
      <c r="U47" s="79"/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/>
      <c r="B48" s="76"/>
      <c r="C48" s="77"/>
      <c r="D48" s="76"/>
      <c r="E48" s="76"/>
      <c r="F48" s="76"/>
      <c r="G48" s="76"/>
      <c r="H48" s="76"/>
      <c r="I48" s="75"/>
      <c r="J48" s="78"/>
      <c r="K48" s="76"/>
      <c r="L48" s="79" t="b">
        <v>0</v>
      </c>
      <c r="M48" s="80" t="str">
        <f t="shared" si="1"/>
        <v/>
      </c>
      <c r="N48" s="131" t="b">
        <v>0</v>
      </c>
      <c r="O48" s="80" t="str">
        <f t="shared" si="2"/>
        <v/>
      </c>
      <c r="P48" s="76"/>
      <c r="Q48" s="76"/>
      <c r="R48" s="76" t="b">
        <v>0</v>
      </c>
      <c r="S48" s="82" t="b">
        <v>0</v>
      </c>
      <c r="T48" s="76"/>
      <c r="U48" s="79"/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/>
      <c r="B49" s="76"/>
      <c r="C49" s="77"/>
      <c r="D49" s="76"/>
      <c r="E49" s="76"/>
      <c r="F49" s="76"/>
      <c r="G49" s="76"/>
      <c r="H49" s="76"/>
      <c r="I49" s="75"/>
      <c r="J49" s="78"/>
      <c r="K49" s="76"/>
      <c r="L49" s="79" t="b">
        <v>0</v>
      </c>
      <c r="M49" s="80" t="str">
        <f t="shared" si="1"/>
        <v/>
      </c>
      <c r="N49" s="131" t="b">
        <v>0</v>
      </c>
      <c r="O49" s="80" t="str">
        <f t="shared" si="2"/>
        <v/>
      </c>
      <c r="P49" s="76"/>
      <c r="Q49" s="76"/>
      <c r="R49" s="76" t="b">
        <v>0</v>
      </c>
      <c r="S49" s="82" t="b">
        <v>0</v>
      </c>
      <c r="T49" s="76"/>
      <c r="U49" s="79"/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/>
      <c r="B50" s="76"/>
      <c r="C50" s="77"/>
      <c r="D50" s="76"/>
      <c r="E50" s="76"/>
      <c r="F50" s="76"/>
      <c r="G50" s="76"/>
      <c r="H50" s="76"/>
      <c r="I50" s="75"/>
      <c r="J50" s="78"/>
      <c r="K50" s="76"/>
      <c r="L50" s="79" t="b">
        <v>0</v>
      </c>
      <c r="M50" s="80" t="str">
        <f t="shared" si="1"/>
        <v/>
      </c>
      <c r="N50" s="131" t="b">
        <v>0</v>
      </c>
      <c r="O50" s="80" t="str">
        <f t="shared" si="2"/>
        <v/>
      </c>
      <c r="P50" s="76"/>
      <c r="Q50" s="76"/>
      <c r="R50" s="76" t="b">
        <v>0</v>
      </c>
      <c r="S50" s="82" t="b">
        <v>0</v>
      </c>
      <c r="T50" s="76"/>
      <c r="U50" s="79"/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/>
      <c r="B51" s="76"/>
      <c r="C51" s="77"/>
      <c r="D51" s="76"/>
      <c r="E51" s="76"/>
      <c r="F51" s="76"/>
      <c r="G51" s="76"/>
      <c r="H51" s="76"/>
      <c r="I51" s="75"/>
      <c r="J51" s="78"/>
      <c r="K51" s="76"/>
      <c r="L51" s="79" t="b">
        <v>0</v>
      </c>
      <c r="M51" s="80" t="str">
        <f t="shared" si="1"/>
        <v/>
      </c>
      <c r="N51" s="131" t="b">
        <v>0</v>
      </c>
      <c r="O51" s="80" t="str">
        <f t="shared" si="2"/>
        <v/>
      </c>
      <c r="P51" s="76"/>
      <c r="Q51" s="76"/>
      <c r="R51" s="76" t="b">
        <v>0</v>
      </c>
      <c r="S51" s="82" t="b">
        <v>0</v>
      </c>
      <c r="T51" s="76"/>
      <c r="U51" s="79"/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/>
      <c r="B52" s="76"/>
      <c r="C52" s="77"/>
      <c r="D52" s="76"/>
      <c r="E52" s="76"/>
      <c r="F52" s="76"/>
      <c r="G52" s="76"/>
      <c r="H52" s="76"/>
      <c r="I52" s="75"/>
      <c r="J52" s="78"/>
      <c r="K52" s="76"/>
      <c r="L52" s="79" t="b">
        <v>0</v>
      </c>
      <c r="M52" s="80" t="str">
        <f t="shared" si="1"/>
        <v/>
      </c>
      <c r="N52" s="131" t="b">
        <v>0</v>
      </c>
      <c r="O52" s="80" t="str">
        <f t="shared" si="2"/>
        <v/>
      </c>
      <c r="P52" s="76"/>
      <c r="Q52" s="76"/>
      <c r="R52" s="76" t="b">
        <v>0</v>
      </c>
      <c r="S52" s="82" t="b">
        <v>0</v>
      </c>
      <c r="T52" s="76"/>
      <c r="U52" s="79"/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/>
      <c r="B53" s="76"/>
      <c r="C53" s="77"/>
      <c r="D53" s="76"/>
      <c r="E53" s="76"/>
      <c r="F53" s="76"/>
      <c r="G53" s="76"/>
      <c r="H53" s="76"/>
      <c r="I53" s="75"/>
      <c r="J53" s="78"/>
      <c r="K53" s="76"/>
      <c r="L53" s="79" t="b">
        <v>0</v>
      </c>
      <c r="M53" s="80" t="str">
        <f t="shared" si="1"/>
        <v/>
      </c>
      <c r="N53" s="131" t="b">
        <v>0</v>
      </c>
      <c r="O53" s="80" t="str">
        <f t="shared" si="2"/>
        <v/>
      </c>
      <c r="P53" s="76"/>
      <c r="Q53" s="76"/>
      <c r="R53" s="76" t="b">
        <v>0</v>
      </c>
      <c r="S53" s="82" t="b">
        <v>0</v>
      </c>
      <c r="T53" s="76"/>
      <c r="U53" s="79"/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/>
      <c r="B54" s="76"/>
      <c r="C54" s="77"/>
      <c r="D54" s="76"/>
      <c r="E54" s="76"/>
      <c r="F54" s="76"/>
      <c r="G54" s="76"/>
      <c r="H54" s="76"/>
      <c r="I54" s="75"/>
      <c r="J54" s="78"/>
      <c r="K54" s="76"/>
      <c r="L54" s="79" t="b">
        <v>0</v>
      </c>
      <c r="M54" s="80" t="str">
        <f t="shared" si="1"/>
        <v/>
      </c>
      <c r="N54" s="131" t="b">
        <v>0</v>
      </c>
      <c r="O54" s="80" t="str">
        <f t="shared" si="2"/>
        <v/>
      </c>
      <c r="P54" s="76"/>
      <c r="Q54" s="76"/>
      <c r="R54" s="76" t="b">
        <v>0</v>
      </c>
      <c r="S54" s="82" t="b">
        <v>0</v>
      </c>
      <c r="T54" s="76"/>
      <c r="U54" s="79"/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/>
      <c r="B55" s="76"/>
      <c r="C55" s="77"/>
      <c r="D55" s="76"/>
      <c r="E55" s="76"/>
      <c r="F55" s="76"/>
      <c r="G55" s="76"/>
      <c r="H55" s="76"/>
      <c r="I55" s="75"/>
      <c r="J55" s="78"/>
      <c r="K55" s="76"/>
      <c r="L55" s="79" t="b">
        <v>0</v>
      </c>
      <c r="M55" s="80" t="str">
        <f t="shared" si="1"/>
        <v/>
      </c>
      <c r="N55" s="131" t="b">
        <v>0</v>
      </c>
      <c r="O55" s="80" t="str">
        <f t="shared" si="2"/>
        <v/>
      </c>
      <c r="P55" s="76"/>
      <c r="Q55" s="76"/>
      <c r="R55" s="76" t="b">
        <v>0</v>
      </c>
      <c r="S55" s="82" t="b">
        <v>0</v>
      </c>
      <c r="T55" s="76"/>
      <c r="U55" s="79"/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/>
      <c r="B56" s="76"/>
      <c r="C56" s="77"/>
      <c r="D56" s="76"/>
      <c r="E56" s="76"/>
      <c r="F56" s="76"/>
      <c r="G56" s="76"/>
      <c r="H56" s="76"/>
      <c r="I56" s="75"/>
      <c r="J56" s="78"/>
      <c r="K56" s="76"/>
      <c r="L56" s="79" t="b">
        <v>0</v>
      </c>
      <c r="M56" s="80" t="str">
        <f t="shared" si="1"/>
        <v/>
      </c>
      <c r="N56" s="131" t="b">
        <v>0</v>
      </c>
      <c r="O56" s="80" t="str">
        <f t="shared" si="2"/>
        <v/>
      </c>
      <c r="P56" s="76"/>
      <c r="Q56" s="76"/>
      <c r="R56" s="76" t="b">
        <v>0</v>
      </c>
      <c r="S56" s="82" t="b">
        <v>0</v>
      </c>
      <c r="T56" s="76"/>
      <c r="U56" s="79"/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/>
      <c r="B57" s="76"/>
      <c r="C57" s="77"/>
      <c r="D57" s="76"/>
      <c r="E57" s="76"/>
      <c r="F57" s="76"/>
      <c r="G57" s="76"/>
      <c r="H57" s="76"/>
      <c r="I57" s="75"/>
      <c r="J57" s="78"/>
      <c r="K57" s="76"/>
      <c r="L57" s="79" t="b">
        <v>0</v>
      </c>
      <c r="M57" s="80" t="str">
        <f t="shared" si="1"/>
        <v/>
      </c>
      <c r="N57" s="131" t="b">
        <v>0</v>
      </c>
      <c r="O57" s="80" t="str">
        <f t="shared" si="2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/>
      <c r="B58" s="76"/>
      <c r="C58" s="77"/>
      <c r="D58" s="76"/>
      <c r="E58" s="76"/>
      <c r="F58" s="76"/>
      <c r="G58" s="76"/>
      <c r="H58" s="76"/>
      <c r="I58" s="75"/>
      <c r="J58" s="78"/>
      <c r="K58" s="76"/>
      <c r="L58" s="79" t="b">
        <v>0</v>
      </c>
      <c r="M58" s="80" t="str">
        <f t="shared" si="1"/>
        <v/>
      </c>
      <c r="N58" s="131" t="b">
        <v>0</v>
      </c>
      <c r="O58" s="80" t="str">
        <f t="shared" si="2"/>
        <v/>
      </c>
      <c r="P58" s="76"/>
      <c r="Q58" s="76"/>
      <c r="R58" s="76" t="b">
        <v>0</v>
      </c>
      <c r="S58" s="82" t="b">
        <v>0</v>
      </c>
      <c r="T58" s="76"/>
      <c r="U58" s="79"/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/>
      <c r="B59" s="76"/>
      <c r="C59" s="77"/>
      <c r="D59" s="76"/>
      <c r="E59" s="76"/>
      <c r="F59" s="76"/>
      <c r="G59" s="76"/>
      <c r="H59" s="76"/>
      <c r="I59" s="75"/>
      <c r="J59" s="78"/>
      <c r="K59" s="76"/>
      <c r="L59" s="79" t="b">
        <v>0</v>
      </c>
      <c r="M59" s="80" t="str">
        <f t="shared" si="1"/>
        <v/>
      </c>
      <c r="N59" s="131" t="b">
        <v>0</v>
      </c>
      <c r="O59" s="80" t="str">
        <f t="shared" si="2"/>
        <v/>
      </c>
      <c r="P59" s="76"/>
      <c r="Q59" s="76"/>
      <c r="R59" s="76" t="b">
        <v>0</v>
      </c>
      <c r="S59" s="82" t="b">
        <v>0</v>
      </c>
      <c r="T59" s="76"/>
      <c r="U59" s="79"/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/>
      <c r="B60" s="76"/>
      <c r="C60" s="77"/>
      <c r="D60" s="76"/>
      <c r="E60" s="76"/>
      <c r="F60" s="76"/>
      <c r="G60" s="76"/>
      <c r="H60" s="76"/>
      <c r="I60" s="75"/>
      <c r="J60" s="78"/>
      <c r="K60" s="76"/>
      <c r="L60" s="79" t="b">
        <v>0</v>
      </c>
      <c r="M60" s="80" t="str">
        <f t="shared" si="1"/>
        <v/>
      </c>
      <c r="N60" s="131" t="b">
        <v>0</v>
      </c>
      <c r="O60" s="80" t="str">
        <f t="shared" si="2"/>
        <v/>
      </c>
      <c r="P60" s="76"/>
      <c r="Q60" s="76"/>
      <c r="R60" s="76" t="b">
        <v>0</v>
      </c>
      <c r="S60" s="82" t="b">
        <v>0</v>
      </c>
      <c r="T60" s="76"/>
      <c r="U60" s="79"/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/>
      <c r="B61" s="76"/>
      <c r="C61" s="77"/>
      <c r="D61" s="76"/>
      <c r="E61" s="76"/>
      <c r="F61" s="76"/>
      <c r="G61" s="76"/>
      <c r="H61" s="76"/>
      <c r="I61" s="75"/>
      <c r="J61" s="78"/>
      <c r="K61" s="76"/>
      <c r="L61" s="79" t="b">
        <v>0</v>
      </c>
      <c r="M61" s="80" t="str">
        <f t="shared" si="1"/>
        <v/>
      </c>
      <c r="N61" s="131" t="b">
        <v>0</v>
      </c>
      <c r="O61" s="80" t="str">
        <f t="shared" si="2"/>
        <v/>
      </c>
      <c r="P61" s="76"/>
      <c r="Q61" s="76"/>
      <c r="R61" s="76" t="b">
        <v>0</v>
      </c>
      <c r="S61" s="82" t="b">
        <v>0</v>
      </c>
      <c r="T61" s="76"/>
      <c r="U61" s="79"/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/>
      <c r="B62" s="76"/>
      <c r="C62" s="77"/>
      <c r="D62" s="76"/>
      <c r="E62" s="76"/>
      <c r="F62" s="76"/>
      <c r="G62" s="76"/>
      <c r="H62" s="76"/>
      <c r="I62" s="75"/>
      <c r="J62" s="78"/>
      <c r="K62" s="76"/>
      <c r="L62" s="79" t="b">
        <v>0</v>
      </c>
      <c r="M62" s="80" t="str">
        <f t="shared" si="1"/>
        <v/>
      </c>
      <c r="N62" s="131" t="b">
        <v>0</v>
      </c>
      <c r="O62" s="80" t="str">
        <f t="shared" si="2"/>
        <v/>
      </c>
      <c r="P62" s="76"/>
      <c r="Q62" s="76"/>
      <c r="R62" s="76" t="b">
        <v>0</v>
      </c>
      <c r="S62" s="82" t="b">
        <v>0</v>
      </c>
      <c r="T62" s="76"/>
      <c r="U62" s="79"/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/>
      <c r="B63" s="76"/>
      <c r="C63" s="77"/>
      <c r="D63" s="76"/>
      <c r="E63" s="76"/>
      <c r="F63" s="76"/>
      <c r="G63" s="76"/>
      <c r="H63" s="76"/>
      <c r="I63" s="75"/>
      <c r="J63" s="78"/>
      <c r="K63" s="76"/>
      <c r="L63" s="79" t="b">
        <v>0</v>
      </c>
      <c r="M63" s="80" t="str">
        <f t="shared" si="1"/>
        <v/>
      </c>
      <c r="N63" s="131" t="b">
        <v>0</v>
      </c>
      <c r="O63" s="80" t="str">
        <f t="shared" si="2"/>
        <v/>
      </c>
      <c r="P63" s="76"/>
      <c r="Q63" s="76"/>
      <c r="R63" s="76" t="b">
        <v>0</v>
      </c>
      <c r="S63" s="82" t="b">
        <v>0</v>
      </c>
      <c r="T63" s="76"/>
      <c r="U63" s="79"/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/>
      <c r="B64" s="76"/>
      <c r="C64" s="77"/>
      <c r="D64" s="76"/>
      <c r="E64" s="76"/>
      <c r="F64" s="76"/>
      <c r="G64" s="76"/>
      <c r="H64" s="76"/>
      <c r="I64" s="75"/>
      <c r="J64" s="78"/>
      <c r="K64" s="76"/>
      <c r="L64" s="79" t="b">
        <v>0</v>
      </c>
      <c r="M64" s="80" t="str">
        <f t="shared" si="1"/>
        <v/>
      </c>
      <c r="N64" s="131" t="b">
        <v>0</v>
      </c>
      <c r="O64" s="80" t="str">
        <f t="shared" si="2"/>
        <v/>
      </c>
      <c r="P64" s="76"/>
      <c r="Q64" s="76"/>
      <c r="R64" s="76" t="b">
        <v>0</v>
      </c>
      <c r="S64" s="82" t="b">
        <v>0</v>
      </c>
      <c r="T64" s="76"/>
      <c r="U64" s="79"/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/>
      <c r="B65" s="76"/>
      <c r="C65" s="77"/>
      <c r="D65" s="76"/>
      <c r="E65" s="76"/>
      <c r="F65" s="76"/>
      <c r="G65" s="76"/>
      <c r="H65" s="76"/>
      <c r="I65" s="75"/>
      <c r="J65" s="78"/>
      <c r="K65" s="76"/>
      <c r="L65" s="79" t="b">
        <v>0</v>
      </c>
      <c r="M65" s="80" t="str">
        <f t="shared" si="1"/>
        <v/>
      </c>
      <c r="N65" s="131" t="b">
        <v>0</v>
      </c>
      <c r="O65" s="80" t="str">
        <f t="shared" si="2"/>
        <v/>
      </c>
      <c r="P65" s="76"/>
      <c r="Q65" s="76"/>
      <c r="R65" s="76" t="b">
        <v>0</v>
      </c>
      <c r="S65" s="82" t="b">
        <v>0</v>
      </c>
      <c r="T65" s="76"/>
      <c r="U65" s="79"/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/>
      <c r="B66" s="76"/>
      <c r="C66" s="77"/>
      <c r="D66" s="76"/>
      <c r="E66" s="76"/>
      <c r="F66" s="76"/>
      <c r="G66" s="76"/>
      <c r="H66" s="76"/>
      <c r="I66" s="75"/>
      <c r="J66" s="78"/>
      <c r="K66" s="76"/>
      <c r="L66" s="79" t="b">
        <v>0</v>
      </c>
      <c r="M66" s="80" t="str">
        <f t="shared" si="1"/>
        <v/>
      </c>
      <c r="N66" s="131" t="b">
        <v>0</v>
      </c>
      <c r="O66" s="80" t="str">
        <f t="shared" si="2"/>
        <v/>
      </c>
      <c r="P66" s="76"/>
      <c r="Q66" s="76"/>
      <c r="R66" s="76" t="b">
        <v>0</v>
      </c>
      <c r="S66" s="82" t="b">
        <v>0</v>
      </c>
      <c r="T66" s="76"/>
      <c r="U66" s="79"/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/>
      <c r="B67" s="76"/>
      <c r="C67" s="77"/>
      <c r="D67" s="76"/>
      <c r="E67" s="76"/>
      <c r="F67" s="76"/>
      <c r="G67" s="76"/>
      <c r="H67" s="76"/>
      <c r="I67" s="75"/>
      <c r="J67" s="78"/>
      <c r="K67" s="76"/>
      <c r="L67" s="79" t="b">
        <v>0</v>
      </c>
      <c r="M67" s="80" t="str">
        <f t="shared" si="1"/>
        <v/>
      </c>
      <c r="N67" s="131" t="b">
        <v>0</v>
      </c>
      <c r="O67" s="80" t="str">
        <f t="shared" si="2"/>
        <v/>
      </c>
      <c r="P67" s="76"/>
      <c r="Q67" s="76"/>
      <c r="R67" s="76" t="b">
        <v>0</v>
      </c>
      <c r="S67" s="82" t="b">
        <v>0</v>
      </c>
      <c r="T67" s="76"/>
      <c r="U67" s="79"/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/>
      <c r="B68" s="76"/>
      <c r="C68" s="77"/>
      <c r="D68" s="76"/>
      <c r="E68" s="76"/>
      <c r="F68" s="76"/>
      <c r="G68" s="76"/>
      <c r="H68" s="76"/>
      <c r="I68" s="75"/>
      <c r="J68" s="78"/>
      <c r="K68" s="76"/>
      <c r="L68" s="79" t="b">
        <v>0</v>
      </c>
      <c r="M68" s="80" t="str">
        <f t="shared" si="1"/>
        <v/>
      </c>
      <c r="N68" s="131" t="b">
        <v>0</v>
      </c>
      <c r="O68" s="80" t="str">
        <f t="shared" si="2"/>
        <v/>
      </c>
      <c r="P68" s="76"/>
      <c r="Q68" s="76"/>
      <c r="R68" s="76" t="b">
        <v>0</v>
      </c>
      <c r="S68" s="82" t="b">
        <v>0</v>
      </c>
      <c r="T68" s="76"/>
      <c r="U68" s="79"/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/>
      <c r="B69" s="76"/>
      <c r="C69" s="77"/>
      <c r="D69" s="76"/>
      <c r="E69" s="76"/>
      <c r="F69" s="76"/>
      <c r="G69" s="76"/>
      <c r="H69" s="76"/>
      <c r="I69" s="75"/>
      <c r="J69" s="78"/>
      <c r="K69" s="76"/>
      <c r="L69" s="79" t="b">
        <v>0</v>
      </c>
      <c r="M69" s="80" t="str">
        <f t="shared" si="1"/>
        <v/>
      </c>
      <c r="N69" s="131" t="b">
        <v>0</v>
      </c>
      <c r="O69" s="80" t="str">
        <f t="shared" si="2"/>
        <v/>
      </c>
      <c r="P69" s="76"/>
      <c r="Q69" s="76"/>
      <c r="R69" s="76" t="b">
        <v>0</v>
      </c>
      <c r="S69" s="82" t="b">
        <v>0</v>
      </c>
      <c r="T69" s="76"/>
      <c r="U69" s="79"/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/>
      <c r="B70" s="76"/>
      <c r="C70" s="77"/>
      <c r="D70" s="76"/>
      <c r="E70" s="76"/>
      <c r="F70" s="76"/>
      <c r="G70" s="76"/>
      <c r="H70" s="76"/>
      <c r="I70" s="75"/>
      <c r="J70" s="78"/>
      <c r="K70" s="76"/>
      <c r="L70" s="79" t="b">
        <v>0</v>
      </c>
      <c r="M70" s="80" t="str">
        <f t="shared" si="1"/>
        <v/>
      </c>
      <c r="N70" s="131" t="b">
        <v>0</v>
      </c>
      <c r="O70" s="80" t="str">
        <f t="shared" si="2"/>
        <v/>
      </c>
      <c r="P70" s="76"/>
      <c r="Q70" s="76"/>
      <c r="R70" s="76" t="b">
        <v>0</v>
      </c>
      <c r="S70" s="82" t="b">
        <v>0</v>
      </c>
      <c r="T70" s="76"/>
      <c r="U70" s="79"/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/>
      <c r="B71" s="76"/>
      <c r="C71" s="77"/>
      <c r="D71" s="76"/>
      <c r="E71" s="76"/>
      <c r="F71" s="76"/>
      <c r="G71" s="76"/>
      <c r="H71" s="76"/>
      <c r="I71" s="75"/>
      <c r="J71" s="78"/>
      <c r="K71" s="76"/>
      <c r="L71" s="79" t="b">
        <v>0</v>
      </c>
      <c r="M71" s="80" t="str">
        <f t="shared" si="1"/>
        <v/>
      </c>
      <c r="N71" s="131" t="b">
        <v>0</v>
      </c>
      <c r="O71" s="80" t="str">
        <f t="shared" si="2"/>
        <v/>
      </c>
      <c r="P71" s="76"/>
      <c r="Q71" s="76"/>
      <c r="R71" s="76" t="b">
        <v>0</v>
      </c>
      <c r="S71" s="82" t="b">
        <v>0</v>
      </c>
      <c r="T71" s="76"/>
      <c r="U71" s="79"/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/>
      <c r="B72" s="76"/>
      <c r="C72" s="77"/>
      <c r="D72" s="76"/>
      <c r="E72" s="76"/>
      <c r="F72" s="76"/>
      <c r="G72" s="76"/>
      <c r="H72" s="76"/>
      <c r="I72" s="75"/>
      <c r="J72" s="78"/>
      <c r="K72" s="76"/>
      <c r="L72" s="79" t="b">
        <v>0</v>
      </c>
      <c r="M72" s="80" t="str">
        <f t="shared" si="1"/>
        <v/>
      </c>
      <c r="N72" s="131" t="b">
        <v>0</v>
      </c>
      <c r="O72" s="80" t="str">
        <f t="shared" si="2"/>
        <v/>
      </c>
      <c r="P72" s="76"/>
      <c r="Q72" s="76"/>
      <c r="R72" s="76" t="b">
        <v>0</v>
      </c>
      <c r="S72" s="82" t="b">
        <v>0</v>
      </c>
      <c r="T72" s="76"/>
      <c r="U72" s="79"/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/>
      <c r="B73" s="76"/>
      <c r="C73" s="77"/>
      <c r="D73" s="76"/>
      <c r="E73" s="76"/>
      <c r="F73" s="76"/>
      <c r="G73" s="76"/>
      <c r="H73" s="76"/>
      <c r="I73" s="75"/>
      <c r="J73" s="78"/>
      <c r="K73" s="76"/>
      <c r="L73" s="79" t="b">
        <v>0</v>
      </c>
      <c r="M73" s="80" t="str">
        <f t="shared" si="1"/>
        <v/>
      </c>
      <c r="N73" s="131" t="b">
        <v>0</v>
      </c>
      <c r="O73" s="80" t="str">
        <f t="shared" si="2"/>
        <v/>
      </c>
      <c r="P73" s="76"/>
      <c r="Q73" s="76"/>
      <c r="R73" s="76" t="b">
        <v>0</v>
      </c>
      <c r="S73" s="82" t="b">
        <v>0</v>
      </c>
      <c r="T73" s="76"/>
      <c r="U73" s="79"/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/>
      <c r="B74" s="76"/>
      <c r="C74" s="77"/>
      <c r="D74" s="76"/>
      <c r="E74" s="76"/>
      <c r="F74" s="76"/>
      <c r="G74" s="76"/>
      <c r="H74" s="76"/>
      <c r="I74" s="75"/>
      <c r="J74" s="78"/>
      <c r="K74" s="76"/>
      <c r="L74" s="79" t="b">
        <v>0</v>
      </c>
      <c r="M74" s="80" t="str">
        <f t="shared" si="1"/>
        <v/>
      </c>
      <c r="N74" s="131" t="b">
        <v>0</v>
      </c>
      <c r="O74" s="80" t="str">
        <f t="shared" si="2"/>
        <v/>
      </c>
      <c r="P74" s="76"/>
      <c r="Q74" s="76"/>
      <c r="R74" s="76" t="b">
        <v>0</v>
      </c>
      <c r="S74" s="82" t="b">
        <v>0</v>
      </c>
      <c r="T74" s="76"/>
      <c r="U74" s="79"/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/>
      <c r="B75" s="76"/>
      <c r="C75" s="77"/>
      <c r="D75" s="76"/>
      <c r="E75" s="76"/>
      <c r="F75" s="76"/>
      <c r="G75" s="76"/>
      <c r="H75" s="76"/>
      <c r="I75" s="75"/>
      <c r="J75" s="78"/>
      <c r="K75" s="76"/>
      <c r="L75" s="79" t="b">
        <v>0</v>
      </c>
      <c r="M75" s="80" t="str">
        <f t="shared" si="1"/>
        <v/>
      </c>
      <c r="N75" s="131" t="b">
        <v>0</v>
      </c>
      <c r="O75" s="80" t="str">
        <f t="shared" si="2"/>
        <v/>
      </c>
      <c r="P75" s="76"/>
      <c r="Q75" s="76"/>
      <c r="R75" s="76" t="b">
        <v>0</v>
      </c>
      <c r="S75" s="82" t="b">
        <v>0</v>
      </c>
      <c r="T75" s="76"/>
      <c r="U75" s="79"/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/>
      <c r="B76" s="76"/>
      <c r="C76" s="77"/>
      <c r="D76" s="76"/>
      <c r="E76" s="76"/>
      <c r="F76" s="76"/>
      <c r="G76" s="76"/>
      <c r="H76" s="76"/>
      <c r="I76" s="75"/>
      <c r="J76" s="78"/>
      <c r="K76" s="76"/>
      <c r="L76" s="79" t="b">
        <v>0</v>
      </c>
      <c r="M76" s="80" t="str">
        <f t="shared" si="1"/>
        <v/>
      </c>
      <c r="N76" s="131" t="b">
        <v>0</v>
      </c>
      <c r="O76" s="80" t="str">
        <f t="shared" si="2"/>
        <v/>
      </c>
      <c r="P76" s="76"/>
      <c r="Q76" s="76"/>
      <c r="R76" s="76" t="b">
        <v>0</v>
      </c>
      <c r="S76" s="82" t="b">
        <v>0</v>
      </c>
      <c r="T76" s="76"/>
      <c r="U76" s="79"/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/>
      <c r="B77" s="76"/>
      <c r="C77" s="77"/>
      <c r="D77" s="76"/>
      <c r="E77" s="76"/>
      <c r="F77" s="76"/>
      <c r="G77" s="76"/>
      <c r="H77" s="76"/>
      <c r="I77" s="75"/>
      <c r="J77" s="78"/>
      <c r="K77" s="76"/>
      <c r="L77" s="79" t="b">
        <v>0</v>
      </c>
      <c r="M77" s="80" t="str">
        <f t="shared" si="1"/>
        <v/>
      </c>
      <c r="N77" s="131" t="b">
        <v>0</v>
      </c>
      <c r="O77" s="80" t="str">
        <f t="shared" si="2"/>
        <v/>
      </c>
      <c r="P77" s="76"/>
      <c r="Q77" s="76"/>
      <c r="R77" s="76" t="b">
        <v>0</v>
      </c>
      <c r="S77" s="82" t="b">
        <v>0</v>
      </c>
      <c r="T77" s="76"/>
      <c r="U77" s="79"/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/>
      <c r="B78" s="76"/>
      <c r="C78" s="77"/>
      <c r="D78" s="76"/>
      <c r="E78" s="76"/>
      <c r="F78" s="76"/>
      <c r="G78" s="76"/>
      <c r="H78" s="76"/>
      <c r="I78" s="75"/>
      <c r="J78" s="78"/>
      <c r="K78" s="76"/>
      <c r="L78" s="79" t="b">
        <v>0</v>
      </c>
      <c r="M78" s="80" t="str">
        <f t="shared" si="1"/>
        <v/>
      </c>
      <c r="N78" s="131" t="b">
        <v>0</v>
      </c>
      <c r="O78" s="80" t="str">
        <f t="shared" si="2"/>
        <v/>
      </c>
      <c r="P78" s="76"/>
      <c r="Q78" s="76"/>
      <c r="R78" s="76" t="b">
        <v>0</v>
      </c>
      <c r="S78" s="82" t="b">
        <v>0</v>
      </c>
      <c r="T78" s="76"/>
      <c r="U78" s="79"/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76"/>
      <c r="C79" s="77"/>
      <c r="D79" s="76"/>
      <c r="E79" s="76"/>
      <c r="F79" s="76"/>
      <c r="G79" s="76"/>
      <c r="H79" s="76"/>
      <c r="I79" s="75"/>
      <c r="J79" s="78"/>
      <c r="K79" s="76"/>
      <c r="L79" s="79" t="b">
        <v>0</v>
      </c>
      <c r="M79" s="80" t="str">
        <f t="shared" si="1"/>
        <v/>
      </c>
      <c r="N79" s="131" t="b">
        <v>0</v>
      </c>
      <c r="O79" s="80" t="str">
        <f t="shared" si="2"/>
        <v/>
      </c>
      <c r="P79" s="76"/>
      <c r="Q79" s="76"/>
      <c r="R79" s="76" t="b">
        <v>0</v>
      </c>
      <c r="S79" s="82" t="b">
        <v>0</v>
      </c>
      <c r="T79" s="76"/>
      <c r="U79" s="79"/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/>
      <c r="B80" s="76"/>
      <c r="C80" s="77"/>
      <c r="D80" s="76"/>
      <c r="E80" s="76"/>
      <c r="F80" s="76"/>
      <c r="G80" s="76"/>
      <c r="H80" s="76"/>
      <c r="I80" s="75"/>
      <c r="J80" s="78"/>
      <c r="K80" s="76"/>
      <c r="L80" s="79" t="b">
        <v>0</v>
      </c>
      <c r="M80" s="80" t="str">
        <f t="shared" si="1"/>
        <v/>
      </c>
      <c r="N80" s="131" t="b">
        <v>0</v>
      </c>
      <c r="O80" s="80" t="str">
        <f t="shared" si="2"/>
        <v/>
      </c>
      <c r="P80" s="76"/>
      <c r="Q80" s="76"/>
      <c r="R80" s="76" t="b">
        <v>0</v>
      </c>
      <c r="S80" s="82" t="b">
        <v>0</v>
      </c>
      <c r="T80" s="76"/>
      <c r="U80" s="79"/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76"/>
      <c r="C81" s="77"/>
      <c r="D81" s="76"/>
      <c r="E81" s="76"/>
      <c r="F81" s="76"/>
      <c r="G81" s="76"/>
      <c r="H81" s="76"/>
      <c r="I81" s="75"/>
      <c r="J81" s="78"/>
      <c r="K81" s="76"/>
      <c r="L81" s="79" t="b">
        <v>0</v>
      </c>
      <c r="M81" s="80" t="str">
        <f t="shared" si="1"/>
        <v/>
      </c>
      <c r="N81" s="131" t="b">
        <v>0</v>
      </c>
      <c r="O81" s="80" t="str">
        <f t="shared" si="2"/>
        <v/>
      </c>
      <c r="P81" s="76"/>
      <c r="Q81" s="76"/>
      <c r="R81" s="76" t="b">
        <v>0</v>
      </c>
      <c r="S81" s="82" t="b">
        <v>0</v>
      </c>
      <c r="T81" s="76"/>
      <c r="U81" s="79"/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/>
      <c r="B82" s="76"/>
      <c r="C82" s="77"/>
      <c r="D82" s="76"/>
      <c r="E82" s="76"/>
      <c r="F82" s="76"/>
      <c r="G82" s="76"/>
      <c r="H82" s="76"/>
      <c r="I82" s="75"/>
      <c r="J82" s="78"/>
      <c r="K82" s="76"/>
      <c r="L82" s="79" t="b">
        <v>0</v>
      </c>
      <c r="M82" s="80" t="str">
        <f t="shared" si="1"/>
        <v/>
      </c>
      <c r="N82" s="131" t="b">
        <v>0</v>
      </c>
      <c r="O82" s="80" t="str">
        <f t="shared" si="2"/>
        <v/>
      </c>
      <c r="P82" s="76"/>
      <c r="Q82" s="76"/>
      <c r="R82" s="76" t="b">
        <v>0</v>
      </c>
      <c r="S82" s="82" t="b">
        <v>0</v>
      </c>
      <c r="T82" s="76"/>
      <c r="U82" s="79"/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/>
      <c r="B83" s="76"/>
      <c r="C83" s="77"/>
      <c r="D83" s="76"/>
      <c r="E83" s="76"/>
      <c r="F83" s="76"/>
      <c r="G83" s="76"/>
      <c r="H83" s="76"/>
      <c r="I83" s="75"/>
      <c r="J83" s="78"/>
      <c r="K83" s="76"/>
      <c r="L83" s="79" t="b">
        <v>0</v>
      </c>
      <c r="M83" s="80" t="str">
        <f t="shared" si="1"/>
        <v/>
      </c>
      <c r="N83" s="79" t="b">
        <v>0</v>
      </c>
      <c r="O83" s="80" t="str">
        <f t="shared" si="2"/>
        <v/>
      </c>
      <c r="P83" s="76"/>
      <c r="Q83" s="76"/>
      <c r="R83" s="76" t="b">
        <v>0</v>
      </c>
      <c r="S83" s="82" t="b">
        <v>0</v>
      </c>
      <c r="T83" s="76"/>
      <c r="U83" s="79"/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/>
      <c r="B84" s="76"/>
      <c r="C84" s="77"/>
      <c r="D84" s="76"/>
      <c r="E84" s="76"/>
      <c r="F84" s="76"/>
      <c r="G84" s="76"/>
      <c r="H84" s="76"/>
      <c r="I84" s="75"/>
      <c r="J84" s="78"/>
      <c r="K84" s="76"/>
      <c r="L84" s="79" t="b">
        <v>0</v>
      </c>
      <c r="M84" s="80" t="str">
        <f t="shared" si="1"/>
        <v/>
      </c>
      <c r="N84" s="79" t="b">
        <v>0</v>
      </c>
      <c r="O84" s="80" t="str">
        <f t="shared" si="2"/>
        <v/>
      </c>
      <c r="P84" s="76"/>
      <c r="Q84" s="76"/>
      <c r="R84" s="76" t="b">
        <v>0</v>
      </c>
      <c r="S84" s="82" t="b">
        <v>0</v>
      </c>
      <c r="T84" s="76"/>
      <c r="U84" s="79"/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/>
      <c r="B85" s="76"/>
      <c r="C85" s="77"/>
      <c r="D85" s="76"/>
      <c r="E85" s="76"/>
      <c r="F85" s="76"/>
      <c r="G85" s="76"/>
      <c r="H85" s="76"/>
      <c r="I85" s="75"/>
      <c r="J85" s="78"/>
      <c r="K85" s="76"/>
      <c r="L85" s="79" t="b">
        <v>0</v>
      </c>
      <c r="M85" s="80" t="str">
        <f t="shared" si="1"/>
        <v/>
      </c>
      <c r="N85" s="79" t="b">
        <v>0</v>
      </c>
      <c r="O85" s="80" t="str">
        <f t="shared" si="2"/>
        <v/>
      </c>
      <c r="P85" s="76"/>
      <c r="Q85" s="76"/>
      <c r="R85" s="76" t="b">
        <v>0</v>
      </c>
      <c r="S85" s="82" t="b">
        <v>0</v>
      </c>
      <c r="T85" s="76"/>
      <c r="U85" s="79"/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/>
      <c r="B86" s="76"/>
      <c r="C86" s="77"/>
      <c r="D86" s="76"/>
      <c r="E86" s="76"/>
      <c r="F86" s="76"/>
      <c r="G86" s="76"/>
      <c r="H86" s="76"/>
      <c r="I86" s="75"/>
      <c r="J86" s="78"/>
      <c r="K86" s="76"/>
      <c r="L86" s="79" t="b">
        <v>0</v>
      </c>
      <c r="M86" s="80" t="str">
        <f t="shared" si="1"/>
        <v/>
      </c>
      <c r="N86" s="79" t="b">
        <v>0</v>
      </c>
      <c r="O86" s="80" t="str">
        <f t="shared" si="2"/>
        <v/>
      </c>
      <c r="P86" s="76"/>
      <c r="Q86" s="76"/>
      <c r="R86" s="76" t="b">
        <v>0</v>
      </c>
      <c r="S86" s="82" t="b">
        <v>0</v>
      </c>
      <c r="T86" s="76"/>
      <c r="U86" s="79"/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76"/>
      <c r="C87" s="77"/>
      <c r="D87" s="76"/>
      <c r="E87" s="76"/>
      <c r="F87" s="76"/>
      <c r="G87" s="76"/>
      <c r="H87" s="76"/>
      <c r="I87" s="75"/>
      <c r="J87" s="78"/>
      <c r="K87" s="76"/>
      <c r="L87" s="79" t="b">
        <v>0</v>
      </c>
      <c r="M87" s="80" t="str">
        <f t="shared" si="1"/>
        <v/>
      </c>
      <c r="N87" s="79" t="b">
        <v>0</v>
      </c>
      <c r="O87" s="80" t="str">
        <f t="shared" si="2"/>
        <v/>
      </c>
      <c r="P87" s="76"/>
      <c r="Q87" s="76"/>
      <c r="R87" s="76" t="b">
        <v>0</v>
      </c>
      <c r="S87" s="82" t="b">
        <v>0</v>
      </c>
      <c r="T87" s="76"/>
      <c r="U87" s="79"/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/>
      <c r="B88" s="76"/>
      <c r="C88" s="77"/>
      <c r="D88" s="76"/>
      <c r="E88" s="76"/>
      <c r="F88" s="76"/>
      <c r="G88" s="76"/>
      <c r="H88" s="76"/>
      <c r="I88" s="75"/>
      <c r="J88" s="78"/>
      <c r="K88" s="76"/>
      <c r="L88" s="79" t="b">
        <v>0</v>
      </c>
      <c r="M88" s="80" t="str">
        <f t="shared" si="1"/>
        <v/>
      </c>
      <c r="N88" s="79" t="b">
        <v>0</v>
      </c>
      <c r="O88" s="80" t="str">
        <f t="shared" si="2"/>
        <v/>
      </c>
      <c r="P88" s="76"/>
      <c r="Q88" s="76"/>
      <c r="R88" s="76" t="b">
        <v>0</v>
      </c>
      <c r="S88" s="82" t="b">
        <v>0</v>
      </c>
      <c r="T88" s="76"/>
      <c r="U88" s="79"/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76"/>
      <c r="C89" s="77"/>
      <c r="D89" s="76"/>
      <c r="E89" s="76"/>
      <c r="F89" s="76"/>
      <c r="G89" s="76"/>
      <c r="H89" s="76"/>
      <c r="I89" s="75"/>
      <c r="J89" s="78"/>
      <c r="K89" s="76"/>
      <c r="L89" s="79" t="b">
        <v>0</v>
      </c>
      <c r="M89" s="80" t="str">
        <f t="shared" si="1"/>
        <v/>
      </c>
      <c r="N89" s="79" t="b">
        <v>0</v>
      </c>
      <c r="O89" s="80" t="str">
        <f t="shared" si="2"/>
        <v/>
      </c>
      <c r="P89" s="76"/>
      <c r="Q89" s="76"/>
      <c r="R89" s="76" t="b">
        <v>0</v>
      </c>
      <c r="S89" s="82" t="b">
        <v>0</v>
      </c>
      <c r="T89" s="76"/>
      <c r="U89" s="79"/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/>
      <c r="B90" s="76"/>
      <c r="C90" s="77"/>
      <c r="D90" s="76"/>
      <c r="E90" s="76"/>
      <c r="F90" s="76"/>
      <c r="G90" s="76"/>
      <c r="H90" s="76"/>
      <c r="I90" s="75"/>
      <c r="J90" s="78"/>
      <c r="K90" s="76"/>
      <c r="L90" s="79" t="b">
        <v>0</v>
      </c>
      <c r="M90" s="80" t="str">
        <f t="shared" si="1"/>
        <v/>
      </c>
      <c r="N90" s="79" t="b">
        <v>0</v>
      </c>
      <c r="O90" s="80" t="str">
        <f t="shared" si="2"/>
        <v/>
      </c>
      <c r="P90" s="76"/>
      <c r="Q90" s="76"/>
      <c r="R90" s="76" t="b">
        <v>0</v>
      </c>
      <c r="S90" s="82" t="b">
        <v>0</v>
      </c>
      <c r="T90" s="76"/>
      <c r="U90" s="79"/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76"/>
      <c r="C91" s="77"/>
      <c r="D91" s="76"/>
      <c r="E91" s="76"/>
      <c r="F91" s="76"/>
      <c r="G91" s="76"/>
      <c r="H91" s="76"/>
      <c r="I91" s="75"/>
      <c r="J91" s="78"/>
      <c r="K91" s="76"/>
      <c r="L91" s="79" t="b">
        <v>0</v>
      </c>
      <c r="M91" s="80" t="str">
        <f t="shared" si="1"/>
        <v/>
      </c>
      <c r="N91" s="79" t="b">
        <v>0</v>
      </c>
      <c r="O91" s="80" t="str">
        <f t="shared" si="2"/>
        <v/>
      </c>
      <c r="P91" s="76"/>
      <c r="Q91" s="76"/>
      <c r="R91" s="76" t="b">
        <v>0</v>
      </c>
      <c r="S91" s="82" t="b">
        <v>0</v>
      </c>
      <c r="T91" s="76"/>
      <c r="U91" s="79"/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76"/>
      <c r="C92" s="77"/>
      <c r="D92" s="76"/>
      <c r="E92" s="76"/>
      <c r="F92" s="76"/>
      <c r="G92" s="76"/>
      <c r="H92" s="76"/>
      <c r="I92" s="75"/>
      <c r="J92" s="78"/>
      <c r="K92" s="76"/>
      <c r="L92" s="79" t="b">
        <v>0</v>
      </c>
      <c r="M92" s="80" t="str">
        <f t="shared" si="1"/>
        <v/>
      </c>
      <c r="N92" s="79" t="b">
        <v>0</v>
      </c>
      <c r="O92" s="80" t="str">
        <f t="shared" si="2"/>
        <v/>
      </c>
      <c r="P92" s="76"/>
      <c r="Q92" s="76"/>
      <c r="R92" s="76" t="b">
        <v>0</v>
      </c>
      <c r="S92" s="82" t="b">
        <v>0</v>
      </c>
      <c r="T92" s="76"/>
      <c r="U92" s="79"/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76"/>
      <c r="C93" s="77"/>
      <c r="D93" s="76"/>
      <c r="E93" s="76"/>
      <c r="F93" s="76"/>
      <c r="G93" s="76"/>
      <c r="H93" s="76"/>
      <c r="I93" s="75"/>
      <c r="J93" s="78"/>
      <c r="K93" s="76"/>
      <c r="L93" s="79" t="b">
        <v>0</v>
      </c>
      <c r="M93" s="80" t="str">
        <f t="shared" si="1"/>
        <v/>
      </c>
      <c r="N93" s="79" t="b">
        <v>0</v>
      </c>
      <c r="O93" s="80" t="str">
        <f t="shared" si="2"/>
        <v/>
      </c>
      <c r="P93" s="76"/>
      <c r="Q93" s="76"/>
      <c r="R93" s="76" t="b">
        <v>0</v>
      </c>
      <c r="S93" s="82" t="b">
        <v>0</v>
      </c>
      <c r="T93" s="76"/>
      <c r="U93" s="79"/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/>
      <c r="B94" s="76"/>
      <c r="C94" s="77"/>
      <c r="D94" s="76"/>
      <c r="E94" s="76"/>
      <c r="F94" s="76"/>
      <c r="G94" s="76"/>
      <c r="H94" s="76"/>
      <c r="I94" s="75"/>
      <c r="J94" s="78"/>
      <c r="K94" s="76"/>
      <c r="L94" s="79" t="b">
        <v>0</v>
      </c>
      <c r="M94" s="80" t="str">
        <f t="shared" si="1"/>
        <v/>
      </c>
      <c r="N94" s="79" t="b">
        <v>0</v>
      </c>
      <c r="O94" s="80" t="str">
        <f t="shared" si="2"/>
        <v/>
      </c>
      <c r="P94" s="76"/>
      <c r="Q94" s="76"/>
      <c r="R94" s="76" t="b">
        <v>0</v>
      </c>
      <c r="S94" s="82" t="b">
        <v>0</v>
      </c>
      <c r="T94" s="76"/>
      <c r="U94" s="79"/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/>
      <c r="B95" s="76"/>
      <c r="C95" s="77"/>
      <c r="D95" s="76"/>
      <c r="E95" s="76"/>
      <c r="F95" s="76"/>
      <c r="G95" s="76"/>
      <c r="H95" s="76"/>
      <c r="I95" s="75"/>
      <c r="J95" s="78"/>
      <c r="K95" s="76"/>
      <c r="L95" s="79" t="b">
        <v>0</v>
      </c>
      <c r="M95" s="80" t="str">
        <f t="shared" si="1"/>
        <v/>
      </c>
      <c r="N95" s="79" t="b">
        <v>0</v>
      </c>
      <c r="O95" s="80" t="str">
        <f t="shared" si="2"/>
        <v/>
      </c>
      <c r="P95" s="76"/>
      <c r="Q95" s="76"/>
      <c r="R95" s="76" t="b">
        <v>0</v>
      </c>
      <c r="S95" s="82" t="b">
        <v>0</v>
      </c>
      <c r="T95" s="76"/>
      <c r="U95" s="79"/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76"/>
      <c r="C96" s="77"/>
      <c r="D96" s="76"/>
      <c r="E96" s="76"/>
      <c r="F96" s="76"/>
      <c r="G96" s="76"/>
      <c r="H96" s="76"/>
      <c r="I96" s="75"/>
      <c r="J96" s="78"/>
      <c r="K96" s="76"/>
      <c r="L96" s="79" t="b">
        <v>0</v>
      </c>
      <c r="M96" s="80" t="str">
        <f t="shared" si="1"/>
        <v/>
      </c>
      <c r="N96" s="79" t="b">
        <v>0</v>
      </c>
      <c r="O96" s="80" t="str">
        <f t="shared" si="2"/>
        <v/>
      </c>
      <c r="P96" s="76"/>
      <c r="Q96" s="76"/>
      <c r="R96" s="76" t="b">
        <v>0</v>
      </c>
      <c r="S96" s="82" t="b">
        <v>0</v>
      </c>
      <c r="T96" s="76"/>
      <c r="U96" s="79"/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76"/>
      <c r="C97" s="77"/>
      <c r="D97" s="76"/>
      <c r="E97" s="76"/>
      <c r="F97" s="76"/>
      <c r="G97" s="76"/>
      <c r="H97" s="76"/>
      <c r="I97" s="75"/>
      <c r="J97" s="78"/>
      <c r="K97" s="76"/>
      <c r="L97" s="79" t="b">
        <v>0</v>
      </c>
      <c r="M97" s="80" t="str">
        <f t="shared" si="1"/>
        <v/>
      </c>
      <c r="N97" s="79" t="b">
        <v>0</v>
      </c>
      <c r="O97" s="80" t="str">
        <f t="shared" si="2"/>
        <v/>
      </c>
      <c r="P97" s="76"/>
      <c r="Q97" s="76"/>
      <c r="R97" s="76" t="b">
        <v>0</v>
      </c>
      <c r="S97" s="82" t="b">
        <v>0</v>
      </c>
      <c r="T97" s="76"/>
      <c r="U97" s="79"/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76"/>
      <c r="C98" s="77"/>
      <c r="D98" s="76"/>
      <c r="E98" s="76"/>
      <c r="F98" s="76"/>
      <c r="G98" s="76"/>
      <c r="H98" s="76"/>
      <c r="I98" s="75"/>
      <c r="J98" s="78"/>
      <c r="K98" s="76"/>
      <c r="L98" s="79" t="b">
        <v>0</v>
      </c>
      <c r="M98" s="80" t="str">
        <f t="shared" si="1"/>
        <v/>
      </c>
      <c r="N98" s="79" t="b">
        <v>0</v>
      </c>
      <c r="O98" s="80" t="str">
        <f t="shared" si="2"/>
        <v/>
      </c>
      <c r="P98" s="76"/>
      <c r="Q98" s="76"/>
      <c r="R98" s="76" t="b">
        <v>0</v>
      </c>
      <c r="S98" s="82" t="b">
        <v>0</v>
      </c>
      <c r="T98" s="76"/>
      <c r="U98" s="79"/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76"/>
      <c r="C99" s="77"/>
      <c r="D99" s="76"/>
      <c r="E99" s="76"/>
      <c r="F99" s="76"/>
      <c r="G99" s="76"/>
      <c r="H99" s="76"/>
      <c r="I99" s="75"/>
      <c r="J99" s="78"/>
      <c r="K99" s="76"/>
      <c r="L99" s="79" t="b">
        <v>0</v>
      </c>
      <c r="M99" s="80" t="str">
        <f t="shared" si="1"/>
        <v/>
      </c>
      <c r="N99" s="79" t="b">
        <v>0</v>
      </c>
      <c r="O99" s="80" t="str">
        <f t="shared" si="2"/>
        <v/>
      </c>
      <c r="P99" s="76"/>
      <c r="Q99" s="76"/>
      <c r="R99" s="76" t="b">
        <v>0</v>
      </c>
      <c r="S99" s="82" t="b">
        <v>0</v>
      </c>
      <c r="T99" s="76"/>
      <c r="U99" s="79"/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76"/>
      <c r="C100" s="77"/>
      <c r="D100" s="76"/>
      <c r="E100" s="76"/>
      <c r="F100" s="76"/>
      <c r="G100" s="76"/>
      <c r="H100" s="76"/>
      <c r="I100" s="75"/>
      <c r="J100" s="78"/>
      <c r="K100" s="76"/>
      <c r="L100" s="79" t="b">
        <v>0</v>
      </c>
      <c r="M100" s="80" t="str">
        <f t="shared" si="1"/>
        <v/>
      </c>
      <c r="N100" s="79" t="b">
        <v>0</v>
      </c>
      <c r="O100" s="80" t="str">
        <f t="shared" si="2"/>
        <v/>
      </c>
      <c r="P100" s="76"/>
      <c r="Q100" s="76"/>
      <c r="R100" s="76" t="b">
        <v>0</v>
      </c>
      <c r="S100" s="82" t="b">
        <v>0</v>
      </c>
      <c r="T100" s="76"/>
      <c r="U100" s="79"/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76"/>
      <c r="C101" s="77"/>
      <c r="D101" s="76"/>
      <c r="E101" s="76"/>
      <c r="F101" s="76"/>
      <c r="G101" s="76"/>
      <c r="H101" s="76"/>
      <c r="I101" s="75"/>
      <c r="J101" s="78"/>
      <c r="K101" s="76"/>
      <c r="L101" s="79" t="b">
        <v>0</v>
      </c>
      <c r="M101" s="80" t="str">
        <f t="shared" si="1"/>
        <v/>
      </c>
      <c r="N101" s="79" t="b">
        <v>0</v>
      </c>
      <c r="O101" s="80" t="str">
        <f t="shared" si="2"/>
        <v/>
      </c>
      <c r="P101" s="76"/>
      <c r="Q101" s="76"/>
      <c r="R101" s="76" t="b">
        <v>0</v>
      </c>
      <c r="S101" s="82" t="b">
        <v>0</v>
      </c>
      <c r="T101" s="76"/>
      <c r="U101" s="79"/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76"/>
      <c r="C102" s="77"/>
      <c r="D102" s="76"/>
      <c r="E102" s="76"/>
      <c r="F102" s="76"/>
      <c r="G102" s="76"/>
      <c r="H102" s="76"/>
      <c r="I102" s="75"/>
      <c r="J102" s="78"/>
      <c r="K102" s="76"/>
      <c r="L102" s="79" t="b">
        <v>0</v>
      </c>
      <c r="M102" s="80" t="str">
        <f t="shared" si="1"/>
        <v/>
      </c>
      <c r="N102" s="79" t="b">
        <v>0</v>
      </c>
      <c r="O102" s="80" t="str">
        <f t="shared" si="2"/>
        <v/>
      </c>
      <c r="P102" s="76"/>
      <c r="Q102" s="76"/>
      <c r="R102" s="76" t="b">
        <v>0</v>
      </c>
      <c r="S102" s="82" t="b">
        <v>0</v>
      </c>
      <c r="T102" s="76"/>
      <c r="U102" s="79"/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76"/>
      <c r="C103" s="77"/>
      <c r="D103" s="76"/>
      <c r="E103" s="76"/>
      <c r="F103" s="76"/>
      <c r="G103" s="76"/>
      <c r="H103" s="76"/>
      <c r="I103" s="75"/>
      <c r="J103" s="78"/>
      <c r="K103" s="76"/>
      <c r="L103" s="79" t="b">
        <v>0</v>
      </c>
      <c r="M103" s="80" t="str">
        <f t="shared" si="1"/>
        <v/>
      </c>
      <c r="N103" s="79" t="b">
        <v>0</v>
      </c>
      <c r="O103" s="80" t="str">
        <f t="shared" si="2"/>
        <v/>
      </c>
      <c r="P103" s="76"/>
      <c r="Q103" s="76"/>
      <c r="R103" s="76" t="b">
        <v>0</v>
      </c>
      <c r="S103" s="82" t="b">
        <v>0</v>
      </c>
      <c r="T103" s="76"/>
      <c r="U103" s="79"/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76"/>
      <c r="C104" s="77"/>
      <c r="D104" s="76"/>
      <c r="E104" s="76"/>
      <c r="F104" s="76"/>
      <c r="G104" s="76"/>
      <c r="H104" s="76"/>
      <c r="I104" s="75"/>
      <c r="J104" s="78"/>
      <c r="K104" s="76"/>
      <c r="L104" s="79" t="b">
        <v>0</v>
      </c>
      <c r="M104" s="80" t="str">
        <f t="shared" si="1"/>
        <v/>
      </c>
      <c r="N104" s="79" t="b">
        <v>0</v>
      </c>
      <c r="O104" s="80" t="str">
        <f t="shared" si="2"/>
        <v/>
      </c>
      <c r="P104" s="76"/>
      <c r="Q104" s="76"/>
      <c r="R104" s="76" t="b">
        <v>0</v>
      </c>
      <c r="S104" s="82" t="b">
        <v>0</v>
      </c>
      <c r="T104" s="76"/>
      <c r="U104" s="79"/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76"/>
      <c r="C105" s="77"/>
      <c r="D105" s="76"/>
      <c r="E105" s="76"/>
      <c r="F105" s="76"/>
      <c r="G105" s="76"/>
      <c r="H105" s="76"/>
      <c r="I105" s="75"/>
      <c r="J105" s="78"/>
      <c r="K105" s="76"/>
      <c r="L105" s="79" t="b">
        <v>0</v>
      </c>
      <c r="M105" s="80" t="str">
        <f t="shared" si="1"/>
        <v/>
      </c>
      <c r="N105" s="79" t="b">
        <v>0</v>
      </c>
      <c r="O105" s="80" t="str">
        <f t="shared" si="2"/>
        <v/>
      </c>
      <c r="P105" s="76"/>
      <c r="Q105" s="76"/>
      <c r="R105" s="76" t="b">
        <v>0</v>
      </c>
      <c r="S105" s="82" t="b">
        <v>0</v>
      </c>
      <c r="T105" s="76"/>
      <c r="U105" s="79"/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/>
      <c r="B106" s="76"/>
      <c r="C106" s="77"/>
      <c r="D106" s="76"/>
      <c r="E106" s="76"/>
      <c r="F106" s="76"/>
      <c r="G106" s="76"/>
      <c r="H106" s="76"/>
      <c r="I106" s="75"/>
      <c r="J106" s="78"/>
      <c r="K106" s="76"/>
      <c r="L106" s="79" t="b">
        <v>0</v>
      </c>
      <c r="M106" s="80" t="str">
        <f t="shared" si="1"/>
        <v/>
      </c>
      <c r="N106" s="79" t="b">
        <v>0</v>
      </c>
      <c r="O106" s="80" t="str">
        <f t="shared" si="2"/>
        <v/>
      </c>
      <c r="P106" s="76"/>
      <c r="Q106" s="76"/>
      <c r="R106" s="76" t="b">
        <v>0</v>
      </c>
      <c r="S106" s="82" t="b">
        <v>0</v>
      </c>
      <c r="T106" s="76"/>
      <c r="U106" s="79"/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/>
      <c r="B107" s="76"/>
      <c r="C107" s="77"/>
      <c r="D107" s="76"/>
      <c r="E107" s="76"/>
      <c r="F107" s="76"/>
      <c r="G107" s="76"/>
      <c r="H107" s="76"/>
      <c r="I107" s="75"/>
      <c r="J107" s="78"/>
      <c r="K107" s="76"/>
      <c r="L107" s="79" t="b">
        <v>0</v>
      </c>
      <c r="M107" s="80" t="str">
        <f t="shared" si="1"/>
        <v/>
      </c>
      <c r="N107" s="79" t="b">
        <v>0</v>
      </c>
      <c r="O107" s="80" t="str">
        <f t="shared" si="2"/>
        <v/>
      </c>
      <c r="P107" s="76"/>
      <c r="Q107" s="76"/>
      <c r="R107" s="76" t="b">
        <v>0</v>
      </c>
      <c r="S107" s="82" t="b">
        <v>0</v>
      </c>
      <c r="T107" s="76"/>
      <c r="U107" s="79"/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/>
      <c r="B108" s="76"/>
      <c r="C108" s="77"/>
      <c r="D108" s="76"/>
      <c r="E108" s="76"/>
      <c r="F108" s="76"/>
      <c r="G108" s="76"/>
      <c r="H108" s="76"/>
      <c r="I108" s="75"/>
      <c r="J108" s="78"/>
      <c r="K108" s="76"/>
      <c r="L108" s="79" t="b">
        <v>0</v>
      </c>
      <c r="M108" s="80" t="str">
        <f t="shared" si="1"/>
        <v/>
      </c>
      <c r="N108" s="79" t="b">
        <v>0</v>
      </c>
      <c r="O108" s="80" t="str">
        <f t="shared" si="2"/>
        <v/>
      </c>
      <c r="P108" s="76"/>
      <c r="Q108" s="76"/>
      <c r="R108" s="76" t="b">
        <v>0</v>
      </c>
      <c r="S108" s="82" t="b">
        <v>0</v>
      </c>
      <c r="T108" s="76"/>
      <c r="U108" s="79"/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/>
      <c r="B109" s="76"/>
      <c r="C109" s="77"/>
      <c r="D109" s="76"/>
      <c r="E109" s="76"/>
      <c r="F109" s="76"/>
      <c r="G109" s="76"/>
      <c r="H109" s="76"/>
      <c r="I109" s="75"/>
      <c r="J109" s="78"/>
      <c r="K109" s="76"/>
      <c r="L109" s="79" t="b">
        <v>0</v>
      </c>
      <c r="M109" s="80" t="str">
        <f t="shared" si="1"/>
        <v/>
      </c>
      <c r="N109" s="79" t="b">
        <v>0</v>
      </c>
      <c r="O109" s="80" t="str">
        <f t="shared" si="2"/>
        <v/>
      </c>
      <c r="P109" s="76"/>
      <c r="Q109" s="76"/>
      <c r="R109" s="76" t="b">
        <v>0</v>
      </c>
      <c r="S109" s="82" t="b">
        <v>0</v>
      </c>
      <c r="T109" s="76"/>
      <c r="U109" s="79"/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/>
      <c r="B110" s="76"/>
      <c r="C110" s="77"/>
      <c r="D110" s="76"/>
      <c r="E110" s="76"/>
      <c r="F110" s="76"/>
      <c r="G110" s="76"/>
      <c r="H110" s="76"/>
      <c r="I110" s="75"/>
      <c r="J110" s="78"/>
      <c r="K110" s="76"/>
      <c r="L110" s="79" t="b">
        <v>0</v>
      </c>
      <c r="M110" s="80" t="str">
        <f t="shared" si="1"/>
        <v/>
      </c>
      <c r="N110" s="79" t="b">
        <v>0</v>
      </c>
      <c r="O110" s="80" t="str">
        <f t="shared" si="2"/>
        <v/>
      </c>
      <c r="P110" s="76"/>
      <c r="Q110" s="76"/>
      <c r="R110" s="76" t="b">
        <v>0</v>
      </c>
      <c r="S110" s="82" t="b">
        <v>0</v>
      </c>
      <c r="T110" s="76"/>
      <c r="U110" s="79"/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/>
      <c r="B111" s="76"/>
      <c r="C111" s="77"/>
      <c r="D111" s="76"/>
      <c r="E111" s="76"/>
      <c r="F111" s="76"/>
      <c r="G111" s="76"/>
      <c r="H111" s="76"/>
      <c r="I111" s="75"/>
      <c r="J111" s="78"/>
      <c r="K111" s="76"/>
      <c r="L111" s="79" t="b">
        <v>0</v>
      </c>
      <c r="M111" s="80" t="str">
        <f t="shared" si="1"/>
        <v/>
      </c>
      <c r="N111" s="79" t="b">
        <v>0</v>
      </c>
      <c r="O111" s="80" t="str">
        <f t="shared" si="2"/>
        <v/>
      </c>
      <c r="P111" s="76"/>
      <c r="Q111" s="76"/>
      <c r="R111" s="76" t="b">
        <v>0</v>
      </c>
      <c r="S111" s="82" t="b">
        <v>0</v>
      </c>
      <c r="T111" s="76"/>
      <c r="U111" s="79"/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/>
      <c r="B112" s="76"/>
      <c r="C112" s="77"/>
      <c r="D112" s="76"/>
      <c r="E112" s="76"/>
      <c r="F112" s="76"/>
      <c r="G112" s="76"/>
      <c r="H112" s="76"/>
      <c r="I112" s="75"/>
      <c r="J112" s="78"/>
      <c r="K112" s="76"/>
      <c r="L112" s="79" t="b">
        <v>0</v>
      </c>
      <c r="M112" s="80" t="str">
        <f t="shared" si="1"/>
        <v/>
      </c>
      <c r="N112" s="79" t="b">
        <v>0</v>
      </c>
      <c r="O112" s="80" t="str">
        <f t="shared" si="2"/>
        <v/>
      </c>
      <c r="P112" s="76"/>
      <c r="Q112" s="76"/>
      <c r="R112" s="76" t="b">
        <v>0</v>
      </c>
      <c r="S112" s="82" t="b">
        <v>0</v>
      </c>
      <c r="T112" s="76"/>
      <c r="U112" s="79"/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/>
      <c r="B113" s="76"/>
      <c r="C113" s="77"/>
      <c r="D113" s="76"/>
      <c r="E113" s="76"/>
      <c r="F113" s="76"/>
      <c r="G113" s="76"/>
      <c r="H113" s="76"/>
      <c r="I113" s="75"/>
      <c r="J113" s="78"/>
      <c r="K113" s="76"/>
      <c r="L113" s="79" t="b">
        <v>0</v>
      </c>
      <c r="M113" s="80" t="str">
        <f t="shared" si="1"/>
        <v/>
      </c>
      <c r="N113" s="79" t="b">
        <v>0</v>
      </c>
      <c r="O113" s="80" t="str">
        <f t="shared" si="2"/>
        <v/>
      </c>
      <c r="P113" s="76"/>
      <c r="Q113" s="76"/>
      <c r="R113" s="76" t="b">
        <v>0</v>
      </c>
      <c r="S113" s="82" t="b">
        <v>0</v>
      </c>
      <c r="T113" s="76"/>
      <c r="U113" s="79"/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/>
      <c r="B114" s="91"/>
      <c r="C114" s="92"/>
      <c r="D114" s="136"/>
      <c r="E114" s="94"/>
      <c r="F114" s="136"/>
      <c r="G114" s="137"/>
      <c r="H114" s="91"/>
      <c r="I114" s="75"/>
      <c r="J114" s="78"/>
      <c r="K114" s="76"/>
      <c r="L114" s="79" t="b">
        <v>0</v>
      </c>
      <c r="M114" s="80" t="str">
        <f t="shared" si="1"/>
        <v/>
      </c>
      <c r="N114" s="79" t="b">
        <v>0</v>
      </c>
      <c r="O114" s="80" t="str">
        <f t="shared" si="2"/>
        <v/>
      </c>
      <c r="P114" s="76"/>
      <c r="Q114" s="76"/>
      <c r="R114" s="76" t="b">
        <v>0</v>
      </c>
      <c r="S114" s="82" t="b">
        <v>0</v>
      </c>
      <c r="T114" s="76"/>
      <c r="U114" s="79"/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/>
      <c r="B115" s="76"/>
      <c r="C115" s="77"/>
      <c r="D115" s="76"/>
      <c r="E115" s="76"/>
      <c r="F115" s="76"/>
      <c r="G115" s="76"/>
      <c r="H115" s="76"/>
      <c r="I115" s="75"/>
      <c r="J115" s="78"/>
      <c r="K115" s="76"/>
      <c r="L115" s="79" t="b">
        <v>0</v>
      </c>
      <c r="M115" s="80" t="str">
        <f t="shared" si="1"/>
        <v/>
      </c>
      <c r="N115" s="79" t="b">
        <v>0</v>
      </c>
      <c r="O115" s="80" t="str">
        <f t="shared" si="2"/>
        <v/>
      </c>
      <c r="P115" s="76"/>
      <c r="Q115" s="76"/>
      <c r="R115" s="76" t="b">
        <v>0</v>
      </c>
      <c r="S115" s="82" t="b">
        <v>0</v>
      </c>
      <c r="T115" s="76"/>
      <c r="U115" s="79"/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/>
      <c r="B116" s="76"/>
      <c r="C116" s="77"/>
      <c r="D116" s="76"/>
      <c r="E116" s="76"/>
      <c r="F116" s="76"/>
      <c r="G116" s="76"/>
      <c r="H116" s="76"/>
      <c r="I116" s="75"/>
      <c r="J116" s="78"/>
      <c r="K116" s="76"/>
      <c r="L116" s="79" t="b">
        <v>0</v>
      </c>
      <c r="M116" s="80" t="str">
        <f t="shared" si="1"/>
        <v/>
      </c>
      <c r="N116" s="79" t="b">
        <v>0</v>
      </c>
      <c r="O116" s="80" t="str">
        <f t="shared" si="2"/>
        <v/>
      </c>
      <c r="P116" s="76"/>
      <c r="Q116" s="76"/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/>
      <c r="B117" s="76"/>
      <c r="C117" s="77"/>
      <c r="D117" s="76"/>
      <c r="E117" s="76"/>
      <c r="F117" s="76"/>
      <c r="G117" s="76"/>
      <c r="H117" s="76"/>
      <c r="I117" s="75"/>
      <c r="J117" s="78"/>
      <c r="K117" s="76"/>
      <c r="L117" s="79" t="b">
        <v>0</v>
      </c>
      <c r="M117" s="80" t="str">
        <f t="shared" si="1"/>
        <v/>
      </c>
      <c r="N117" s="79" t="b">
        <v>0</v>
      </c>
      <c r="O117" s="80" t="str">
        <f t="shared" si="2"/>
        <v/>
      </c>
      <c r="P117" s="76"/>
      <c r="Q117" s="76"/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/>
      <c r="B118" s="76"/>
      <c r="C118" s="77"/>
      <c r="D118" s="76"/>
      <c r="E118" s="76"/>
      <c r="F118" s="76"/>
      <c r="G118" s="76"/>
      <c r="H118" s="76"/>
      <c r="I118" s="75"/>
      <c r="J118" s="78"/>
      <c r="K118" s="76"/>
      <c r="L118" s="79" t="b">
        <v>0</v>
      </c>
      <c r="M118" s="80" t="str">
        <f t="shared" si="1"/>
        <v/>
      </c>
      <c r="N118" s="79" t="b">
        <v>0</v>
      </c>
      <c r="O118" s="80" t="str">
        <f t="shared" si="2"/>
        <v/>
      </c>
      <c r="P118" s="76"/>
      <c r="Q118" s="76"/>
      <c r="R118" s="76" t="b">
        <v>0</v>
      </c>
      <c r="S118" s="82" t="b">
        <v>0</v>
      </c>
      <c r="T118" s="76"/>
      <c r="U118" s="79"/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/>
      <c r="B119" s="76"/>
      <c r="C119" s="77"/>
      <c r="D119" s="76"/>
      <c r="E119" s="76"/>
      <c r="F119" s="76"/>
      <c r="G119" s="76"/>
      <c r="H119" s="76"/>
      <c r="I119" s="75"/>
      <c r="J119" s="78"/>
      <c r="K119" s="76"/>
      <c r="L119" s="79" t="b">
        <v>0</v>
      </c>
      <c r="M119" s="80" t="str">
        <f t="shared" si="1"/>
        <v/>
      </c>
      <c r="N119" s="79" t="b">
        <v>0</v>
      </c>
      <c r="O119" s="80" t="str">
        <f t="shared" si="2"/>
        <v/>
      </c>
      <c r="P119" s="76"/>
      <c r="Q119" s="76"/>
      <c r="R119" s="76" t="b">
        <v>0</v>
      </c>
      <c r="S119" s="82" t="b">
        <v>0</v>
      </c>
      <c r="T119" s="76"/>
      <c r="U119" s="79"/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/>
      <c r="B120" s="76"/>
      <c r="C120" s="77"/>
      <c r="D120" s="76"/>
      <c r="E120" s="76"/>
      <c r="F120" s="76"/>
      <c r="G120" s="76"/>
      <c r="H120" s="76"/>
      <c r="I120" s="75"/>
      <c r="J120" s="78"/>
      <c r="K120" s="76"/>
      <c r="L120" s="79" t="b">
        <v>0</v>
      </c>
      <c r="M120" s="80" t="str">
        <f t="shared" si="1"/>
        <v/>
      </c>
      <c r="N120" s="79" t="b">
        <v>0</v>
      </c>
      <c r="O120" s="80" t="str">
        <f t="shared" si="2"/>
        <v/>
      </c>
      <c r="P120" s="76"/>
      <c r="Q120" s="76"/>
      <c r="R120" s="76" t="b">
        <v>0</v>
      </c>
      <c r="S120" s="82" t="b">
        <v>0</v>
      </c>
      <c r="T120" s="76"/>
      <c r="U120" s="79"/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/>
      <c r="B121" s="76"/>
      <c r="C121" s="77"/>
      <c r="D121" s="76"/>
      <c r="E121" s="76"/>
      <c r="F121" s="76"/>
      <c r="G121" s="76"/>
      <c r="H121" s="76"/>
      <c r="I121" s="75"/>
      <c r="J121" s="78"/>
      <c r="K121" s="76"/>
      <c r="L121" s="79" t="b">
        <v>0</v>
      </c>
      <c r="M121" s="80" t="str">
        <f t="shared" si="1"/>
        <v/>
      </c>
      <c r="N121" s="79" t="b">
        <v>0</v>
      </c>
      <c r="O121" s="80" t="str">
        <f t="shared" si="2"/>
        <v/>
      </c>
      <c r="P121" s="76"/>
      <c r="Q121" s="76"/>
      <c r="R121" s="76" t="b">
        <v>0</v>
      </c>
      <c r="S121" s="82" t="b">
        <v>0</v>
      </c>
      <c r="T121" s="76"/>
      <c r="U121" s="79"/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/>
      <c r="B122" s="76"/>
      <c r="C122" s="77"/>
      <c r="D122" s="76"/>
      <c r="E122" s="76"/>
      <c r="F122" s="76"/>
      <c r="G122" s="76"/>
      <c r="H122" s="76"/>
      <c r="I122" s="75"/>
      <c r="J122" s="78"/>
      <c r="K122" s="76"/>
      <c r="L122" s="79" t="b">
        <v>0</v>
      </c>
      <c r="M122" s="80" t="str">
        <f t="shared" si="1"/>
        <v/>
      </c>
      <c r="N122" s="79" t="b">
        <v>0</v>
      </c>
      <c r="O122" s="80" t="str">
        <f t="shared" si="2"/>
        <v/>
      </c>
      <c r="P122" s="76"/>
      <c r="Q122" s="76"/>
      <c r="R122" s="76" t="b">
        <v>0</v>
      </c>
      <c r="S122" s="82" t="b">
        <v>0</v>
      </c>
      <c r="T122" s="76"/>
      <c r="U122" s="79"/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/>
      <c r="B123" s="76"/>
      <c r="C123" s="77"/>
      <c r="D123" s="76"/>
      <c r="E123" s="76"/>
      <c r="F123" s="76"/>
      <c r="G123" s="76"/>
      <c r="H123" s="76"/>
      <c r="I123" s="75"/>
      <c r="J123" s="78"/>
      <c r="K123" s="76"/>
      <c r="L123" s="79" t="b">
        <v>0</v>
      </c>
      <c r="M123" s="80" t="str">
        <f t="shared" si="1"/>
        <v/>
      </c>
      <c r="N123" s="79" t="b">
        <v>0</v>
      </c>
      <c r="O123" s="80" t="str">
        <f t="shared" si="2"/>
        <v/>
      </c>
      <c r="P123" s="76"/>
      <c r="Q123" s="76"/>
      <c r="R123" s="76" t="b">
        <v>0</v>
      </c>
      <c r="S123" s="82" t="b">
        <v>0</v>
      </c>
      <c r="T123" s="76"/>
      <c r="U123" s="79"/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/>
      <c r="B124" s="76"/>
      <c r="C124" s="77"/>
      <c r="D124" s="76"/>
      <c r="E124" s="76"/>
      <c r="F124" s="76"/>
      <c r="G124" s="76"/>
      <c r="H124" s="76"/>
      <c r="I124" s="75"/>
      <c r="J124" s="78"/>
      <c r="K124" s="76"/>
      <c r="L124" s="79" t="b">
        <v>0</v>
      </c>
      <c r="M124" s="80" t="str">
        <f t="shared" si="1"/>
        <v/>
      </c>
      <c r="N124" s="79" t="b">
        <v>0</v>
      </c>
      <c r="O124" s="80" t="str">
        <f t="shared" si="2"/>
        <v/>
      </c>
      <c r="P124" s="76"/>
      <c r="Q124" s="76"/>
      <c r="R124" s="76" t="b">
        <v>0</v>
      </c>
      <c r="S124" s="82" t="b">
        <v>0</v>
      </c>
      <c r="T124" s="76"/>
      <c r="U124" s="79"/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/>
      <c r="B125" s="76"/>
      <c r="C125" s="77"/>
      <c r="D125" s="76"/>
      <c r="E125" s="76"/>
      <c r="F125" s="76"/>
      <c r="G125" s="76"/>
      <c r="H125" s="76"/>
      <c r="I125" s="75"/>
      <c r="J125" s="78"/>
      <c r="K125" s="76"/>
      <c r="L125" s="79" t="b">
        <v>0</v>
      </c>
      <c r="M125" s="80" t="str">
        <f t="shared" si="1"/>
        <v/>
      </c>
      <c r="N125" s="79" t="b">
        <v>0</v>
      </c>
      <c r="O125" s="80" t="str">
        <f t="shared" si="2"/>
        <v/>
      </c>
      <c r="P125" s="76"/>
      <c r="Q125" s="76"/>
      <c r="R125" s="76" t="b">
        <v>0</v>
      </c>
      <c r="S125" s="82" t="b">
        <v>0</v>
      </c>
      <c r="T125" s="76"/>
      <c r="U125" s="79"/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 t="b">
        <v>0</v>
      </c>
      <c r="M126" s="80" t="str">
        <f t="shared" si="1"/>
        <v/>
      </c>
      <c r="N126" s="79" t="b">
        <v>0</v>
      </c>
      <c r="O126" s="80" t="str">
        <f t="shared" si="2"/>
        <v/>
      </c>
      <c r="P126" s="76"/>
      <c r="Q126" s="76"/>
      <c r="R126" s="76" t="b">
        <v>0</v>
      </c>
      <c r="S126" s="82" t="b">
        <v>0</v>
      </c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/>
      <c r="B127" s="76"/>
      <c r="C127" s="77"/>
      <c r="D127" s="76"/>
      <c r="E127" s="76"/>
      <c r="F127" s="76"/>
      <c r="G127" s="76"/>
      <c r="H127" s="76"/>
      <c r="I127" s="75"/>
      <c r="J127" s="78"/>
      <c r="K127" s="76"/>
      <c r="L127" s="79" t="b">
        <v>0</v>
      </c>
      <c r="M127" s="80" t="str">
        <f t="shared" si="1"/>
        <v/>
      </c>
      <c r="N127" s="79" t="b">
        <v>0</v>
      </c>
      <c r="O127" s="80" t="str">
        <f t="shared" si="2"/>
        <v/>
      </c>
      <c r="P127" s="76"/>
      <c r="Q127" s="76"/>
      <c r="R127" s="76" t="b">
        <v>0</v>
      </c>
      <c r="S127" s="82" t="b">
        <v>0</v>
      </c>
      <c r="T127" s="76"/>
      <c r="U127" s="79"/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/>
      <c r="B128" s="76"/>
      <c r="C128" s="77"/>
      <c r="D128" s="76"/>
      <c r="E128" s="76"/>
      <c r="F128" s="76"/>
      <c r="G128" s="76"/>
      <c r="H128" s="76"/>
      <c r="I128" s="75"/>
      <c r="J128" s="78"/>
      <c r="K128" s="76"/>
      <c r="L128" s="79" t="b">
        <v>0</v>
      </c>
      <c r="M128" s="80" t="str">
        <f t="shared" si="1"/>
        <v/>
      </c>
      <c r="N128" s="79" t="b">
        <v>0</v>
      </c>
      <c r="O128" s="80" t="str">
        <f t="shared" si="2"/>
        <v/>
      </c>
      <c r="P128" s="76"/>
      <c r="Q128" s="76"/>
      <c r="R128" s="76" t="b">
        <v>0</v>
      </c>
      <c r="S128" s="82" t="b">
        <v>0</v>
      </c>
      <c r="T128" s="76"/>
      <c r="U128" s="79"/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/>
      <c r="B129" s="76"/>
      <c r="C129" s="77"/>
      <c r="D129" s="76"/>
      <c r="E129" s="76"/>
      <c r="F129" s="76"/>
      <c r="G129" s="76"/>
      <c r="H129" s="76"/>
      <c r="I129" s="75"/>
      <c r="J129" s="78"/>
      <c r="K129" s="76"/>
      <c r="L129" s="79" t="b">
        <v>0</v>
      </c>
      <c r="M129" s="80" t="str">
        <f t="shared" si="1"/>
        <v/>
      </c>
      <c r="N129" s="79" t="b">
        <v>0</v>
      </c>
      <c r="O129" s="80" t="str">
        <f t="shared" si="2"/>
        <v/>
      </c>
      <c r="P129" s="76"/>
      <c r="Q129" s="76"/>
      <c r="R129" s="76" t="b">
        <v>0</v>
      </c>
      <c r="S129" s="82" t="b">
        <v>0</v>
      </c>
      <c r="T129" s="76"/>
      <c r="U129" s="79"/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/>
      <c r="B130" s="76"/>
      <c r="C130" s="77"/>
      <c r="D130" s="76"/>
      <c r="E130" s="76"/>
      <c r="F130" s="76"/>
      <c r="G130" s="76"/>
      <c r="H130" s="76"/>
      <c r="I130" s="75"/>
      <c r="J130" s="78"/>
      <c r="K130" s="76"/>
      <c r="L130" s="79" t="b">
        <v>0</v>
      </c>
      <c r="M130" s="80" t="str">
        <f t="shared" si="1"/>
        <v/>
      </c>
      <c r="N130" s="79" t="b">
        <v>0</v>
      </c>
      <c r="O130" s="80" t="str">
        <f t="shared" si="2"/>
        <v/>
      </c>
      <c r="P130" s="76"/>
      <c r="Q130" s="76"/>
      <c r="R130" s="76" t="b">
        <v>0</v>
      </c>
      <c r="S130" s="82" t="b">
        <v>0</v>
      </c>
      <c r="T130" s="76"/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/>
      <c r="B131" s="76"/>
      <c r="C131" s="77"/>
      <c r="D131" s="76"/>
      <c r="E131" s="76"/>
      <c r="F131" s="76"/>
      <c r="G131" s="76"/>
      <c r="H131" s="76"/>
      <c r="I131" s="75"/>
      <c r="J131" s="78"/>
      <c r="K131" s="76"/>
      <c r="L131" s="79" t="b">
        <v>0</v>
      </c>
      <c r="M131" s="80" t="str">
        <f t="shared" si="1"/>
        <v/>
      </c>
      <c r="N131" s="79" t="b">
        <v>0</v>
      </c>
      <c r="O131" s="80" t="str">
        <f t="shared" si="2"/>
        <v/>
      </c>
      <c r="P131" s="76"/>
      <c r="Q131" s="76"/>
      <c r="R131" s="76" t="b">
        <v>0</v>
      </c>
      <c r="S131" s="82" t="b">
        <v>0</v>
      </c>
      <c r="T131" s="76"/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/>
      <c r="B132" s="76"/>
      <c r="C132" s="77"/>
      <c r="D132" s="76"/>
      <c r="E132" s="76"/>
      <c r="F132" s="76"/>
      <c r="G132" s="76"/>
      <c r="H132" s="76"/>
      <c r="I132" s="75"/>
      <c r="J132" s="78"/>
      <c r="K132" s="76"/>
      <c r="L132" s="79" t="b">
        <v>0</v>
      </c>
      <c r="M132" s="80" t="str">
        <f t="shared" si="1"/>
        <v/>
      </c>
      <c r="N132" s="79" t="b">
        <v>0</v>
      </c>
      <c r="O132" s="80" t="str">
        <f t="shared" si="2"/>
        <v/>
      </c>
      <c r="P132" s="76"/>
      <c r="Q132" s="76"/>
      <c r="R132" s="76" t="b">
        <v>0</v>
      </c>
      <c r="S132" s="82" t="b">
        <v>0</v>
      </c>
      <c r="T132" s="76"/>
      <c r="U132" s="79"/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/>
      <c r="B133" s="76"/>
      <c r="C133" s="77"/>
      <c r="D133" s="76"/>
      <c r="E133" s="76"/>
      <c r="F133" s="76"/>
      <c r="G133" s="76"/>
      <c r="H133" s="76"/>
      <c r="I133" s="75"/>
      <c r="J133" s="78"/>
      <c r="K133" s="76"/>
      <c r="L133" s="79" t="b">
        <v>0</v>
      </c>
      <c r="M133" s="80" t="str">
        <f t="shared" si="1"/>
        <v/>
      </c>
      <c r="N133" s="79" t="b">
        <v>0</v>
      </c>
      <c r="O133" s="80" t="str">
        <f t="shared" si="2"/>
        <v/>
      </c>
      <c r="P133" s="76"/>
      <c r="Q133" s="76"/>
      <c r="R133" s="76" t="b">
        <v>0</v>
      </c>
      <c r="S133" s="82" t="b">
        <v>0</v>
      </c>
      <c r="T133" s="76"/>
      <c r="U133" s="79"/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/>
      <c r="B134" s="76"/>
      <c r="C134" s="77"/>
      <c r="D134" s="76"/>
      <c r="E134" s="76"/>
      <c r="F134" s="76"/>
      <c r="G134" s="76"/>
      <c r="H134" s="76"/>
      <c r="I134" s="75"/>
      <c r="J134" s="78"/>
      <c r="K134" s="76"/>
      <c r="L134" s="79" t="b">
        <v>0</v>
      </c>
      <c r="M134" s="80" t="str">
        <f t="shared" si="1"/>
        <v/>
      </c>
      <c r="N134" s="79" t="b">
        <v>0</v>
      </c>
      <c r="O134" s="80" t="str">
        <f t="shared" si="2"/>
        <v/>
      </c>
      <c r="P134" s="76"/>
      <c r="Q134" s="76"/>
      <c r="R134" s="76" t="b">
        <v>0</v>
      </c>
      <c r="S134" s="82" t="b">
        <v>0</v>
      </c>
      <c r="T134" s="76"/>
      <c r="U134" s="79"/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/>
      <c r="B135" s="76"/>
      <c r="C135" s="77"/>
      <c r="D135" s="76"/>
      <c r="E135" s="76"/>
      <c r="F135" s="76"/>
      <c r="G135" s="76"/>
      <c r="H135" s="76"/>
      <c r="I135" s="75"/>
      <c r="J135" s="78"/>
      <c r="K135" s="76"/>
      <c r="L135" s="79" t="b">
        <v>0</v>
      </c>
      <c r="M135" s="80" t="str">
        <f t="shared" si="1"/>
        <v/>
      </c>
      <c r="N135" s="79" t="b">
        <v>0</v>
      </c>
      <c r="O135" s="80" t="str">
        <f t="shared" si="2"/>
        <v/>
      </c>
      <c r="P135" s="76"/>
      <c r="Q135" s="76"/>
      <c r="R135" s="76" t="b">
        <v>0</v>
      </c>
      <c r="S135" s="82" t="b">
        <v>0</v>
      </c>
      <c r="T135" s="76"/>
      <c r="U135" s="79"/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/>
      <c r="B136" s="76"/>
      <c r="C136" s="77"/>
      <c r="D136" s="76"/>
      <c r="E136" s="76"/>
      <c r="F136" s="76"/>
      <c r="G136" s="76"/>
      <c r="H136" s="76"/>
      <c r="I136" s="75"/>
      <c r="J136" s="78"/>
      <c r="K136" s="76"/>
      <c r="L136" s="79" t="b">
        <v>0</v>
      </c>
      <c r="M136" s="80" t="str">
        <f t="shared" si="1"/>
        <v/>
      </c>
      <c r="N136" s="79" t="b">
        <v>0</v>
      </c>
      <c r="O136" s="80" t="str">
        <f t="shared" si="2"/>
        <v/>
      </c>
      <c r="P136" s="76"/>
      <c r="Q136" s="76"/>
      <c r="R136" s="76" t="b">
        <v>0</v>
      </c>
      <c r="S136" s="82" t="b">
        <v>0</v>
      </c>
      <c r="T136" s="76"/>
      <c r="U136" s="79"/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/>
      <c r="B137" s="76"/>
      <c r="C137" s="77"/>
      <c r="D137" s="76"/>
      <c r="E137" s="76"/>
      <c r="F137" s="76"/>
      <c r="G137" s="76"/>
      <c r="H137" s="76"/>
      <c r="I137" s="75"/>
      <c r="J137" s="78"/>
      <c r="K137" s="76"/>
      <c r="L137" s="79" t="b">
        <v>0</v>
      </c>
      <c r="M137" s="80" t="str">
        <f t="shared" si="1"/>
        <v/>
      </c>
      <c r="N137" s="79" t="b">
        <v>0</v>
      </c>
      <c r="O137" s="80" t="str">
        <f t="shared" si="2"/>
        <v/>
      </c>
      <c r="P137" s="76"/>
      <c r="Q137" s="76"/>
      <c r="R137" s="76" t="b">
        <v>0</v>
      </c>
      <c r="S137" s="82" t="b">
        <v>0</v>
      </c>
      <c r="T137" s="76"/>
      <c r="U137" s="79"/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 t="b">
        <v>0</v>
      </c>
      <c r="M138" s="80" t="str">
        <f t="shared" si="1"/>
        <v/>
      </c>
      <c r="N138" s="79" t="b">
        <v>0</v>
      </c>
      <c r="O138" s="80" t="str">
        <f t="shared" si="2"/>
        <v/>
      </c>
      <c r="P138" s="76"/>
      <c r="Q138" s="76"/>
      <c r="R138" s="76" t="b">
        <v>0</v>
      </c>
      <c r="S138" s="82" t="b">
        <v>0</v>
      </c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 t="b">
        <v>0</v>
      </c>
      <c r="M139" s="80" t="str">
        <f t="shared" si="1"/>
        <v/>
      </c>
      <c r="N139" s="79" t="b">
        <v>0</v>
      </c>
      <c r="O139" s="80" t="str">
        <f t="shared" si="2"/>
        <v/>
      </c>
      <c r="P139" s="76"/>
      <c r="Q139" s="76"/>
      <c r="R139" s="76" t="b">
        <v>0</v>
      </c>
      <c r="S139" s="82" t="b">
        <v>0</v>
      </c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si="1"/>
        <v/>
      </c>
      <c r="N140" s="79" t="b">
        <v>0</v>
      </c>
      <c r="O140" s="80" t="str">
        <f t="shared" si="2"/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1"/>
        <v/>
      </c>
      <c r="N141" s="79" t="b">
        <v>0</v>
      </c>
      <c r="O141" s="80" t="str">
        <f t="shared" si="2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1"/>
        <v/>
      </c>
      <c r="N142" s="79" t="b">
        <v>0</v>
      </c>
      <c r="O142" s="80" t="str">
        <f t="shared" si="2"/>
        <v/>
      </c>
      <c r="P142" s="76"/>
      <c r="Q142" s="76"/>
      <c r="R142" s="76" t="b">
        <v>0</v>
      </c>
      <c r="S142" s="82" t="b">
        <v>0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1"/>
        <v/>
      </c>
      <c r="N143" s="79" t="b">
        <v>0</v>
      </c>
      <c r="O143" s="80" t="str">
        <f t="shared" si="2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1"/>
        <v/>
      </c>
      <c r="N144" s="79" t="b">
        <v>0</v>
      </c>
      <c r="O144" s="80" t="str">
        <f t="shared" si="2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1"/>
        <v/>
      </c>
      <c r="N145" s="79" t="b">
        <v>0</v>
      </c>
      <c r="O145" s="80" t="str">
        <f t="shared" si="2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1"/>
        <v/>
      </c>
      <c r="N146" s="79" t="b">
        <v>0</v>
      </c>
      <c r="O146" s="80" t="str">
        <f t="shared" si="2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1"/>
        <v/>
      </c>
      <c r="N147" s="79" t="b">
        <v>0</v>
      </c>
      <c r="O147" s="80" t="str">
        <f t="shared" si="2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1"/>
        <v/>
      </c>
      <c r="N148" s="79" t="b">
        <v>0</v>
      </c>
      <c r="O148" s="80" t="str">
        <f t="shared" si="2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1"/>
        <v/>
      </c>
      <c r="N149" s="79" t="b">
        <v>0</v>
      </c>
      <c r="O149" s="80" t="str">
        <f t="shared" si="2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1"/>
        <v/>
      </c>
      <c r="N150" s="79" t="b">
        <v>0</v>
      </c>
      <c r="O150" s="80" t="str">
        <f t="shared" si="2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1"/>
        <v/>
      </c>
      <c r="N151" s="79" t="b">
        <v>0</v>
      </c>
      <c r="O151" s="80" t="str">
        <f t="shared" si="2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1"/>
        <v/>
      </c>
      <c r="N152" s="79" t="b">
        <v>0</v>
      </c>
      <c r="O152" s="80" t="str">
        <f t="shared" si="2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1"/>
        <v/>
      </c>
      <c r="N153" s="79" t="b">
        <v>0</v>
      </c>
      <c r="O153" s="80" t="str">
        <f t="shared" si="2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1"/>
        <v/>
      </c>
      <c r="N154" s="79" t="b">
        <v>0</v>
      </c>
      <c r="O154" s="80" t="str">
        <f t="shared" si="2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1"/>
        <v/>
      </c>
      <c r="N155" s="79" t="b">
        <v>0</v>
      </c>
      <c r="O155" s="80" t="str">
        <f t="shared" si="2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1"/>
        <v/>
      </c>
      <c r="N156" s="79" t="b">
        <v>0</v>
      </c>
      <c r="O156" s="80" t="str">
        <f t="shared" si="2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1"/>
        <v/>
      </c>
      <c r="N157" s="79" t="b">
        <v>0</v>
      </c>
      <c r="O157" s="80" t="str">
        <f t="shared" si="2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1"/>
        <v/>
      </c>
      <c r="N158" s="79" t="b">
        <v>0</v>
      </c>
      <c r="O158" s="80" t="str">
        <f t="shared" si="2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1"/>
        <v/>
      </c>
      <c r="N159" s="79" t="b">
        <v>0</v>
      </c>
      <c r="O159" s="80" t="str">
        <f t="shared" si="2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1"/>
        <v/>
      </c>
      <c r="N160" s="79" t="b">
        <v>0</v>
      </c>
      <c r="O160" s="80" t="str">
        <f t="shared" si="2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1"/>
        <v/>
      </c>
      <c r="N161" s="79" t="b">
        <v>0</v>
      </c>
      <c r="O161" s="80" t="str">
        <f t="shared" si="2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1"/>
        <v/>
      </c>
      <c r="N162" s="79" t="b">
        <v>0</v>
      </c>
      <c r="O162" s="80" t="str">
        <f t="shared" si="2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1"/>
        <v/>
      </c>
      <c r="N163" s="79" t="b">
        <v>0</v>
      </c>
      <c r="O163" s="80" t="str">
        <f t="shared" si="2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1"/>
        <v/>
      </c>
      <c r="N164" s="79" t="b">
        <v>0</v>
      </c>
      <c r="O164" s="80" t="str">
        <f t="shared" si="2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1"/>
        <v/>
      </c>
      <c r="N165" s="79" t="b">
        <v>0</v>
      </c>
      <c r="O165" s="80" t="str">
        <f t="shared" si="2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1"/>
        <v/>
      </c>
      <c r="N166" s="79" t="b">
        <v>0</v>
      </c>
      <c r="O166" s="80" t="str">
        <f t="shared" si="2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1"/>
        <v/>
      </c>
      <c r="N167" s="79" t="b">
        <v>0</v>
      </c>
      <c r="O167" s="80" t="str">
        <f t="shared" si="2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1"/>
        <v/>
      </c>
      <c r="N168" s="79" t="b">
        <v>0</v>
      </c>
      <c r="O168" s="80" t="str">
        <f t="shared" si="2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1"/>
        <v/>
      </c>
      <c r="N169" s="79" t="b">
        <v>0</v>
      </c>
      <c r="O169" s="80" t="str">
        <f t="shared" si="2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1"/>
        <v/>
      </c>
      <c r="N170" s="79" t="b">
        <v>0</v>
      </c>
      <c r="O170" s="80" t="str">
        <f t="shared" si="2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1"/>
        <v/>
      </c>
      <c r="N171" s="79" t="b">
        <v>0</v>
      </c>
      <c r="O171" s="80" t="str">
        <f t="shared" si="2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1"/>
        <v/>
      </c>
      <c r="N172" s="79" t="b">
        <v>0</v>
      </c>
      <c r="O172" s="80" t="str">
        <f t="shared" si="2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1"/>
        <v/>
      </c>
      <c r="N173" s="79" t="b">
        <v>0</v>
      </c>
      <c r="O173" s="80" t="str">
        <f t="shared" si="2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1"/>
        <v/>
      </c>
      <c r="N174" s="79" t="b">
        <v>0</v>
      </c>
      <c r="O174" s="80" t="str">
        <f t="shared" si="2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1"/>
        <v/>
      </c>
      <c r="N175" s="79" t="b">
        <v>0</v>
      </c>
      <c r="O175" s="80" t="str">
        <f t="shared" si="2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1"/>
        <v/>
      </c>
      <c r="N176" s="79" t="b">
        <v>0</v>
      </c>
      <c r="O176" s="80" t="str">
        <f t="shared" si="2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1"/>
        <v/>
      </c>
      <c r="N177" s="79" t="b">
        <v>0</v>
      </c>
      <c r="O177" s="80" t="str">
        <f t="shared" si="2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1"/>
        <v/>
      </c>
      <c r="N178" s="79" t="b">
        <v>0</v>
      </c>
      <c r="O178" s="80" t="str">
        <f t="shared" si="2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1"/>
        <v/>
      </c>
      <c r="N179" s="79" t="b">
        <v>0</v>
      </c>
      <c r="O179" s="80" t="str">
        <f t="shared" si="2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1"/>
        <v/>
      </c>
      <c r="N180" s="79" t="b">
        <v>0</v>
      </c>
      <c r="O180" s="80" t="str">
        <f t="shared" si="2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1"/>
        <v/>
      </c>
      <c r="N181" s="79" t="b">
        <v>0</v>
      </c>
      <c r="O181" s="80" t="str">
        <f t="shared" si="2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1"/>
        <v/>
      </c>
      <c r="N182" s="79" t="b">
        <v>0</v>
      </c>
      <c r="O182" s="80" t="str">
        <f t="shared" si="2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1"/>
        <v/>
      </c>
      <c r="N183" s="79" t="b">
        <v>0</v>
      </c>
      <c r="O183" s="80" t="str">
        <f t="shared" si="2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1"/>
        <v/>
      </c>
      <c r="N184" s="79" t="b">
        <v>0</v>
      </c>
      <c r="O184" s="80" t="str">
        <f t="shared" si="2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1"/>
        <v/>
      </c>
      <c r="N185" s="79" t="b">
        <v>0</v>
      </c>
      <c r="O185" s="80" t="str">
        <f t="shared" si="2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1"/>
        <v/>
      </c>
      <c r="N186" s="79" t="b">
        <v>0</v>
      </c>
      <c r="O186" s="80" t="str">
        <f t="shared" si="2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1"/>
        <v/>
      </c>
      <c r="N187" s="79" t="b">
        <v>0</v>
      </c>
      <c r="O187" s="80" t="str">
        <f t="shared" si="2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1"/>
        <v/>
      </c>
      <c r="N188" s="79" t="b">
        <v>0</v>
      </c>
      <c r="O188" s="80" t="str">
        <f t="shared" si="2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1"/>
        <v/>
      </c>
      <c r="N189" s="79" t="b">
        <v>0</v>
      </c>
      <c r="O189" s="80" t="str">
        <f t="shared" si="2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1"/>
        <v/>
      </c>
      <c r="N190" s="79" t="b">
        <v>0</v>
      </c>
      <c r="O190" s="80" t="str">
        <f t="shared" si="2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1"/>
        <v/>
      </c>
      <c r="N191" s="79" t="b">
        <v>0</v>
      </c>
      <c r="O191" s="80" t="str">
        <f t="shared" si="2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1"/>
        <v/>
      </c>
      <c r="N192" s="79" t="b">
        <v>0</v>
      </c>
      <c r="O192" s="80" t="str">
        <f t="shared" si="2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1"/>
        <v/>
      </c>
      <c r="N193" s="79" t="b">
        <v>0</v>
      </c>
      <c r="O193" s="80" t="str">
        <f t="shared" si="2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1"/>
        <v/>
      </c>
      <c r="N194" s="79" t="b">
        <v>0</v>
      </c>
      <c r="O194" s="80" t="str">
        <f t="shared" si="2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1"/>
        <v/>
      </c>
      <c r="N195" s="79" t="b">
        <v>0</v>
      </c>
      <c r="O195" s="80" t="str">
        <f t="shared" si="2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1"/>
        <v/>
      </c>
      <c r="N196" s="79" t="b">
        <v>0</v>
      </c>
      <c r="O196" s="80" t="str">
        <f t="shared" si="2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1"/>
        <v/>
      </c>
      <c r="N197" s="79" t="b">
        <v>0</v>
      </c>
      <c r="O197" s="80" t="str">
        <f t="shared" si="2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1"/>
        <v/>
      </c>
      <c r="N198" s="79" t="b">
        <v>0</v>
      </c>
      <c r="O198" s="80" t="str">
        <f t="shared" si="2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1"/>
        <v/>
      </c>
      <c r="N199" s="79" t="b">
        <v>0</v>
      </c>
      <c r="O199" s="80" t="str">
        <f t="shared" si="2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1"/>
        <v/>
      </c>
      <c r="N200" s="79" t="b">
        <v>0</v>
      </c>
      <c r="O200" s="80" t="str">
        <f t="shared" si="2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1"/>
        <v/>
      </c>
      <c r="N201" s="79" t="b">
        <v>0</v>
      </c>
      <c r="O201" s="80" t="str">
        <f t="shared" si="2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1"/>
        <v/>
      </c>
      <c r="N202" s="79" t="b">
        <v>0</v>
      </c>
      <c r="O202" s="80" t="str">
        <f t="shared" si="2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1"/>
        <v/>
      </c>
      <c r="N203" s="79" t="b">
        <v>0</v>
      </c>
      <c r="O203" s="80" t="str">
        <f t="shared" si="2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1"/>
        <v/>
      </c>
      <c r="N204" s="79" t="b">
        <v>0</v>
      </c>
      <c r="O204" s="80" t="str">
        <f t="shared" si="2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1"/>
        <v/>
      </c>
      <c r="N205" s="79" t="b">
        <v>0</v>
      </c>
      <c r="O205" s="80" t="str">
        <f t="shared" si="2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1"/>
        <v/>
      </c>
      <c r="N206" s="79" t="b">
        <v>0</v>
      </c>
      <c r="O206" s="80" t="str">
        <f t="shared" si="2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1"/>
        <v/>
      </c>
      <c r="N207" s="79" t="b">
        <v>0</v>
      </c>
      <c r="O207" s="80" t="str">
        <f t="shared" si="2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1"/>
        <v/>
      </c>
      <c r="N208" s="79" t="b">
        <v>0</v>
      </c>
      <c r="O208" s="80" t="str">
        <f t="shared" si="2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1"/>
        <v/>
      </c>
      <c r="N209" s="79" t="b">
        <v>0</v>
      </c>
      <c r="O209" s="80" t="str">
        <f t="shared" si="2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1"/>
        <v/>
      </c>
      <c r="N210" s="79" t="b">
        <v>0</v>
      </c>
      <c r="O210" s="80" t="str">
        <f t="shared" si="2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1"/>
        <v/>
      </c>
      <c r="N211" s="79" t="b">
        <v>0</v>
      </c>
      <c r="O211" s="80" t="str">
        <f t="shared" si="2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1"/>
        <v/>
      </c>
      <c r="N212" s="79" t="b">
        <v>0</v>
      </c>
      <c r="O212" s="80" t="str">
        <f t="shared" si="2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1"/>
        <v/>
      </c>
      <c r="N213" s="79" t="b">
        <v>0</v>
      </c>
      <c r="O213" s="80" t="str">
        <f t="shared" si="2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1"/>
        <v/>
      </c>
      <c r="N214" s="79" t="b">
        <v>0</v>
      </c>
      <c r="O214" s="80" t="str">
        <f t="shared" si="2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1"/>
        <v/>
      </c>
      <c r="N215" s="79" t="b">
        <v>0</v>
      </c>
      <c r="O215" s="80" t="str">
        <f t="shared" si="2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1"/>
        <v/>
      </c>
      <c r="N216" s="79" t="b">
        <v>0</v>
      </c>
      <c r="O216" s="80" t="str">
        <f t="shared" si="2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1"/>
        <v/>
      </c>
      <c r="N217" s="79" t="b">
        <v>0</v>
      </c>
      <c r="O217" s="80" t="str">
        <f t="shared" si="2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1"/>
        <v/>
      </c>
      <c r="N218" s="79" t="b">
        <v>0</v>
      </c>
      <c r="O218" s="80" t="str">
        <f t="shared" si="2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1"/>
        <v/>
      </c>
      <c r="N219" s="79" t="b">
        <v>0</v>
      </c>
      <c r="O219" s="80" t="str">
        <f t="shared" si="2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1"/>
        <v/>
      </c>
      <c r="N220" s="79" t="b">
        <v>0</v>
      </c>
      <c r="O220" s="80" t="str">
        <f t="shared" si="2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1"/>
        <v/>
      </c>
      <c r="N221" s="79" t="b">
        <v>0</v>
      </c>
      <c r="O221" s="80" t="str">
        <f t="shared" si="2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1"/>
        <v/>
      </c>
      <c r="N222" s="79" t="b">
        <v>0</v>
      </c>
      <c r="O222" s="80" t="str">
        <f t="shared" si="2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1"/>
        <v/>
      </c>
      <c r="N223" s="79" t="b">
        <v>0</v>
      </c>
      <c r="O223" s="80" t="str">
        <f t="shared" si="2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1"/>
        <v/>
      </c>
      <c r="N224" s="79" t="b">
        <v>0</v>
      </c>
      <c r="O224" s="80" t="str">
        <f t="shared" si="2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1"/>
        <v/>
      </c>
      <c r="N225" s="79" t="b">
        <v>0</v>
      </c>
      <c r="O225" s="80" t="str">
        <f t="shared" si="2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1"/>
        <v/>
      </c>
      <c r="N226" s="79" t="b">
        <v>0</v>
      </c>
      <c r="O226" s="80" t="str">
        <f t="shared" si="2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1"/>
        <v/>
      </c>
      <c r="N227" s="79" t="b">
        <v>0</v>
      </c>
      <c r="O227" s="80" t="str">
        <f t="shared" si="2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1"/>
        <v/>
      </c>
      <c r="N228" s="79" t="b">
        <v>0</v>
      </c>
      <c r="O228" s="80" t="str">
        <f t="shared" si="2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1"/>
        <v/>
      </c>
      <c r="N229" s="79" t="b">
        <v>0</v>
      </c>
      <c r="O229" s="80" t="str">
        <f t="shared" si="2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1"/>
        <v/>
      </c>
      <c r="N230" s="79" t="b">
        <v>0</v>
      </c>
      <c r="O230" s="80" t="str">
        <f t="shared" si="2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1"/>
        <v/>
      </c>
      <c r="N231" s="79" t="b">
        <v>0</v>
      </c>
      <c r="O231" s="80" t="str">
        <f t="shared" si="2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1"/>
        <v/>
      </c>
      <c r="N232" s="79" t="b">
        <v>0</v>
      </c>
      <c r="O232" s="80" t="str">
        <f t="shared" si="2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1"/>
        <v/>
      </c>
      <c r="N233" s="79" t="b">
        <v>0</v>
      </c>
      <c r="O233" s="80" t="str">
        <f t="shared" si="2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1"/>
        <v/>
      </c>
      <c r="N234" s="79" t="b">
        <v>0</v>
      </c>
      <c r="O234" s="80" t="str">
        <f t="shared" si="2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1"/>
        <v/>
      </c>
      <c r="N235" s="79" t="b">
        <v>0</v>
      </c>
      <c r="O235" s="80" t="str">
        <f t="shared" si="2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1"/>
        <v/>
      </c>
      <c r="N236" s="79" t="b">
        <v>0</v>
      </c>
      <c r="O236" s="80" t="str">
        <f t="shared" si="2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1"/>
        <v/>
      </c>
      <c r="N237" s="79" t="b">
        <v>0</v>
      </c>
      <c r="O237" s="80" t="str">
        <f t="shared" si="2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1"/>
        <v/>
      </c>
      <c r="N238" s="79" t="b">
        <v>0</v>
      </c>
      <c r="O238" s="80" t="str">
        <f t="shared" si="2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1"/>
        <v/>
      </c>
      <c r="N239" s="79" t="b">
        <v>0</v>
      </c>
      <c r="O239" s="80" t="str">
        <f t="shared" si="2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1"/>
        <v/>
      </c>
      <c r="N240" s="79" t="b">
        <v>0</v>
      </c>
      <c r="O240" s="80" t="str">
        <f t="shared" si="2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1"/>
        <v/>
      </c>
      <c r="N241" s="79" t="b">
        <v>0</v>
      </c>
      <c r="O241" s="80" t="str">
        <f t="shared" si="2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1"/>
        <v/>
      </c>
      <c r="N242" s="79" t="b">
        <v>0</v>
      </c>
      <c r="O242" s="80" t="str">
        <f t="shared" si="2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1"/>
        <v/>
      </c>
      <c r="N243" s="79" t="b">
        <v>0</v>
      </c>
      <c r="O243" s="80" t="str">
        <f t="shared" si="2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1"/>
        <v/>
      </c>
      <c r="N244" s="79" t="b">
        <v>0</v>
      </c>
      <c r="O244" s="80" t="str">
        <f t="shared" si="2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1"/>
        <v/>
      </c>
      <c r="N245" s="79" t="b">
        <v>0</v>
      </c>
      <c r="O245" s="80" t="str">
        <f t="shared" si="2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1"/>
        <v/>
      </c>
      <c r="N246" s="79" t="b">
        <v>0</v>
      </c>
      <c r="O246" s="80" t="str">
        <f t="shared" si="2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1"/>
        <v/>
      </c>
      <c r="N247" s="79" t="b">
        <v>0</v>
      </c>
      <c r="O247" s="80" t="str">
        <f t="shared" si="2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1"/>
        <v/>
      </c>
      <c r="N248" s="79" t="b">
        <v>0</v>
      </c>
      <c r="O248" s="80" t="str">
        <f t="shared" si="2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1"/>
        <v/>
      </c>
      <c r="N249" s="79" t="b">
        <v>0</v>
      </c>
      <c r="O249" s="80" t="str">
        <f t="shared" si="2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1"/>
        <v/>
      </c>
      <c r="N250" s="79" t="b">
        <v>0</v>
      </c>
      <c r="O250" s="80" t="str">
        <f t="shared" si="2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1"/>
        <v/>
      </c>
      <c r="N251" s="79" t="b">
        <v>0</v>
      </c>
      <c r="O251" s="80" t="str">
        <f t="shared" si="2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1"/>
        <v/>
      </c>
      <c r="N252" s="79" t="b">
        <v>0</v>
      </c>
      <c r="O252" s="80" t="str">
        <f t="shared" si="2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1"/>
        <v/>
      </c>
      <c r="N253" s="79" t="b">
        <v>0</v>
      </c>
      <c r="O253" s="80" t="str">
        <f t="shared" si="2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1"/>
        <v/>
      </c>
      <c r="N254" s="79" t="b">
        <v>0</v>
      </c>
      <c r="O254" s="80" t="str">
        <f t="shared" si="2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1"/>
        <v/>
      </c>
      <c r="N255" s="79" t="b">
        <v>0</v>
      </c>
      <c r="O255" s="80" t="str">
        <f t="shared" si="2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1"/>
        <v/>
      </c>
      <c r="N256" s="79" t="b">
        <v>0</v>
      </c>
      <c r="O256" s="80" t="str">
        <f t="shared" si="2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1"/>
        <v/>
      </c>
      <c r="N257" s="79" t="b">
        <v>0</v>
      </c>
      <c r="O257" s="80" t="str">
        <f t="shared" si="2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1"/>
        <v/>
      </c>
      <c r="N258" s="79" t="b">
        <v>0</v>
      </c>
      <c r="O258" s="80" t="str">
        <f t="shared" si="2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1"/>
        <v/>
      </c>
      <c r="N259" s="79" t="b">
        <v>0</v>
      </c>
      <c r="O259" s="80" t="str">
        <f t="shared" si="2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1"/>
        <v/>
      </c>
      <c r="N260" s="79" t="b">
        <v>0</v>
      </c>
      <c r="O260" s="80" t="str">
        <f t="shared" si="2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1"/>
        <v/>
      </c>
      <c r="N261" s="79" t="b">
        <v>0</v>
      </c>
      <c r="O261" s="80" t="str">
        <f t="shared" si="2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1"/>
        <v/>
      </c>
      <c r="N262" s="79" t="b">
        <v>0</v>
      </c>
      <c r="O262" s="80" t="str">
        <f t="shared" si="2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1"/>
        <v/>
      </c>
      <c r="N263" s="79" t="b">
        <v>0</v>
      </c>
      <c r="O263" s="80" t="str">
        <f t="shared" si="2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1"/>
        <v/>
      </c>
      <c r="N264" s="79" t="b">
        <v>0</v>
      </c>
      <c r="O264" s="80" t="str">
        <f t="shared" si="2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1"/>
        <v/>
      </c>
      <c r="N265" s="79" t="b">
        <v>0</v>
      </c>
      <c r="O265" s="80" t="str">
        <f t="shared" si="2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1"/>
        <v/>
      </c>
      <c r="N266" s="79" t="b">
        <v>0</v>
      </c>
      <c r="O266" s="80" t="str">
        <f t="shared" si="2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1"/>
        <v/>
      </c>
      <c r="N267" s="79" t="b">
        <v>0</v>
      </c>
      <c r="O267" s="80" t="str">
        <f t="shared" si="2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1"/>
        <v/>
      </c>
      <c r="N268" s="79" t="b">
        <v>0</v>
      </c>
      <c r="O268" s="80" t="str">
        <f t="shared" si="2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1"/>
        <v/>
      </c>
      <c r="N269" s="79" t="b">
        <v>0</v>
      </c>
      <c r="O269" s="80" t="str">
        <f t="shared" si="2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1"/>
        <v/>
      </c>
      <c r="N270" s="79" t="b">
        <v>0</v>
      </c>
      <c r="O270" s="80" t="str">
        <f t="shared" si="2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1"/>
        <v/>
      </c>
      <c r="N271" s="79" t="b">
        <v>0</v>
      </c>
      <c r="O271" s="80" t="str">
        <f t="shared" si="2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1"/>
        <v/>
      </c>
      <c r="N272" s="79" t="b">
        <v>0</v>
      </c>
      <c r="O272" s="80" t="str">
        <f t="shared" si="2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1"/>
        <v/>
      </c>
      <c r="N273" s="79" t="b">
        <v>0</v>
      </c>
      <c r="O273" s="80" t="str">
        <f t="shared" si="2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1"/>
        <v/>
      </c>
      <c r="N274" s="79" t="b">
        <v>0</v>
      </c>
      <c r="O274" s="80" t="str">
        <f t="shared" si="2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1"/>
        <v/>
      </c>
      <c r="N275" s="79" t="b">
        <v>0</v>
      </c>
      <c r="O275" s="80" t="str">
        <f t="shared" si="2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1"/>
        <v/>
      </c>
      <c r="N276" s="79" t="b">
        <v>0</v>
      </c>
      <c r="O276" s="80" t="str">
        <f t="shared" si="2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1"/>
        <v/>
      </c>
      <c r="N277" s="79" t="b">
        <v>0</v>
      </c>
      <c r="O277" s="80" t="str">
        <f t="shared" si="2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1"/>
        <v/>
      </c>
      <c r="N278" s="79" t="b">
        <v>0</v>
      </c>
      <c r="O278" s="80" t="str">
        <f t="shared" si="2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1"/>
        <v/>
      </c>
      <c r="N279" s="79" t="b">
        <v>0</v>
      </c>
      <c r="O279" s="80" t="str">
        <f t="shared" si="2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1"/>
        <v/>
      </c>
      <c r="N280" s="79" t="b">
        <v>0</v>
      </c>
      <c r="O280" s="80" t="str">
        <f t="shared" si="2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1"/>
        <v/>
      </c>
      <c r="N281" s="79" t="b">
        <v>0</v>
      </c>
      <c r="O281" s="80" t="str">
        <f t="shared" si="2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1"/>
        <v/>
      </c>
      <c r="N282" s="79" t="b">
        <v>0</v>
      </c>
      <c r="O282" s="80" t="str">
        <f t="shared" si="2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1"/>
        <v/>
      </c>
      <c r="N283" s="79" t="b">
        <v>0</v>
      </c>
      <c r="O283" s="80" t="str">
        <f t="shared" si="2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1"/>
        <v/>
      </c>
      <c r="N284" s="79" t="b">
        <v>0</v>
      </c>
      <c r="O284" s="80" t="str">
        <f t="shared" si="2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1"/>
        <v/>
      </c>
      <c r="N285" s="79" t="b">
        <v>0</v>
      </c>
      <c r="O285" s="80" t="str">
        <f t="shared" si="2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1"/>
        <v/>
      </c>
      <c r="N286" s="79" t="b">
        <v>0</v>
      </c>
      <c r="O286" s="80" t="str">
        <f t="shared" si="2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1"/>
        <v/>
      </c>
      <c r="N287" s="79" t="b">
        <v>0</v>
      </c>
      <c r="O287" s="80" t="str">
        <f t="shared" si="2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1"/>
        <v/>
      </c>
      <c r="N288" s="79" t="b">
        <v>0</v>
      </c>
      <c r="O288" s="80" t="str">
        <f t="shared" si="2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1"/>
        <v/>
      </c>
      <c r="N289" s="79" t="b">
        <v>0</v>
      </c>
      <c r="O289" s="80" t="str">
        <f t="shared" si="2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1"/>
        <v/>
      </c>
      <c r="N290" s="79" t="b">
        <v>0</v>
      </c>
      <c r="O290" s="80" t="str">
        <f t="shared" si="2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1"/>
        <v/>
      </c>
      <c r="N291" s="79" t="b">
        <v>0</v>
      </c>
      <c r="O291" s="80" t="str">
        <f t="shared" si="2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1"/>
        <v/>
      </c>
      <c r="N292" s="79" t="b">
        <v>0</v>
      </c>
      <c r="O292" s="80" t="str">
        <f t="shared" si="2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1"/>
        <v/>
      </c>
      <c r="N293" s="79" t="b">
        <v>0</v>
      </c>
      <c r="O293" s="80" t="str">
        <f t="shared" si="2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1"/>
        <v/>
      </c>
      <c r="N294" s="79" t="b">
        <v>0</v>
      </c>
      <c r="O294" s="80" t="str">
        <f t="shared" si="2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1"/>
        <v/>
      </c>
      <c r="N295" s="79" t="b">
        <v>0</v>
      </c>
      <c r="O295" s="80" t="str">
        <f t="shared" si="2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1"/>
        <v/>
      </c>
      <c r="N296" s="79" t="b">
        <v>0</v>
      </c>
      <c r="O296" s="80" t="str">
        <f t="shared" si="2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1"/>
        <v/>
      </c>
      <c r="N297" s="79" t="b">
        <v>0</v>
      </c>
      <c r="O297" s="80" t="str">
        <f t="shared" si="2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1"/>
        <v/>
      </c>
      <c r="N298" s="79" t="b">
        <v>0</v>
      </c>
      <c r="O298" s="80" t="str">
        <f t="shared" si="2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1"/>
        <v/>
      </c>
      <c r="N299" s="79" t="b">
        <v>0</v>
      </c>
      <c r="O299" s="80" t="str">
        <f t="shared" si="2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1"/>
        <v/>
      </c>
      <c r="N300" s="79" t="b">
        <v>0</v>
      </c>
      <c r="O300" s="80" t="str">
        <f t="shared" si="2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1"/>
        <v/>
      </c>
      <c r="N301" s="79" t="b">
        <v>0</v>
      </c>
      <c r="O301" s="80" t="str">
        <f t="shared" si="2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1"/>
        <v/>
      </c>
      <c r="N302" s="79" t="b">
        <v>0</v>
      </c>
      <c r="O302" s="80" t="str">
        <f t="shared" si="2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1"/>
        <v/>
      </c>
      <c r="N303" s="79" t="b">
        <v>0</v>
      </c>
      <c r="O303" s="80" t="str">
        <f t="shared" si="2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1"/>
        <v/>
      </c>
      <c r="N304" s="79" t="b">
        <v>0</v>
      </c>
      <c r="O304" s="80" t="str">
        <f t="shared" si="2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1"/>
        <v/>
      </c>
      <c r="N305" s="79" t="b">
        <v>0</v>
      </c>
      <c r="O305" s="80" t="str">
        <f t="shared" si="2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1"/>
        <v/>
      </c>
      <c r="N306" s="79" t="b">
        <v>0</v>
      </c>
      <c r="O306" s="80" t="str">
        <f t="shared" si="2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1"/>
        <v/>
      </c>
      <c r="N307" s="79" t="b">
        <v>0</v>
      </c>
      <c r="O307" s="80" t="str">
        <f t="shared" si="2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 maintenance"</formula>
    </cfRule>
  </conditionalFormatting>
  <conditionalFormatting sqref="A11:V307">
    <cfRule type="expression" dxfId="0" priority="9">
      <formula>$U11="รอคอนเฟิร์ม"</formula>
    </cfRule>
  </conditionalFormatting>
  <conditionalFormatting sqref="A11:V307">
    <cfRule type="expression" dxfId="0" priority="10">
      <formula>$U11="รอดูสี"</formula>
    </cfRule>
  </conditionalFormatting>
  <conditionalFormatting sqref="A11:V307">
    <cfRule type="expression" dxfId="0" priority="11">
      <formula>$U11="กระดาษชื้น"</formula>
    </cfRule>
  </conditionalFormatting>
  <conditionalFormatting sqref="A11:V307">
    <cfRule type="expression" dxfId="4" priority="12">
      <formula>$L11=True</formula>
    </cfRule>
  </conditionalFormatting>
  <conditionalFormatting sqref="A11:V307">
    <cfRule type="expression" dxfId="6" priority="13">
      <formula>$F11="ตามคิว"</formula>
    </cfRule>
  </conditionalFormatting>
  <conditionalFormatting sqref="A11:V307">
    <cfRule type="expression" dxfId="7" priority="14">
      <formula>$F11="Same Day"</formula>
    </cfRule>
  </conditionalFormatting>
  <conditionalFormatting sqref="A11:V307">
    <cfRule type="expression" dxfId="6" priority="15">
      <formula>$F11="ตัวอย่าง Mockup"</formula>
    </cfRule>
  </conditionalFormatting>
  <conditionalFormatting sqref="D17:F17">
    <cfRule type="notContainsBlanks" dxfId="8" priority="16">
      <formula>LEN(TRIM(D17))&gt;0</formula>
    </cfRule>
  </conditionalFormatting>
  <conditionalFormatting sqref="A11:V307">
    <cfRule type="expression" dxfId="5" priority="17">
      <formula>$F11="VIP"</formula>
    </cfRule>
  </conditionalFormatting>
  <conditionalFormatting sqref="D17:F17">
    <cfRule type="notContainsBlanks" dxfId="8" priority="18">
      <formula>LEN(TRIM(D17))&gt;0</formula>
    </cfRule>
  </conditionalFormatting>
  <conditionalFormatting sqref="U400:W400">
    <cfRule type="expression" dxfId="9" priority="19">
      <formula>"D11"</formula>
    </cfRule>
  </conditionalFormatting>
  <conditionalFormatting sqref="A1:B1">
    <cfRule type="notContainsBlanks" dxfId="8" priority="20">
      <formula>LEN(TRIM(A1))&gt;0</formula>
    </cfRule>
  </conditionalFormatting>
  <conditionalFormatting sqref="A11:V307">
    <cfRule type="expression" dxfId="10" priority="21">
      <formula>$F11="งานซ่อม"</formula>
    </cfRule>
  </conditionalFormatting>
  <conditionalFormatting sqref="A11:V307">
    <cfRule type="expression" dxfId="10" priority="22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307 P11:P307">
      <formula1>"Fluke,Sunney"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75"/>
  <cols>
    <col customWidth="1" min="1" max="1" width="10.25"/>
    <col customWidth="1" min="2" max="2" width="13.75"/>
    <col customWidth="1" min="3" max="3" width="40.13"/>
    <col customWidth="1" min="4" max="4" width="24.13"/>
    <col customWidth="1" min="5" max="5" width="17.5"/>
    <col customWidth="1" min="6" max="6" width="14.38"/>
    <col customWidth="1" min="7" max="7" width="10.63"/>
    <col customWidth="1" min="8" max="8" width="13.0"/>
    <col customWidth="1" min="9" max="9" width="10.88"/>
    <col customWidth="1" min="10" max="10" width="11.5"/>
    <col customWidth="1" min="11" max="11" width="13.13"/>
    <col customWidth="1" min="12" max="12" width="6.13"/>
    <col customWidth="1" min="13" max="13" width="18.63"/>
    <col customWidth="1" min="14" max="14" width="6.0"/>
    <col customWidth="1" min="15" max="15" width="19.63"/>
    <col customWidth="1" min="16" max="16" width="14.38"/>
    <col customWidth="1" min="18" max="18" width="8.25"/>
    <col customWidth="1" min="19" max="19" width="8.0"/>
    <col customWidth="1" min="20" max="20" width="13.63"/>
    <col customWidth="1" min="21" max="21" width="19.13"/>
    <col customWidth="1" min="22" max="22" width="28.5"/>
    <col customWidth="1" min="23" max="23" width="26.0"/>
    <col customWidth="1" min="24" max="24" width="7.25"/>
    <col customWidth="1" min="25" max="25" width="9.63"/>
    <col customWidth="1" min="26" max="26" width="25.75"/>
    <col customWidth="1" min="27" max="27" width="7.13"/>
    <col customWidth="1" min="28" max="28" width="8.25"/>
    <col customWidth="1" min="29" max="29" width="25.38"/>
    <col customWidth="1" min="30" max="30" width="9.75"/>
    <col customWidth="1" min="31" max="31" width="9.5"/>
    <col customWidth="1" min="32" max="32" width="24.5"/>
    <col customWidth="1" min="34" max="34" width="9.88"/>
  </cols>
  <sheetData>
    <row r="1" ht="21.0" customHeight="1">
      <c r="A1" s="1" t="s">
        <v>0</v>
      </c>
      <c r="B1" s="2"/>
      <c r="C1" s="3" t="s">
        <v>101</v>
      </c>
      <c r="D1" s="4" t="s">
        <v>2</v>
      </c>
      <c r="E1" s="5"/>
      <c r="F1" s="5"/>
      <c r="G1" s="5"/>
      <c r="H1" s="5"/>
      <c r="I1" s="2"/>
      <c r="J1" s="6" t="s">
        <v>3</v>
      </c>
      <c r="K1" s="5"/>
      <c r="L1" s="5"/>
      <c r="M1" s="2"/>
      <c r="N1" s="7">
        <v>45904.0</v>
      </c>
      <c r="O1" s="2"/>
      <c r="P1" s="8" t="s">
        <v>4</v>
      </c>
      <c r="Q1" s="5"/>
      <c r="R1" s="2"/>
      <c r="S1" s="9" t="s">
        <v>5</v>
      </c>
      <c r="T1" s="5"/>
      <c r="U1" s="2"/>
      <c r="W1" s="10" t="s">
        <v>6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2"/>
    </row>
    <row r="2" ht="20.25" customHeight="1">
      <c r="A2" s="11" t="s">
        <v>7</v>
      </c>
      <c r="B2" s="5"/>
      <c r="C2" s="12">
        <f>COUNTIFS(K11:K1000,C1)</f>
        <v>0</v>
      </c>
      <c r="D2" s="13" t="s">
        <v>8</v>
      </c>
      <c r="E2" s="14">
        <f>COUNTIFS(F11:F1000,"ตามคิว")</f>
        <v>0</v>
      </c>
      <c r="F2" s="15" t="s">
        <v>9</v>
      </c>
      <c r="G2" s="16" t="s">
        <v>10</v>
      </c>
      <c r="I2" s="17"/>
      <c r="J2" s="18" t="s">
        <v>8</v>
      </c>
      <c r="K2" s="19">
        <f>COUNTIFS(N11:N1000,True,F11:F1000,"ตามคิว",A11:A1000,N1)</f>
        <v>0</v>
      </c>
      <c r="L2" s="42" t="s">
        <v>9</v>
      </c>
      <c r="M2" s="21" t="s">
        <v>10</v>
      </c>
      <c r="N2" s="5"/>
      <c r="O2" s="2"/>
      <c r="P2" s="22" t="s">
        <v>11</v>
      </c>
      <c r="Q2" s="5"/>
      <c r="R2" s="2"/>
      <c r="S2" s="23"/>
      <c r="T2" s="24" t="s">
        <v>12</v>
      </c>
      <c r="U2" s="2"/>
      <c r="W2" s="25" t="s">
        <v>13</v>
      </c>
      <c r="X2" s="25">
        <f>COUNTIFS(D11:E1000,"อาร์ตมัน 105g (โกดัง)")</f>
        <v>0</v>
      </c>
      <c r="Y2" s="25" t="s">
        <v>9</v>
      </c>
      <c r="Z2" s="25" t="s">
        <v>14</v>
      </c>
      <c r="AA2" s="25">
        <f>COUNTIFS(D11:E1000,"ปอนด์ 70g (โกดัง)")</f>
        <v>0</v>
      </c>
      <c r="AB2" s="25" t="s">
        <v>9</v>
      </c>
      <c r="AC2" s="25" t="s">
        <v>15</v>
      </c>
      <c r="AD2" s="25">
        <f>COUNTIFS(D11:E1000,"อาร์ตการ์ด 1/S 210g (โกดัง)")</f>
        <v>0</v>
      </c>
      <c r="AE2" s="25" t="s">
        <v>9</v>
      </c>
      <c r="AF2" s="26" t="s">
        <v>16</v>
      </c>
      <c r="AG2" s="26">
        <f>COUNTIFS(D11:E1000,"อาร์ตการ์ด 2/S 300g (ODM)")</f>
        <v>0</v>
      </c>
      <c r="AH2" s="26" t="s">
        <v>9</v>
      </c>
    </row>
    <row r="3" ht="29.25" customHeight="1">
      <c r="A3" s="11" t="s">
        <v>17</v>
      </c>
      <c r="B3" s="5"/>
      <c r="C3" s="12">
        <f>COUNTIFS(P11:P1000,C1,N11:N1000,true)</f>
        <v>0</v>
      </c>
      <c r="D3" s="13" t="s">
        <v>18</v>
      </c>
      <c r="E3" s="14">
        <f>COUNTIFS(F11:F1000,"Same Day")</f>
        <v>0</v>
      </c>
      <c r="F3" s="15" t="s">
        <v>9</v>
      </c>
      <c r="G3" s="27" t="s">
        <v>19</v>
      </c>
      <c r="H3" s="28">
        <f>COUNTIFS(U11:U1000,"Dicut Jwei")</f>
        <v>0</v>
      </c>
      <c r="I3" s="29" t="s">
        <v>9</v>
      </c>
      <c r="J3" s="18" t="s">
        <v>18</v>
      </c>
      <c r="K3" s="19">
        <f>COUNTIFS(N11:N1000,True,F11:F1000,"Same Day",A11:A1000,N1)</f>
        <v>0</v>
      </c>
      <c r="L3" s="42" t="s">
        <v>9</v>
      </c>
      <c r="M3" s="27" t="s">
        <v>19</v>
      </c>
      <c r="N3" s="28">
        <f>COUNTIFS(N11:N1000,True,U11:U1000,"Dicut Jwei",A11:A1000,N1)</f>
        <v>0</v>
      </c>
      <c r="O3" s="29" t="s">
        <v>9</v>
      </c>
      <c r="P3" s="30" t="s">
        <v>20</v>
      </c>
      <c r="Q3" s="31">
        <v>15.0</v>
      </c>
      <c r="R3" s="31" t="s">
        <v>21</v>
      </c>
      <c r="S3" s="32"/>
      <c r="T3" s="33" t="s">
        <v>22</v>
      </c>
      <c r="U3" s="2"/>
      <c r="W3" s="25" t="s">
        <v>23</v>
      </c>
      <c r="X3" s="25">
        <f>COUNTIFS(D11:E1000,"อาร์ตมัน 130g (โกดัง)")</f>
        <v>0</v>
      </c>
      <c r="Y3" s="25" t="s">
        <v>9</v>
      </c>
      <c r="Z3" s="25" t="s">
        <v>24</v>
      </c>
      <c r="AA3" s="25">
        <f>COUNTIFS(D11:E1000,"ปอนด์ 80g (โกดัง)")</f>
        <v>0</v>
      </c>
      <c r="AB3" s="25" t="s">
        <v>9</v>
      </c>
      <c r="AC3" s="25" t="s">
        <v>25</v>
      </c>
      <c r="AD3" s="25">
        <f>COUNTIFS(D11:E1000,"อาร์ตการ์ด 1/S 230g (โกดัง)")</f>
        <v>0</v>
      </c>
      <c r="AE3" s="25" t="s">
        <v>9</v>
      </c>
      <c r="AF3" s="26" t="s">
        <v>26</v>
      </c>
      <c r="AG3" s="26">
        <f>COUNTIFS(D11:E1000,"อาร์ตการ์ด 2/S 350g (ODM)")</f>
        <v>0</v>
      </c>
      <c r="AH3" s="26" t="s">
        <v>9</v>
      </c>
    </row>
    <row r="4" ht="25.5" customHeight="1">
      <c r="A4" s="11"/>
      <c r="B4" s="5"/>
      <c r="C4" s="34"/>
      <c r="D4" s="13" t="s">
        <v>27</v>
      </c>
      <c r="E4" s="14">
        <f>COUNTIFS(F11:F1000,"VIP")</f>
        <v>0</v>
      </c>
      <c r="F4" s="15" t="s">
        <v>9</v>
      </c>
      <c r="G4" s="27" t="s">
        <v>28</v>
      </c>
      <c r="H4" s="28">
        <f>COUNTIFS(U11:U1000,"Dicut Graptech")</f>
        <v>0</v>
      </c>
      <c r="I4" s="29" t="s">
        <v>9</v>
      </c>
      <c r="J4" s="18" t="s">
        <v>27</v>
      </c>
      <c r="K4" s="19">
        <f>COUNTIFS(N11:N1000,True,F11:F1000,"VIP",A11:A1000,N1)</f>
        <v>0</v>
      </c>
      <c r="L4" s="42" t="s">
        <v>9</v>
      </c>
      <c r="M4" s="27" t="s">
        <v>28</v>
      </c>
      <c r="N4" s="28">
        <f>COUNTIFS(N11:N1000,True,U11:U1000,"Dicut Graptech",A11:A1000,N1)</f>
        <v>0</v>
      </c>
      <c r="O4" s="29" t="s">
        <v>9</v>
      </c>
      <c r="P4" s="30" t="s">
        <v>29</v>
      </c>
      <c r="Q4" s="31">
        <v>5.0</v>
      </c>
      <c r="R4" s="31" t="s">
        <v>21</v>
      </c>
      <c r="S4" s="35"/>
      <c r="T4" s="36" t="s">
        <v>30</v>
      </c>
      <c r="U4" s="2"/>
      <c r="W4" s="25" t="s">
        <v>31</v>
      </c>
      <c r="X4" s="25">
        <f>COUNTIFS(D11:E1000,"อาร์ตมัน 160g (โกดัง)")</f>
        <v>0</v>
      </c>
      <c r="Y4" s="25" t="s">
        <v>9</v>
      </c>
      <c r="Z4" s="25" t="s">
        <v>32</v>
      </c>
      <c r="AA4" s="25">
        <f>COUNTIFS(D11:E1000,"ปอนด์ 100g (โกดัง)")</f>
        <v>0</v>
      </c>
      <c r="AB4" s="25" t="s">
        <v>9</v>
      </c>
      <c r="AC4" s="25" t="s">
        <v>33</v>
      </c>
      <c r="AD4" s="25">
        <f>COUNTIFS(D11:E1000,"อาร์ตการ์ด 1/S 260g (โกดัง)")</f>
        <v>0</v>
      </c>
      <c r="AE4" s="25" t="s">
        <v>9</v>
      </c>
      <c r="AF4" s="26" t="s">
        <v>34</v>
      </c>
      <c r="AG4" s="26">
        <f>COUNTIFS(D11:E1000,"Stk PP ขาวเงา (ODM)")</f>
        <v>0</v>
      </c>
      <c r="AH4" s="26" t="s">
        <v>9</v>
      </c>
    </row>
    <row r="5" ht="24.0" customHeight="1">
      <c r="A5" s="1" t="s">
        <v>35</v>
      </c>
      <c r="B5" s="5"/>
      <c r="C5" s="2"/>
      <c r="D5" s="13" t="s">
        <v>36</v>
      </c>
      <c r="E5" s="14">
        <f>COUNTIFS(F11:F1000,"'งานซ่อม")</f>
        <v>0</v>
      </c>
      <c r="F5" s="15" t="s">
        <v>9</v>
      </c>
      <c r="G5" s="37" t="s">
        <v>37</v>
      </c>
      <c r="H5" s="5"/>
      <c r="I5" s="2"/>
      <c r="J5" s="18" t="s">
        <v>36</v>
      </c>
      <c r="K5" s="19">
        <f>COUNTIFS(N11:N1000,True,F11:F1000,"งานซ่อม",A11:A1000,N1)</f>
        <v>0</v>
      </c>
      <c r="L5" s="42" t="s">
        <v>9</v>
      </c>
      <c r="M5" s="38" t="s">
        <v>37</v>
      </c>
      <c r="N5" s="5"/>
      <c r="O5" s="2"/>
      <c r="P5" s="39" t="s">
        <v>38</v>
      </c>
      <c r="Q5" s="5"/>
      <c r="R5" s="2"/>
      <c r="S5" s="40"/>
      <c r="T5" s="41" t="s">
        <v>39</v>
      </c>
      <c r="U5" s="2"/>
      <c r="W5" s="25" t="s">
        <v>40</v>
      </c>
      <c r="X5" s="25">
        <f>COUNTIFS(D11:E1000,"อาร์ตการ์ด 2/S 190g (โกดัง)")</f>
        <v>0</v>
      </c>
      <c r="Y5" s="25" t="s">
        <v>9</v>
      </c>
      <c r="Z5" s="25" t="s">
        <v>41</v>
      </c>
      <c r="AA5" s="25">
        <f>COUNTIFS(D11:E1000,"ปอนด์ 120g (โกดัง)")</f>
        <v>0</v>
      </c>
      <c r="AB5" s="25" t="s">
        <v>9</v>
      </c>
      <c r="AC5" s="25" t="s">
        <v>42</v>
      </c>
      <c r="AD5" s="25">
        <f>COUNTIFS(D11:E1000,"อาร์ตการ์ด 1/S 300g (โกดัง)")</f>
        <v>0</v>
      </c>
      <c r="AE5" s="25" t="s">
        <v>9</v>
      </c>
      <c r="AF5" s="26" t="s">
        <v>43</v>
      </c>
      <c r="AG5" s="26">
        <f>COUNTIFS(D11:E1000,"Stk PP ขาวด้าน (ODM)")</f>
        <v>0</v>
      </c>
      <c r="AH5" s="26" t="s">
        <v>9</v>
      </c>
    </row>
    <row r="6" ht="21.75" customHeight="1">
      <c r="A6" s="11">
        <f>COUNTIFS(N11:N1000,True,B11:B1000,"*",K11:K1000,"*")</f>
        <v>0</v>
      </c>
      <c r="B6" s="2"/>
      <c r="C6" s="12" t="s">
        <v>9</v>
      </c>
      <c r="D6" s="13" t="s">
        <v>44</v>
      </c>
      <c r="E6" s="14">
        <f>COUNTIFS(F11:F1000,"ซ่อมไม่มีใบสั่ง")</f>
        <v>0</v>
      </c>
      <c r="F6" s="15" t="s">
        <v>9</v>
      </c>
      <c r="G6" s="42" t="s">
        <v>11</v>
      </c>
      <c r="H6" s="19">
        <f>COUNTIFS(Q11:Q1000,"C12000")</f>
        <v>0</v>
      </c>
      <c r="I6" s="42" t="s">
        <v>9</v>
      </c>
      <c r="J6" s="18" t="s">
        <v>44</v>
      </c>
      <c r="K6" s="19">
        <f>COUNTIFS(N11:N1000,True,F11:F1000,"ซ่อมไม่มีใบสั่ง",A11:A1000,N1)</f>
        <v>0</v>
      </c>
      <c r="L6" s="42" t="s">
        <v>9</v>
      </c>
      <c r="M6" s="43" t="s">
        <v>11</v>
      </c>
      <c r="N6" s="44">
        <f>COUNTIFS(N11:N1000,True,Q11:Q1000,"C12000",A11:A1000,N1)</f>
        <v>0</v>
      </c>
      <c r="O6" s="43" t="s">
        <v>9</v>
      </c>
      <c r="P6" s="45" t="s">
        <v>45</v>
      </c>
      <c r="Q6" s="13">
        <v>6.0</v>
      </c>
      <c r="R6" s="13" t="s">
        <v>21</v>
      </c>
      <c r="S6" s="46"/>
      <c r="T6" s="47" t="s">
        <v>46</v>
      </c>
      <c r="U6" s="2"/>
      <c r="W6" s="25" t="s">
        <v>47</v>
      </c>
      <c r="X6" s="25">
        <f>COUNTIFS(D11:E1000,"อาร์ตการ์ด 2/S 210g (โกดัง)")</f>
        <v>0</v>
      </c>
      <c r="Y6" s="25" t="s">
        <v>9</v>
      </c>
      <c r="Z6" s="25" t="s">
        <v>48</v>
      </c>
      <c r="AA6" s="25">
        <f>COUNTIFS(D11:E1000,"การ์ดขาว 150g (โกดัง)")</f>
        <v>0</v>
      </c>
      <c r="AB6" s="25" t="s">
        <v>9</v>
      </c>
      <c r="AC6" s="25" t="s">
        <v>49</v>
      </c>
      <c r="AD6" s="25">
        <f>COUNTIFS(D11:E1000,"อาร์ตการ์ด 1/S 350g (โกดัง)")</f>
        <v>0</v>
      </c>
      <c r="AE6" s="25" t="s">
        <v>9</v>
      </c>
      <c r="AF6" s="26" t="s">
        <v>50</v>
      </c>
      <c r="AG6" s="26">
        <f>COUNTIFS(D11:E1000,"Stk PP ใส (ODM)")</f>
        <v>0</v>
      </c>
      <c r="AH6" s="26" t="s">
        <v>9</v>
      </c>
    </row>
    <row r="7" ht="22.5" customHeight="1">
      <c r="A7" s="48" t="s">
        <v>51</v>
      </c>
      <c r="B7" s="5"/>
      <c r="C7" s="2"/>
      <c r="D7" s="13" t="s">
        <v>52</v>
      </c>
      <c r="E7" s="14">
        <f>COUNTIFS(F11:F1000,"ตัวอย่าง Mockup")</f>
        <v>0</v>
      </c>
      <c r="F7" s="15" t="s">
        <v>9</v>
      </c>
      <c r="G7" s="42" t="s">
        <v>38</v>
      </c>
      <c r="H7" s="19">
        <f>COUNTIFS(Q11:Q1000,"C4070")</f>
        <v>0</v>
      </c>
      <c r="I7" s="42" t="s">
        <v>9</v>
      </c>
      <c r="J7" s="18" t="s">
        <v>52</v>
      </c>
      <c r="K7" s="19">
        <f>COUNTIFS(N11:N1000,True,F11:F1000,"ตัวอย่าง Mock up",A11:A1000,N1)</f>
        <v>0</v>
      </c>
      <c r="L7" s="42" t="s">
        <v>9</v>
      </c>
      <c r="M7" s="43" t="s">
        <v>38</v>
      </c>
      <c r="N7" s="44">
        <f>COUNTIFS(N11:N1000,True,Q11:Q1000,"C4070",A11:A1000,N1)</f>
        <v>0</v>
      </c>
      <c r="O7" s="43" t="s">
        <v>9</v>
      </c>
      <c r="P7" s="49" t="s">
        <v>53</v>
      </c>
      <c r="Q7" s="13">
        <v>3.0</v>
      </c>
      <c r="R7" s="13" t="s">
        <v>21</v>
      </c>
      <c r="W7" s="25" t="s">
        <v>54</v>
      </c>
      <c r="X7" s="25">
        <f>COUNTIFS(D11:E1000,"อาร์ตการ์ด 2/S 230g (โกดัง)")</f>
        <v>0</v>
      </c>
      <c r="Y7" s="25" t="s">
        <v>9</v>
      </c>
      <c r="Z7" s="25" t="s">
        <v>55</v>
      </c>
      <c r="AA7" s="25">
        <f>COUNTIFS(D11:E1000,"การ์ดขาว 210g (โกดัง)")</f>
        <v>0</v>
      </c>
      <c r="AB7" s="25" t="s">
        <v>9</v>
      </c>
      <c r="AC7" s="25" t="s">
        <v>56</v>
      </c>
      <c r="AD7" s="25">
        <f>COUNTIFS(D11:E1000,"อาร์ตด้าน 105g (โกดัง)")</f>
        <v>0</v>
      </c>
      <c r="AE7" s="25" t="s">
        <v>9</v>
      </c>
      <c r="AF7" s="26" t="s">
        <v>57</v>
      </c>
      <c r="AG7" s="26">
        <f>COUNTIFS(D11:E1000,"Stk กระดาษขาวเงา (ODM)")</f>
        <v>0</v>
      </c>
      <c r="AH7" s="26" t="s">
        <v>9</v>
      </c>
    </row>
    <row r="8" ht="26.25" customHeight="1">
      <c r="A8" s="50">
        <f>COUNTIFS(N11:N1000,False,B11:B1000,"*",K11:K1000,"*")</f>
        <v>0</v>
      </c>
      <c r="B8" s="2"/>
      <c r="C8" s="12" t="s">
        <v>9</v>
      </c>
      <c r="D8" s="51" t="s">
        <v>58</v>
      </c>
      <c r="E8" s="5"/>
      <c r="F8" s="5"/>
      <c r="G8" s="2"/>
      <c r="H8" s="52">
        <f>E2+E3+E4+E5+E6+E7</f>
        <v>0</v>
      </c>
      <c r="I8" s="51" t="s">
        <v>59</v>
      </c>
      <c r="J8" s="2"/>
      <c r="K8" s="53">
        <f>SUM(H3+H4)</f>
        <v>0</v>
      </c>
      <c r="L8" s="54"/>
      <c r="M8" s="54"/>
      <c r="N8" s="54"/>
      <c r="O8" s="54"/>
      <c r="P8" s="54"/>
      <c r="Q8" s="54"/>
      <c r="R8" s="54"/>
      <c r="S8" s="55"/>
      <c r="V8" s="55"/>
      <c r="W8" s="25" t="s">
        <v>60</v>
      </c>
      <c r="X8" s="25">
        <f>COUNTIFS(D11:E1000,"อาร์ตการ์ด 2/S 260g (โกดัง)")</f>
        <v>0</v>
      </c>
      <c r="Y8" s="25" t="s">
        <v>9</v>
      </c>
      <c r="Z8" s="25" t="s">
        <v>61</v>
      </c>
      <c r="AA8" s="25">
        <f>COUNTIFS(D11:E1000,"การ์ดขาว 240g (โกดัง)")</f>
        <v>0</v>
      </c>
      <c r="AB8" s="25" t="s">
        <v>9</v>
      </c>
      <c r="AC8" s="25" t="s">
        <v>62</v>
      </c>
      <c r="AD8" s="25">
        <f>COUNTIFS(D11:E1000,"อาร์ตด้าน 130g (โกดัง)")</f>
        <v>0</v>
      </c>
      <c r="AE8" s="25" t="s">
        <v>9</v>
      </c>
      <c r="AF8" s="26" t="s">
        <v>63</v>
      </c>
      <c r="AG8" s="26">
        <f>COUNTIFS(D11:E1000,"Stk กระดาษขาวด้าน (ODM)")</f>
        <v>0</v>
      </c>
      <c r="AH8" s="26" t="s">
        <v>9</v>
      </c>
    </row>
    <row r="9" ht="26.25" customHeight="1">
      <c r="A9" s="56" t="s">
        <v>64</v>
      </c>
      <c r="B9" s="57" t="s">
        <v>65</v>
      </c>
      <c r="C9" s="58" t="s">
        <v>66</v>
      </c>
      <c r="D9" s="59" t="s">
        <v>67</v>
      </c>
      <c r="E9" s="60"/>
      <c r="F9" s="59" t="s">
        <v>68</v>
      </c>
      <c r="G9" s="61" t="s">
        <v>69</v>
      </c>
      <c r="H9" s="62" t="s">
        <v>70</v>
      </c>
      <c r="I9" s="57" t="s">
        <v>71</v>
      </c>
      <c r="J9" s="57" t="s">
        <v>72</v>
      </c>
      <c r="K9" s="57" t="s">
        <v>73</v>
      </c>
      <c r="L9" s="63" t="s">
        <v>74</v>
      </c>
      <c r="M9" s="64"/>
      <c r="N9" s="64"/>
      <c r="O9" s="64"/>
      <c r="P9" s="57" t="s">
        <v>75</v>
      </c>
      <c r="Q9" s="57" t="s">
        <v>76</v>
      </c>
      <c r="R9" s="57" t="s">
        <v>77</v>
      </c>
      <c r="S9" s="59" t="s">
        <v>78</v>
      </c>
      <c r="T9" s="57" t="s">
        <v>79</v>
      </c>
      <c r="U9" s="65" t="s">
        <v>5</v>
      </c>
      <c r="V9" s="66" t="s">
        <v>80</v>
      </c>
      <c r="Z9" s="25" t="s">
        <v>81</v>
      </c>
      <c r="AA9" s="25">
        <f>COUNTIFS(D11:E1000,"การ์ดขาว 300g (โกดัง)")</f>
        <v>0</v>
      </c>
      <c r="AB9" s="25" t="s">
        <v>9</v>
      </c>
      <c r="AC9" s="25" t="s">
        <v>82</v>
      </c>
      <c r="AD9" s="25">
        <f>COUNTIFS(D11:E1000,"อาร์ตด้าน 160g (โกดัง)")</f>
        <v>0</v>
      </c>
      <c r="AE9" s="25" t="s">
        <v>9</v>
      </c>
    </row>
    <row r="10" ht="22.5" customHeight="1">
      <c r="A10" s="68"/>
      <c r="B10" s="69"/>
      <c r="C10" s="69"/>
      <c r="D10" s="70"/>
      <c r="E10" s="64"/>
      <c r="F10" s="70"/>
      <c r="G10" s="71" t="s">
        <v>83</v>
      </c>
      <c r="H10" s="71" t="s">
        <v>84</v>
      </c>
      <c r="I10" s="69"/>
      <c r="J10" s="69"/>
      <c r="K10" s="69"/>
      <c r="L10" s="57" t="s">
        <v>85</v>
      </c>
      <c r="M10" s="62" t="s">
        <v>86</v>
      </c>
      <c r="N10" s="57" t="s">
        <v>87</v>
      </c>
      <c r="O10" s="62" t="s">
        <v>88</v>
      </c>
      <c r="P10" s="69"/>
      <c r="Q10" s="69"/>
      <c r="R10" s="69"/>
      <c r="S10" s="72" t="s">
        <v>89</v>
      </c>
      <c r="T10" s="73" t="s">
        <v>90</v>
      </c>
      <c r="U10" s="68"/>
      <c r="V10" s="69"/>
      <c r="Z10" s="25" t="s">
        <v>91</v>
      </c>
      <c r="AA10" s="25">
        <f>COUNTIFS(D11:E1000,"กรีนรีด 75g (โกดัง)")</f>
        <v>0</v>
      </c>
      <c r="AB10" s="25" t="s">
        <v>9</v>
      </c>
      <c r="AF10" s="74"/>
      <c r="AG10" s="74"/>
      <c r="AH10" s="74"/>
    </row>
    <row r="11">
      <c r="A11" s="75"/>
      <c r="B11" s="76"/>
      <c r="C11" s="77"/>
      <c r="D11" s="76"/>
      <c r="E11" s="76"/>
      <c r="F11" s="76"/>
      <c r="G11" s="76"/>
      <c r="H11" s="76"/>
      <c r="I11" s="75"/>
      <c r="J11" s="78"/>
      <c r="K11" s="76"/>
      <c r="L11" s="79" t="b">
        <v>0</v>
      </c>
      <c r="M11" s="80" t="str">
        <f t="shared" ref="M11:M307" si="1">IFS(L11=FALSE,"",M11="",NOW(),TRUE,M11)</f>
        <v/>
      </c>
      <c r="N11" s="131" t="b">
        <v>0</v>
      </c>
      <c r="O11" s="80" t="str">
        <f t="shared" ref="O11:O307" si="2">IFS(N11=FALSE,"",O11="",NOW(),TRUE,O11)</f>
        <v/>
      </c>
      <c r="P11" s="76"/>
      <c r="Q11" s="76"/>
      <c r="R11" s="76" t="b">
        <v>0</v>
      </c>
      <c r="S11" s="82" t="b">
        <v>0</v>
      </c>
      <c r="T11" s="76"/>
      <c r="U11" s="79"/>
      <c r="V11" s="83"/>
      <c r="W11" s="118"/>
    </row>
    <row r="12">
      <c r="A12" s="75"/>
      <c r="B12" s="76"/>
      <c r="C12" s="77"/>
      <c r="D12" s="76"/>
      <c r="E12" s="76"/>
      <c r="F12" s="76"/>
      <c r="G12" s="76"/>
      <c r="H12" s="76"/>
      <c r="I12" s="75"/>
      <c r="J12" s="78"/>
      <c r="K12" s="76"/>
      <c r="L12" s="79" t="b">
        <v>0</v>
      </c>
      <c r="M12" s="80" t="str">
        <f t="shared" si="1"/>
        <v/>
      </c>
      <c r="N12" s="131" t="b">
        <v>0</v>
      </c>
      <c r="O12" s="80" t="str">
        <f t="shared" si="2"/>
        <v/>
      </c>
      <c r="P12" s="76"/>
      <c r="Q12" s="76"/>
      <c r="R12" s="76" t="b">
        <v>0</v>
      </c>
      <c r="S12" s="82" t="b">
        <v>0</v>
      </c>
      <c r="T12" s="76"/>
      <c r="U12" s="79"/>
      <c r="V12" s="83"/>
      <c r="W12" s="74"/>
    </row>
    <row r="13">
      <c r="A13" s="75"/>
      <c r="B13" s="76"/>
      <c r="C13" s="77"/>
      <c r="D13" s="76"/>
      <c r="E13" s="76"/>
      <c r="F13" s="76"/>
      <c r="G13" s="76"/>
      <c r="H13" s="76"/>
      <c r="I13" s="75"/>
      <c r="J13" s="78"/>
      <c r="K13" s="76"/>
      <c r="L13" s="79" t="b">
        <v>0</v>
      </c>
      <c r="M13" s="80" t="str">
        <f t="shared" si="1"/>
        <v/>
      </c>
      <c r="N13" s="131" t="b">
        <v>0</v>
      </c>
      <c r="O13" s="80" t="str">
        <f t="shared" si="2"/>
        <v/>
      </c>
      <c r="P13" s="76"/>
      <c r="Q13" s="76"/>
      <c r="R13" s="76" t="b">
        <v>0</v>
      </c>
      <c r="S13" s="82" t="b">
        <v>0</v>
      </c>
      <c r="T13" s="76"/>
      <c r="U13" s="79"/>
      <c r="V13" s="83"/>
      <c r="W13" s="74"/>
    </row>
    <row r="14">
      <c r="A14" s="75"/>
      <c r="B14" s="76"/>
      <c r="C14" s="77"/>
      <c r="D14" s="76"/>
      <c r="E14" s="76"/>
      <c r="F14" s="76"/>
      <c r="G14" s="76"/>
      <c r="H14" s="76"/>
      <c r="I14" s="75"/>
      <c r="J14" s="78"/>
      <c r="K14" s="76"/>
      <c r="L14" s="79" t="b">
        <v>0</v>
      </c>
      <c r="M14" s="80" t="str">
        <f t="shared" si="1"/>
        <v/>
      </c>
      <c r="N14" s="131" t="b">
        <v>0</v>
      </c>
      <c r="O14" s="80" t="str">
        <f t="shared" si="2"/>
        <v/>
      </c>
      <c r="P14" s="76"/>
      <c r="Q14" s="76"/>
      <c r="R14" s="76" t="b">
        <v>0</v>
      </c>
      <c r="S14" s="82" t="b">
        <v>0</v>
      </c>
      <c r="T14" s="76"/>
      <c r="U14" s="79"/>
      <c r="V14" s="83"/>
      <c r="W14" s="74"/>
    </row>
    <row r="15">
      <c r="A15" s="75"/>
      <c r="B15" s="76"/>
      <c r="C15" s="77"/>
      <c r="D15" s="76"/>
      <c r="E15" s="76"/>
      <c r="F15" s="76"/>
      <c r="G15" s="76"/>
      <c r="H15" s="76"/>
      <c r="I15" s="75"/>
      <c r="J15" s="78"/>
      <c r="K15" s="76"/>
      <c r="L15" s="79" t="b">
        <v>0</v>
      </c>
      <c r="M15" s="80" t="str">
        <f t="shared" si="1"/>
        <v/>
      </c>
      <c r="N15" s="131" t="b">
        <v>0</v>
      </c>
      <c r="O15" s="80" t="str">
        <f t="shared" si="2"/>
        <v/>
      </c>
      <c r="P15" s="76"/>
      <c r="Q15" s="76"/>
      <c r="R15" s="76" t="b">
        <v>0</v>
      </c>
      <c r="S15" s="82" t="b">
        <v>0</v>
      </c>
      <c r="T15" s="76"/>
      <c r="U15" s="79"/>
      <c r="V15" s="83"/>
      <c r="W15" s="118"/>
    </row>
    <row r="16">
      <c r="A16" s="75"/>
      <c r="B16" s="76"/>
      <c r="C16" s="77"/>
      <c r="D16" s="76"/>
      <c r="E16" s="76"/>
      <c r="F16" s="76"/>
      <c r="G16" s="76"/>
      <c r="H16" s="76"/>
      <c r="I16" s="75"/>
      <c r="J16" s="78"/>
      <c r="K16" s="76"/>
      <c r="L16" s="79" t="b">
        <v>0</v>
      </c>
      <c r="M16" s="80" t="str">
        <f t="shared" si="1"/>
        <v/>
      </c>
      <c r="N16" s="131" t="b">
        <v>0</v>
      </c>
      <c r="O16" s="80" t="str">
        <f t="shared" si="2"/>
        <v/>
      </c>
      <c r="P16" s="76"/>
      <c r="Q16" s="76"/>
      <c r="R16" s="76" t="b">
        <v>0</v>
      </c>
      <c r="S16" s="82" t="b">
        <v>0</v>
      </c>
      <c r="T16" s="76"/>
      <c r="U16" s="79"/>
      <c r="V16" s="83"/>
      <c r="W16" s="118"/>
    </row>
    <row r="17">
      <c r="A17" s="75"/>
      <c r="B17" s="76"/>
      <c r="C17" s="77"/>
      <c r="D17" s="76"/>
      <c r="E17" s="76"/>
      <c r="F17" s="76"/>
      <c r="G17" s="76"/>
      <c r="H17" s="76"/>
      <c r="I17" s="75"/>
      <c r="J17" s="78"/>
      <c r="K17" s="76"/>
      <c r="L17" s="79" t="b">
        <v>0</v>
      </c>
      <c r="M17" s="80" t="str">
        <f t="shared" si="1"/>
        <v/>
      </c>
      <c r="N17" s="131" t="b">
        <v>0</v>
      </c>
      <c r="O17" s="80" t="str">
        <f t="shared" si="2"/>
        <v/>
      </c>
      <c r="P17" s="76"/>
      <c r="Q17" s="76"/>
      <c r="R17" s="76" t="b">
        <v>0</v>
      </c>
      <c r="S17" s="82" t="b">
        <v>0</v>
      </c>
      <c r="T17" s="76"/>
      <c r="U17" s="79"/>
      <c r="V17" s="83"/>
      <c r="W17" s="74"/>
    </row>
    <row r="18">
      <c r="A18" s="75"/>
      <c r="B18" s="76"/>
      <c r="C18" s="77"/>
      <c r="D18" s="76"/>
      <c r="E18" s="76"/>
      <c r="F18" s="76"/>
      <c r="G18" s="76"/>
      <c r="H18" s="76"/>
      <c r="I18" s="75"/>
      <c r="J18" s="78"/>
      <c r="K18" s="76"/>
      <c r="L18" s="79" t="b">
        <v>0</v>
      </c>
      <c r="M18" s="80" t="str">
        <f t="shared" si="1"/>
        <v/>
      </c>
      <c r="N18" s="131" t="b">
        <v>0</v>
      </c>
      <c r="O18" s="80" t="str">
        <f t="shared" si="2"/>
        <v/>
      </c>
      <c r="P18" s="76"/>
      <c r="Q18" s="76"/>
      <c r="R18" s="76" t="b">
        <v>0</v>
      </c>
      <c r="S18" s="82" t="b">
        <v>0</v>
      </c>
      <c r="T18" s="76"/>
      <c r="U18" s="79"/>
      <c r="V18" s="83"/>
      <c r="W18" s="118"/>
      <c r="X18" s="74"/>
      <c r="Y18" s="74"/>
      <c r="Z18" s="74"/>
      <c r="AA18" s="74"/>
      <c r="AB18" s="74"/>
      <c r="AC18" s="74"/>
      <c r="AD18" s="74"/>
    </row>
    <row r="19">
      <c r="A19" s="75"/>
      <c r="B19" s="76"/>
      <c r="C19" s="77"/>
      <c r="D19" s="76"/>
      <c r="E19" s="76"/>
      <c r="F19" s="76"/>
      <c r="G19" s="76"/>
      <c r="H19" s="76"/>
      <c r="I19" s="75"/>
      <c r="J19" s="78"/>
      <c r="K19" s="76"/>
      <c r="L19" s="79" t="b">
        <v>0</v>
      </c>
      <c r="M19" s="80" t="str">
        <f t="shared" si="1"/>
        <v/>
      </c>
      <c r="N19" s="131" t="b">
        <v>0</v>
      </c>
      <c r="O19" s="80" t="str">
        <f t="shared" si="2"/>
        <v/>
      </c>
      <c r="P19" s="76"/>
      <c r="Q19" s="76"/>
      <c r="R19" s="76" t="b">
        <v>0</v>
      </c>
      <c r="S19" s="82" t="b">
        <v>0</v>
      </c>
      <c r="T19" s="76"/>
      <c r="U19" s="79"/>
      <c r="V19" s="83"/>
      <c r="W19" s="74"/>
      <c r="X19" s="74"/>
      <c r="Y19" s="74"/>
      <c r="Z19" s="74"/>
      <c r="AA19" s="74"/>
      <c r="AB19" s="74"/>
      <c r="AC19" s="74"/>
      <c r="AD19" s="74"/>
    </row>
    <row r="20">
      <c r="A20" s="75"/>
      <c r="B20" s="76"/>
      <c r="C20" s="77"/>
      <c r="D20" s="76"/>
      <c r="E20" s="76"/>
      <c r="F20" s="76"/>
      <c r="G20" s="76"/>
      <c r="H20" s="76"/>
      <c r="I20" s="75"/>
      <c r="J20" s="78"/>
      <c r="K20" s="76"/>
      <c r="L20" s="79" t="b">
        <v>0</v>
      </c>
      <c r="M20" s="80" t="str">
        <f t="shared" si="1"/>
        <v/>
      </c>
      <c r="N20" s="131" t="b">
        <v>0</v>
      </c>
      <c r="O20" s="80" t="str">
        <f t="shared" si="2"/>
        <v/>
      </c>
      <c r="P20" s="76"/>
      <c r="Q20" s="76"/>
      <c r="R20" s="76" t="b">
        <v>0</v>
      </c>
      <c r="S20" s="82" t="b">
        <v>0</v>
      </c>
      <c r="T20" s="76"/>
      <c r="U20" s="79"/>
      <c r="V20" s="83"/>
      <c r="W20" s="74"/>
      <c r="X20" s="74"/>
      <c r="Y20" s="74"/>
      <c r="Z20" s="74"/>
      <c r="AA20" s="74"/>
      <c r="AB20" s="74"/>
      <c r="AC20" s="74"/>
      <c r="AD20" s="74"/>
    </row>
    <row r="21">
      <c r="A21" s="75"/>
      <c r="B21" s="76"/>
      <c r="C21" s="77"/>
      <c r="D21" s="76"/>
      <c r="E21" s="76"/>
      <c r="F21" s="76"/>
      <c r="G21" s="76"/>
      <c r="H21" s="76"/>
      <c r="I21" s="75"/>
      <c r="J21" s="78"/>
      <c r="K21" s="76"/>
      <c r="L21" s="79" t="b">
        <v>0</v>
      </c>
      <c r="M21" s="80" t="str">
        <f t="shared" si="1"/>
        <v/>
      </c>
      <c r="N21" s="131" t="b">
        <v>0</v>
      </c>
      <c r="O21" s="80" t="str">
        <f t="shared" si="2"/>
        <v/>
      </c>
      <c r="P21" s="76"/>
      <c r="Q21" s="76"/>
      <c r="R21" s="76" t="b">
        <v>0</v>
      </c>
      <c r="S21" s="82" t="b">
        <v>0</v>
      </c>
      <c r="T21" s="76"/>
      <c r="U21" s="79"/>
      <c r="V21" s="83"/>
      <c r="W21" s="74"/>
      <c r="X21" s="74"/>
      <c r="Y21" s="74"/>
      <c r="Z21" s="74"/>
      <c r="AA21" s="74"/>
      <c r="AB21" s="74"/>
      <c r="AC21" s="74"/>
      <c r="AD21" s="74"/>
    </row>
    <row r="22">
      <c r="A22" s="75"/>
      <c r="B22" s="76"/>
      <c r="C22" s="77"/>
      <c r="D22" s="76"/>
      <c r="E22" s="76"/>
      <c r="F22" s="76"/>
      <c r="G22" s="76"/>
      <c r="H22" s="76"/>
      <c r="I22" s="75"/>
      <c r="J22" s="78"/>
      <c r="K22" s="76"/>
      <c r="L22" s="79" t="b">
        <v>0</v>
      </c>
      <c r="M22" s="80" t="str">
        <f t="shared" si="1"/>
        <v/>
      </c>
      <c r="N22" s="131" t="b">
        <v>0</v>
      </c>
      <c r="O22" s="80" t="str">
        <f t="shared" si="2"/>
        <v/>
      </c>
      <c r="P22" s="76"/>
      <c r="Q22" s="76"/>
      <c r="R22" s="76" t="b">
        <v>0</v>
      </c>
      <c r="S22" s="82" t="b">
        <v>0</v>
      </c>
      <c r="T22" s="76"/>
      <c r="U22" s="79"/>
      <c r="V22" s="83"/>
      <c r="W22" s="74"/>
      <c r="X22" s="74"/>
      <c r="AB22" s="74"/>
      <c r="AC22" s="74"/>
      <c r="AD22" s="74"/>
    </row>
    <row r="23">
      <c r="A23" s="75"/>
      <c r="B23" s="76"/>
      <c r="C23" s="77"/>
      <c r="D23" s="76"/>
      <c r="E23" s="76"/>
      <c r="F23" s="76"/>
      <c r="G23" s="76"/>
      <c r="H23" s="76"/>
      <c r="I23" s="75"/>
      <c r="J23" s="78"/>
      <c r="K23" s="76"/>
      <c r="L23" s="79" t="b">
        <v>0</v>
      </c>
      <c r="M23" s="80" t="str">
        <f t="shared" si="1"/>
        <v/>
      </c>
      <c r="N23" s="131" t="b">
        <v>0</v>
      </c>
      <c r="O23" s="80" t="str">
        <f t="shared" si="2"/>
        <v/>
      </c>
      <c r="P23" s="76"/>
      <c r="Q23" s="76"/>
      <c r="R23" s="76" t="b">
        <v>0</v>
      </c>
      <c r="S23" s="82" t="b">
        <v>0</v>
      </c>
      <c r="T23" s="76"/>
      <c r="U23" s="79"/>
      <c r="V23" s="83"/>
      <c r="W23" s="74"/>
      <c r="X23" s="74"/>
      <c r="AB23" s="74"/>
      <c r="AC23" s="74"/>
      <c r="AD23" s="74"/>
    </row>
    <row r="24">
      <c r="A24" s="75"/>
      <c r="B24" s="76"/>
      <c r="C24" s="77"/>
      <c r="D24" s="76"/>
      <c r="E24" s="76"/>
      <c r="F24" s="76"/>
      <c r="G24" s="76"/>
      <c r="H24" s="76"/>
      <c r="I24" s="75"/>
      <c r="J24" s="78"/>
      <c r="K24" s="76"/>
      <c r="L24" s="79" t="b">
        <v>0</v>
      </c>
      <c r="M24" s="80" t="str">
        <f t="shared" si="1"/>
        <v/>
      </c>
      <c r="N24" s="131" t="b">
        <v>0</v>
      </c>
      <c r="O24" s="80" t="str">
        <f t="shared" si="2"/>
        <v/>
      </c>
      <c r="P24" s="76"/>
      <c r="Q24" s="76"/>
      <c r="R24" s="76" t="b">
        <v>0</v>
      </c>
      <c r="S24" s="82" t="b">
        <v>0</v>
      </c>
      <c r="T24" s="76"/>
      <c r="U24" s="79"/>
      <c r="V24" s="83"/>
      <c r="W24" s="74"/>
      <c r="X24" s="74"/>
    </row>
    <row r="25">
      <c r="A25" s="75"/>
      <c r="B25" s="76"/>
      <c r="C25" s="77"/>
      <c r="D25" s="76"/>
      <c r="E25" s="76"/>
      <c r="F25" s="76"/>
      <c r="G25" s="76"/>
      <c r="H25" s="76"/>
      <c r="I25" s="75"/>
      <c r="J25" s="78"/>
      <c r="K25" s="76"/>
      <c r="L25" s="79" t="b">
        <v>0</v>
      </c>
      <c r="M25" s="80" t="str">
        <f t="shared" si="1"/>
        <v/>
      </c>
      <c r="N25" s="131" t="b">
        <v>0</v>
      </c>
      <c r="O25" s="80" t="str">
        <f t="shared" si="2"/>
        <v/>
      </c>
      <c r="P25" s="76"/>
      <c r="Q25" s="76"/>
      <c r="R25" s="76" t="b">
        <v>0</v>
      </c>
      <c r="S25" s="82" t="b">
        <v>0</v>
      </c>
      <c r="T25" s="76"/>
      <c r="U25" s="79"/>
      <c r="V25" s="83"/>
      <c r="W25" s="74"/>
      <c r="X25" s="74"/>
    </row>
    <row r="26">
      <c r="A26" s="75"/>
      <c r="B26" s="76"/>
      <c r="C26" s="77"/>
      <c r="D26" s="76"/>
      <c r="E26" s="76"/>
      <c r="F26" s="76"/>
      <c r="G26" s="76"/>
      <c r="H26" s="76"/>
      <c r="I26" s="75"/>
      <c r="J26" s="78"/>
      <c r="K26" s="76"/>
      <c r="L26" s="79" t="b">
        <v>0</v>
      </c>
      <c r="M26" s="80" t="str">
        <f t="shared" si="1"/>
        <v/>
      </c>
      <c r="N26" s="131" t="b">
        <v>0</v>
      </c>
      <c r="O26" s="80" t="str">
        <f t="shared" si="2"/>
        <v/>
      </c>
      <c r="P26" s="76"/>
      <c r="Q26" s="76"/>
      <c r="R26" s="76" t="b">
        <v>0</v>
      </c>
      <c r="S26" s="82" t="b">
        <v>0</v>
      </c>
      <c r="T26" s="76"/>
      <c r="U26" s="79"/>
      <c r="V26" s="83"/>
      <c r="W26" s="74"/>
      <c r="X26" s="74"/>
    </row>
    <row r="27">
      <c r="A27" s="75"/>
      <c r="B27" s="76"/>
      <c r="C27" s="77"/>
      <c r="D27" s="76"/>
      <c r="E27" s="76"/>
      <c r="F27" s="76"/>
      <c r="G27" s="76"/>
      <c r="H27" s="76"/>
      <c r="I27" s="75"/>
      <c r="J27" s="78"/>
      <c r="K27" s="76"/>
      <c r="L27" s="79" t="b">
        <v>0</v>
      </c>
      <c r="M27" s="80" t="str">
        <f t="shared" si="1"/>
        <v/>
      </c>
      <c r="N27" s="131" t="b">
        <v>0</v>
      </c>
      <c r="O27" s="80" t="str">
        <f t="shared" si="2"/>
        <v/>
      </c>
      <c r="P27" s="76"/>
      <c r="Q27" s="76"/>
      <c r="R27" s="76" t="b">
        <v>0</v>
      </c>
      <c r="S27" s="82" t="b">
        <v>0</v>
      </c>
      <c r="T27" s="76"/>
      <c r="U27" s="79"/>
      <c r="V27" s="83"/>
      <c r="W27" s="74"/>
      <c r="X27" s="86"/>
    </row>
    <row r="28">
      <c r="A28" s="75"/>
      <c r="B28" s="76"/>
      <c r="C28" s="77"/>
      <c r="D28" s="76"/>
      <c r="E28" s="76"/>
      <c r="F28" s="76"/>
      <c r="G28" s="76"/>
      <c r="H28" s="76"/>
      <c r="I28" s="75"/>
      <c r="J28" s="78"/>
      <c r="K28" s="76"/>
      <c r="L28" s="79" t="b">
        <v>0</v>
      </c>
      <c r="M28" s="80" t="str">
        <f t="shared" si="1"/>
        <v/>
      </c>
      <c r="N28" s="131" t="b">
        <v>0</v>
      </c>
      <c r="O28" s="80" t="str">
        <f t="shared" si="2"/>
        <v/>
      </c>
      <c r="P28" s="76"/>
      <c r="Q28" s="76"/>
      <c r="R28" s="76" t="b">
        <v>0</v>
      </c>
      <c r="S28" s="82" t="b">
        <v>0</v>
      </c>
      <c r="T28" s="76"/>
      <c r="U28" s="79"/>
      <c r="V28" s="83"/>
      <c r="W28" s="74"/>
      <c r="X28" s="86"/>
    </row>
    <row r="29">
      <c r="A29" s="75"/>
      <c r="B29" s="76"/>
      <c r="C29" s="77"/>
      <c r="D29" s="76"/>
      <c r="E29" s="76"/>
      <c r="F29" s="76"/>
      <c r="G29" s="76"/>
      <c r="H29" s="76"/>
      <c r="I29" s="75"/>
      <c r="J29" s="78"/>
      <c r="K29" s="76"/>
      <c r="L29" s="79" t="b">
        <v>0</v>
      </c>
      <c r="M29" s="80" t="str">
        <f t="shared" si="1"/>
        <v/>
      </c>
      <c r="N29" s="131" t="b">
        <v>0</v>
      </c>
      <c r="O29" s="80" t="str">
        <f t="shared" si="2"/>
        <v/>
      </c>
      <c r="P29" s="76"/>
      <c r="Q29" s="76"/>
      <c r="R29" s="76" t="b">
        <v>0</v>
      </c>
      <c r="S29" s="82" t="b">
        <v>0</v>
      </c>
      <c r="T29" s="76"/>
      <c r="U29" s="79"/>
      <c r="V29" s="83"/>
      <c r="W29" s="74"/>
      <c r="X29" s="86"/>
      <c r="AE29" s="87"/>
      <c r="AF29" s="87"/>
      <c r="AG29" s="87"/>
      <c r="AH29" s="87"/>
    </row>
    <row r="30">
      <c r="A30" s="75"/>
      <c r="B30" s="76"/>
      <c r="C30" s="77"/>
      <c r="D30" s="76"/>
      <c r="E30" s="76"/>
      <c r="F30" s="76"/>
      <c r="G30" s="76"/>
      <c r="H30" s="76"/>
      <c r="I30" s="75"/>
      <c r="J30" s="78"/>
      <c r="K30" s="76"/>
      <c r="L30" s="79" t="b">
        <v>0</v>
      </c>
      <c r="M30" s="80" t="str">
        <f t="shared" si="1"/>
        <v/>
      </c>
      <c r="N30" s="131" t="b">
        <v>0</v>
      </c>
      <c r="O30" s="80" t="str">
        <f t="shared" si="2"/>
        <v/>
      </c>
      <c r="P30" s="76"/>
      <c r="Q30" s="76"/>
      <c r="R30" s="76" t="b">
        <v>0</v>
      </c>
      <c r="S30" s="82" t="b">
        <v>0</v>
      </c>
      <c r="T30" s="76"/>
      <c r="U30" s="79"/>
      <c r="V30" s="83"/>
      <c r="W30" s="74"/>
      <c r="X30" s="86"/>
      <c r="Y30" s="88"/>
      <c r="Z30" s="88"/>
      <c r="AA30" s="88"/>
      <c r="AB30" s="74"/>
      <c r="AC30" s="74"/>
      <c r="AD30" s="74"/>
    </row>
    <row r="31">
      <c r="A31" s="75"/>
      <c r="B31" s="76"/>
      <c r="C31" s="77"/>
      <c r="D31" s="76"/>
      <c r="E31" s="76"/>
      <c r="F31" s="76"/>
      <c r="G31" s="76"/>
      <c r="H31" s="76"/>
      <c r="I31" s="75"/>
      <c r="J31" s="78"/>
      <c r="K31" s="76"/>
      <c r="L31" s="79" t="b">
        <v>0</v>
      </c>
      <c r="M31" s="80" t="str">
        <f t="shared" si="1"/>
        <v/>
      </c>
      <c r="N31" s="131" t="b">
        <v>0</v>
      </c>
      <c r="O31" s="80" t="str">
        <f t="shared" si="2"/>
        <v/>
      </c>
      <c r="P31" s="76"/>
      <c r="Q31" s="76"/>
      <c r="R31" s="76" t="b">
        <v>0</v>
      </c>
      <c r="S31" s="82" t="b">
        <v>0</v>
      </c>
      <c r="T31" s="76"/>
      <c r="U31" s="79"/>
      <c r="V31" s="83"/>
      <c r="W31" s="74"/>
      <c r="X31" s="86"/>
      <c r="Y31" s="88"/>
      <c r="Z31" s="88"/>
      <c r="AA31" s="88"/>
      <c r="AB31" s="74"/>
      <c r="AC31" s="74"/>
      <c r="AD31" s="74"/>
    </row>
    <row r="32">
      <c r="A32" s="75"/>
      <c r="B32" s="76"/>
      <c r="C32" s="77"/>
      <c r="D32" s="76"/>
      <c r="E32" s="76"/>
      <c r="F32" s="76"/>
      <c r="G32" s="76"/>
      <c r="H32" s="76"/>
      <c r="I32" s="75"/>
      <c r="J32" s="78"/>
      <c r="K32" s="76"/>
      <c r="L32" s="79" t="b">
        <v>0</v>
      </c>
      <c r="M32" s="80" t="str">
        <f t="shared" si="1"/>
        <v/>
      </c>
      <c r="N32" s="131" t="b">
        <v>0</v>
      </c>
      <c r="O32" s="80" t="str">
        <f t="shared" si="2"/>
        <v/>
      </c>
      <c r="P32" s="76"/>
      <c r="Q32" s="76"/>
      <c r="R32" s="76" t="b">
        <v>0</v>
      </c>
      <c r="S32" s="82" t="b">
        <v>0</v>
      </c>
      <c r="T32" s="76"/>
      <c r="U32" s="79"/>
      <c r="V32" s="83"/>
      <c r="W32" s="74"/>
      <c r="X32" s="86"/>
      <c r="Y32" s="88"/>
      <c r="Z32" s="88"/>
      <c r="AA32" s="88"/>
      <c r="AB32" s="74"/>
      <c r="AC32" s="74"/>
      <c r="AD32" s="74"/>
    </row>
    <row r="33">
      <c r="A33" s="75"/>
      <c r="B33" s="76"/>
      <c r="C33" s="77"/>
      <c r="D33" s="76"/>
      <c r="E33" s="76"/>
      <c r="F33" s="76"/>
      <c r="G33" s="76"/>
      <c r="H33" s="76"/>
      <c r="I33" s="75"/>
      <c r="J33" s="78"/>
      <c r="K33" s="76"/>
      <c r="L33" s="79" t="b">
        <v>0</v>
      </c>
      <c r="M33" s="80" t="str">
        <f t="shared" si="1"/>
        <v/>
      </c>
      <c r="N33" s="131" t="b">
        <v>0</v>
      </c>
      <c r="O33" s="80" t="str">
        <f t="shared" si="2"/>
        <v/>
      </c>
      <c r="P33" s="76"/>
      <c r="Q33" s="76"/>
      <c r="R33" s="76" t="b">
        <v>0</v>
      </c>
      <c r="S33" s="82" t="b">
        <v>0</v>
      </c>
      <c r="T33" s="76"/>
      <c r="U33" s="79"/>
      <c r="V33" s="83"/>
      <c r="W33" s="74"/>
      <c r="X33" s="86"/>
      <c r="Y33" s="86"/>
      <c r="Z33" s="86"/>
      <c r="AA33" s="86"/>
      <c r="AB33" s="74"/>
      <c r="AC33" s="74"/>
      <c r="AD33" s="74"/>
    </row>
    <row r="34">
      <c r="A34" s="75"/>
      <c r="B34" s="76"/>
      <c r="C34" s="77"/>
      <c r="D34" s="76"/>
      <c r="E34" s="76"/>
      <c r="F34" s="76"/>
      <c r="G34" s="76"/>
      <c r="H34" s="76"/>
      <c r="I34" s="75"/>
      <c r="J34" s="78"/>
      <c r="K34" s="76"/>
      <c r="L34" s="79" t="b">
        <v>0</v>
      </c>
      <c r="M34" s="80" t="str">
        <f t="shared" si="1"/>
        <v/>
      </c>
      <c r="N34" s="131" t="b">
        <v>0</v>
      </c>
      <c r="O34" s="80" t="str">
        <f t="shared" si="2"/>
        <v/>
      </c>
      <c r="P34" s="76"/>
      <c r="Q34" s="76"/>
      <c r="R34" s="76" t="b">
        <v>0</v>
      </c>
      <c r="S34" s="82" t="b">
        <v>0</v>
      </c>
      <c r="T34" s="76"/>
      <c r="U34" s="79"/>
      <c r="V34" s="83"/>
      <c r="W34" s="118"/>
      <c r="X34" s="74"/>
      <c r="Y34" s="74"/>
      <c r="Z34" s="74"/>
      <c r="AA34" s="74"/>
      <c r="AB34" s="74"/>
      <c r="AC34" s="74"/>
      <c r="AD34" s="74"/>
    </row>
    <row r="35">
      <c r="A35" s="75"/>
      <c r="B35" s="76"/>
      <c r="C35" s="77"/>
      <c r="D35" s="76"/>
      <c r="E35" s="76"/>
      <c r="F35" s="76"/>
      <c r="G35" s="76"/>
      <c r="H35" s="76"/>
      <c r="I35" s="75"/>
      <c r="J35" s="78"/>
      <c r="K35" s="76"/>
      <c r="L35" s="79" t="b">
        <v>0</v>
      </c>
      <c r="M35" s="80" t="str">
        <f t="shared" si="1"/>
        <v/>
      </c>
      <c r="N35" s="131" t="b">
        <v>0</v>
      </c>
      <c r="O35" s="80" t="str">
        <f t="shared" si="2"/>
        <v/>
      </c>
      <c r="P35" s="76"/>
      <c r="Q35" s="76"/>
      <c r="R35" s="76" t="b">
        <v>0</v>
      </c>
      <c r="S35" s="82" t="b">
        <v>0</v>
      </c>
      <c r="T35" s="76"/>
      <c r="U35" s="79"/>
      <c r="V35" s="83"/>
      <c r="W35" s="74"/>
      <c r="X35" s="74"/>
      <c r="Y35" s="74"/>
      <c r="Z35" s="74"/>
      <c r="AA35" s="74"/>
      <c r="AB35" s="74"/>
      <c r="AC35" s="74"/>
      <c r="AD35" s="74"/>
    </row>
    <row r="36">
      <c r="A36" s="75"/>
      <c r="B36" s="76"/>
      <c r="C36" s="77"/>
      <c r="D36" s="76"/>
      <c r="E36" s="76"/>
      <c r="F36" s="76"/>
      <c r="G36" s="76"/>
      <c r="H36" s="76"/>
      <c r="I36" s="75"/>
      <c r="J36" s="78"/>
      <c r="K36" s="76"/>
      <c r="L36" s="79" t="b">
        <v>0</v>
      </c>
      <c r="M36" s="80" t="str">
        <f t="shared" si="1"/>
        <v/>
      </c>
      <c r="N36" s="131" t="b">
        <v>0</v>
      </c>
      <c r="O36" s="80" t="str">
        <f t="shared" si="2"/>
        <v/>
      </c>
      <c r="P36" s="76"/>
      <c r="Q36" s="76"/>
      <c r="R36" s="76" t="b">
        <v>0</v>
      </c>
      <c r="S36" s="82" t="b">
        <v>0</v>
      </c>
      <c r="T36" s="76"/>
      <c r="U36" s="79"/>
      <c r="V36" s="83"/>
      <c r="W36" s="74"/>
      <c r="X36" s="74"/>
      <c r="Y36" s="74"/>
      <c r="Z36" s="74"/>
      <c r="AA36" s="74"/>
      <c r="AB36" s="74"/>
      <c r="AC36" s="74"/>
      <c r="AD36" s="74"/>
    </row>
    <row r="37">
      <c r="A37" s="75"/>
      <c r="B37" s="76"/>
      <c r="C37" s="77"/>
      <c r="D37" s="76"/>
      <c r="E37" s="76"/>
      <c r="F37" s="76"/>
      <c r="G37" s="76"/>
      <c r="H37" s="76"/>
      <c r="I37" s="75"/>
      <c r="J37" s="78"/>
      <c r="K37" s="76"/>
      <c r="L37" s="79" t="b">
        <v>0</v>
      </c>
      <c r="M37" s="80" t="str">
        <f t="shared" si="1"/>
        <v/>
      </c>
      <c r="N37" s="131" t="b">
        <v>0</v>
      </c>
      <c r="O37" s="80" t="str">
        <f t="shared" si="2"/>
        <v/>
      </c>
      <c r="P37" s="76"/>
      <c r="Q37" s="76"/>
      <c r="R37" s="76" t="b">
        <v>0</v>
      </c>
      <c r="S37" s="82" t="b">
        <v>0</v>
      </c>
      <c r="T37" s="76"/>
      <c r="U37" s="79"/>
      <c r="V37" s="83"/>
      <c r="W37" s="74"/>
      <c r="X37" s="74"/>
      <c r="Y37" s="74"/>
      <c r="Z37" s="74"/>
      <c r="AA37" s="74"/>
      <c r="AB37" s="74"/>
      <c r="AC37" s="74"/>
      <c r="AD37" s="74"/>
    </row>
    <row r="38">
      <c r="A38" s="75"/>
      <c r="B38" s="76"/>
      <c r="C38" s="77"/>
      <c r="D38" s="76"/>
      <c r="E38" s="76"/>
      <c r="F38" s="76"/>
      <c r="G38" s="76"/>
      <c r="H38" s="76"/>
      <c r="I38" s="75"/>
      <c r="J38" s="78"/>
      <c r="K38" s="76"/>
      <c r="L38" s="79" t="b">
        <v>0</v>
      </c>
      <c r="M38" s="80" t="str">
        <f t="shared" si="1"/>
        <v/>
      </c>
      <c r="N38" s="131" t="b">
        <v>0</v>
      </c>
      <c r="O38" s="80" t="str">
        <f t="shared" si="2"/>
        <v/>
      </c>
      <c r="P38" s="76"/>
      <c r="Q38" s="76"/>
      <c r="R38" s="76" t="b">
        <v>0</v>
      </c>
      <c r="S38" s="82" t="b">
        <v>0</v>
      </c>
      <c r="T38" s="76"/>
      <c r="U38" s="79"/>
      <c r="V38" s="83"/>
      <c r="W38" s="74"/>
      <c r="X38" s="74"/>
      <c r="Y38" s="74"/>
      <c r="Z38" s="74"/>
      <c r="AA38" s="74"/>
      <c r="AB38" s="74"/>
      <c r="AC38" s="74"/>
      <c r="AD38" s="74"/>
    </row>
    <row r="39">
      <c r="A39" s="75"/>
      <c r="B39" s="76"/>
      <c r="C39" s="77"/>
      <c r="D39" s="76"/>
      <c r="E39" s="76"/>
      <c r="F39" s="76"/>
      <c r="G39" s="76"/>
      <c r="H39" s="76"/>
      <c r="I39" s="75"/>
      <c r="J39" s="78"/>
      <c r="K39" s="76"/>
      <c r="L39" s="79" t="b">
        <v>0</v>
      </c>
      <c r="M39" s="80" t="str">
        <f t="shared" si="1"/>
        <v/>
      </c>
      <c r="N39" s="131" t="b">
        <v>0</v>
      </c>
      <c r="O39" s="80" t="str">
        <f t="shared" si="2"/>
        <v/>
      </c>
      <c r="P39" s="76"/>
      <c r="Q39" s="76"/>
      <c r="R39" s="76" t="b">
        <v>0</v>
      </c>
      <c r="S39" s="82" t="b">
        <v>0</v>
      </c>
      <c r="T39" s="76"/>
      <c r="U39" s="79"/>
      <c r="V39" s="83"/>
      <c r="W39" s="118"/>
      <c r="X39" s="74"/>
      <c r="Y39" s="74"/>
      <c r="Z39" s="74"/>
      <c r="AA39" s="74"/>
      <c r="AB39" s="74"/>
      <c r="AC39" s="74"/>
      <c r="AD39" s="74"/>
    </row>
    <row r="40">
      <c r="A40" s="75"/>
      <c r="B40" s="76"/>
      <c r="C40" s="77"/>
      <c r="D40" s="76"/>
      <c r="E40" s="76"/>
      <c r="F40" s="76"/>
      <c r="G40" s="76"/>
      <c r="H40" s="76"/>
      <c r="I40" s="75"/>
      <c r="J40" s="78"/>
      <c r="K40" s="76"/>
      <c r="L40" s="79" t="b">
        <v>0</v>
      </c>
      <c r="M40" s="80" t="str">
        <f t="shared" si="1"/>
        <v/>
      </c>
      <c r="N40" s="131" t="b">
        <v>0</v>
      </c>
      <c r="O40" s="80" t="str">
        <f t="shared" si="2"/>
        <v/>
      </c>
      <c r="P40" s="76"/>
      <c r="Q40" s="76"/>
      <c r="R40" s="76" t="b">
        <v>0</v>
      </c>
      <c r="S40" s="82" t="b">
        <v>0</v>
      </c>
      <c r="T40" s="76"/>
      <c r="U40" s="79"/>
      <c r="V40" s="83"/>
      <c r="W40" s="74"/>
      <c r="X40" s="74"/>
      <c r="Y40" s="74"/>
      <c r="Z40" s="74"/>
      <c r="AA40" s="74"/>
      <c r="AB40" s="74"/>
      <c r="AC40" s="74"/>
      <c r="AD40" s="74"/>
    </row>
    <row r="41">
      <c r="A41" s="75"/>
      <c r="B41" s="76"/>
      <c r="C41" s="77"/>
      <c r="D41" s="76"/>
      <c r="E41" s="76"/>
      <c r="F41" s="76"/>
      <c r="G41" s="76"/>
      <c r="H41" s="76"/>
      <c r="I41" s="75"/>
      <c r="J41" s="78"/>
      <c r="K41" s="76"/>
      <c r="L41" s="79" t="b">
        <v>0</v>
      </c>
      <c r="M41" s="80" t="str">
        <f t="shared" si="1"/>
        <v/>
      </c>
      <c r="N41" s="131" t="b">
        <v>0</v>
      </c>
      <c r="O41" s="80" t="str">
        <f t="shared" si="2"/>
        <v/>
      </c>
      <c r="P41" s="76"/>
      <c r="Q41" s="76"/>
      <c r="R41" s="76" t="b">
        <v>0</v>
      </c>
      <c r="S41" s="82" t="b">
        <v>0</v>
      </c>
      <c r="T41" s="76"/>
      <c r="U41" s="79"/>
      <c r="V41" s="83"/>
      <c r="W41" s="74"/>
      <c r="X41" s="74"/>
      <c r="Y41" s="74"/>
      <c r="Z41" s="74"/>
      <c r="AA41" s="74"/>
      <c r="AB41" s="74"/>
      <c r="AC41" s="74"/>
      <c r="AD41" s="74"/>
    </row>
    <row r="42">
      <c r="A42" s="75"/>
      <c r="B42" s="76"/>
      <c r="C42" s="77"/>
      <c r="D42" s="76"/>
      <c r="E42" s="76"/>
      <c r="F42" s="76"/>
      <c r="G42" s="76"/>
      <c r="H42" s="76"/>
      <c r="I42" s="75"/>
      <c r="J42" s="78"/>
      <c r="K42" s="76"/>
      <c r="L42" s="79" t="b">
        <v>0</v>
      </c>
      <c r="M42" s="80" t="str">
        <f t="shared" si="1"/>
        <v/>
      </c>
      <c r="N42" s="131" t="b">
        <v>0</v>
      </c>
      <c r="O42" s="80" t="str">
        <f t="shared" si="2"/>
        <v/>
      </c>
      <c r="P42" s="76"/>
      <c r="Q42" s="76"/>
      <c r="R42" s="76" t="b">
        <v>0</v>
      </c>
      <c r="S42" s="82" t="b">
        <v>0</v>
      </c>
      <c r="T42" s="76"/>
      <c r="U42" s="79"/>
      <c r="V42" s="83"/>
      <c r="W42" s="74"/>
      <c r="X42" s="74"/>
      <c r="Y42" s="74"/>
      <c r="Z42" s="74"/>
      <c r="AA42" s="74"/>
      <c r="AB42" s="74"/>
      <c r="AC42" s="74"/>
      <c r="AD42" s="74"/>
    </row>
    <row r="43">
      <c r="A43" s="75"/>
      <c r="B43" s="76"/>
      <c r="C43" s="77"/>
      <c r="D43" s="76"/>
      <c r="E43" s="76"/>
      <c r="F43" s="76"/>
      <c r="G43" s="76"/>
      <c r="H43" s="76"/>
      <c r="I43" s="75"/>
      <c r="J43" s="78"/>
      <c r="K43" s="76"/>
      <c r="L43" s="79" t="b">
        <v>0</v>
      </c>
      <c r="M43" s="80" t="str">
        <f t="shared" si="1"/>
        <v/>
      </c>
      <c r="N43" s="131" t="b">
        <v>0</v>
      </c>
      <c r="O43" s="80" t="str">
        <f t="shared" si="2"/>
        <v/>
      </c>
      <c r="P43" s="76"/>
      <c r="Q43" s="76"/>
      <c r="R43" s="76" t="b">
        <v>0</v>
      </c>
      <c r="S43" s="82" t="b">
        <v>0</v>
      </c>
      <c r="T43" s="76"/>
      <c r="U43" s="79"/>
      <c r="V43" s="83"/>
      <c r="W43" s="74"/>
      <c r="X43" s="74"/>
      <c r="Y43" s="74"/>
      <c r="Z43" s="74"/>
      <c r="AA43" s="74"/>
      <c r="AB43" s="74"/>
      <c r="AC43" s="74"/>
      <c r="AD43" s="74"/>
    </row>
    <row r="44">
      <c r="A44" s="75"/>
      <c r="B44" s="76"/>
      <c r="C44" s="77"/>
      <c r="D44" s="76"/>
      <c r="E44" s="76"/>
      <c r="F44" s="76"/>
      <c r="G44" s="76"/>
      <c r="H44" s="76"/>
      <c r="I44" s="75"/>
      <c r="J44" s="78"/>
      <c r="K44" s="76"/>
      <c r="L44" s="79" t="b">
        <v>0</v>
      </c>
      <c r="M44" s="80" t="str">
        <f t="shared" si="1"/>
        <v/>
      </c>
      <c r="N44" s="131" t="b">
        <v>0</v>
      </c>
      <c r="O44" s="80" t="str">
        <f t="shared" si="2"/>
        <v/>
      </c>
      <c r="P44" s="76"/>
      <c r="Q44" s="76"/>
      <c r="R44" s="76" t="b">
        <v>0</v>
      </c>
      <c r="S44" s="82" t="b">
        <v>0</v>
      </c>
      <c r="T44" s="76"/>
      <c r="U44" s="79"/>
      <c r="V44" s="83"/>
      <c r="W44" s="74"/>
      <c r="X44" s="74"/>
      <c r="Y44" s="74"/>
      <c r="Z44" s="74"/>
      <c r="AA44" s="74"/>
      <c r="AB44" s="74"/>
      <c r="AC44" s="74"/>
      <c r="AD44" s="74"/>
    </row>
    <row r="45">
      <c r="A45" s="75"/>
      <c r="B45" s="76"/>
      <c r="C45" s="77"/>
      <c r="D45" s="76"/>
      <c r="E45" s="76"/>
      <c r="F45" s="76"/>
      <c r="G45" s="76"/>
      <c r="H45" s="76"/>
      <c r="I45" s="75"/>
      <c r="J45" s="78"/>
      <c r="K45" s="76"/>
      <c r="L45" s="79" t="b">
        <v>0</v>
      </c>
      <c r="M45" s="80" t="str">
        <f t="shared" si="1"/>
        <v/>
      </c>
      <c r="N45" s="131" t="b">
        <v>0</v>
      </c>
      <c r="O45" s="80" t="str">
        <f t="shared" si="2"/>
        <v/>
      </c>
      <c r="P45" s="76"/>
      <c r="Q45" s="76"/>
      <c r="R45" s="76" t="b">
        <v>0</v>
      </c>
      <c r="S45" s="82" t="b">
        <v>0</v>
      </c>
      <c r="T45" s="76"/>
      <c r="U45" s="79"/>
      <c r="V45" s="83"/>
      <c r="W45" s="74"/>
      <c r="X45" s="74"/>
      <c r="Y45" s="74"/>
      <c r="Z45" s="74"/>
      <c r="AA45" s="74"/>
      <c r="AB45" s="74"/>
      <c r="AC45" s="74"/>
      <c r="AD45" s="74"/>
    </row>
    <row r="46">
      <c r="A46" s="75"/>
      <c r="B46" s="76"/>
      <c r="C46" s="77"/>
      <c r="D46" s="76"/>
      <c r="E46" s="76"/>
      <c r="F46" s="76"/>
      <c r="G46" s="76"/>
      <c r="H46" s="76"/>
      <c r="I46" s="75"/>
      <c r="J46" s="78"/>
      <c r="K46" s="76"/>
      <c r="L46" s="79" t="b">
        <v>0</v>
      </c>
      <c r="M46" s="80" t="str">
        <f t="shared" si="1"/>
        <v/>
      </c>
      <c r="N46" s="131" t="b">
        <v>0</v>
      </c>
      <c r="O46" s="80" t="str">
        <f t="shared" si="2"/>
        <v/>
      </c>
      <c r="P46" s="76"/>
      <c r="Q46" s="76"/>
      <c r="R46" s="76" t="b">
        <v>0</v>
      </c>
      <c r="S46" s="82" t="b">
        <v>0</v>
      </c>
      <c r="T46" s="76"/>
      <c r="U46" s="79"/>
      <c r="V46" s="83"/>
      <c r="W46" s="118"/>
      <c r="X46" s="74"/>
      <c r="Y46" s="74"/>
      <c r="Z46" s="74"/>
      <c r="AA46" s="74"/>
      <c r="AB46" s="74"/>
      <c r="AC46" s="74"/>
      <c r="AD46" s="74"/>
    </row>
    <row r="47">
      <c r="A47" s="75"/>
      <c r="B47" s="76"/>
      <c r="C47" s="77"/>
      <c r="D47" s="76"/>
      <c r="E47" s="76"/>
      <c r="F47" s="76"/>
      <c r="G47" s="76"/>
      <c r="H47" s="76"/>
      <c r="I47" s="75"/>
      <c r="J47" s="78"/>
      <c r="K47" s="76"/>
      <c r="L47" s="79" t="b">
        <v>0</v>
      </c>
      <c r="M47" s="80" t="str">
        <f t="shared" si="1"/>
        <v/>
      </c>
      <c r="N47" s="131" t="b">
        <v>0</v>
      </c>
      <c r="O47" s="80" t="str">
        <f t="shared" si="2"/>
        <v/>
      </c>
      <c r="P47" s="76"/>
      <c r="Q47" s="76"/>
      <c r="R47" s="76" t="b">
        <v>0</v>
      </c>
      <c r="S47" s="82" t="b">
        <v>0</v>
      </c>
      <c r="T47" s="76"/>
      <c r="U47" s="79"/>
      <c r="V47" s="83"/>
      <c r="W47" s="74"/>
      <c r="X47" s="74"/>
      <c r="Y47" s="74"/>
      <c r="Z47" s="74"/>
      <c r="AA47" s="74"/>
      <c r="AB47" s="74"/>
      <c r="AC47" s="74"/>
      <c r="AD47" s="74"/>
    </row>
    <row r="48">
      <c r="A48" s="75"/>
      <c r="B48" s="76"/>
      <c r="C48" s="77"/>
      <c r="D48" s="76"/>
      <c r="E48" s="76"/>
      <c r="F48" s="76"/>
      <c r="G48" s="76"/>
      <c r="H48" s="76"/>
      <c r="I48" s="75"/>
      <c r="J48" s="78"/>
      <c r="K48" s="76"/>
      <c r="L48" s="79" t="b">
        <v>0</v>
      </c>
      <c r="M48" s="80" t="str">
        <f t="shared" si="1"/>
        <v/>
      </c>
      <c r="N48" s="131" t="b">
        <v>0</v>
      </c>
      <c r="O48" s="80" t="str">
        <f t="shared" si="2"/>
        <v/>
      </c>
      <c r="P48" s="76"/>
      <c r="Q48" s="76"/>
      <c r="R48" s="76" t="b">
        <v>0</v>
      </c>
      <c r="S48" s="82" t="b">
        <v>0</v>
      </c>
      <c r="T48" s="76"/>
      <c r="U48" s="79"/>
      <c r="V48" s="83"/>
      <c r="W48" s="74"/>
      <c r="X48" s="74"/>
      <c r="Y48" s="74"/>
      <c r="Z48" s="74"/>
      <c r="AA48" s="74"/>
      <c r="AB48" s="74"/>
      <c r="AC48" s="74"/>
      <c r="AD48" s="74"/>
    </row>
    <row r="49">
      <c r="A49" s="75"/>
      <c r="B49" s="76"/>
      <c r="C49" s="77"/>
      <c r="D49" s="76"/>
      <c r="E49" s="76"/>
      <c r="F49" s="76"/>
      <c r="G49" s="76"/>
      <c r="H49" s="76"/>
      <c r="I49" s="75"/>
      <c r="J49" s="78"/>
      <c r="K49" s="76"/>
      <c r="L49" s="79" t="b">
        <v>0</v>
      </c>
      <c r="M49" s="80" t="str">
        <f t="shared" si="1"/>
        <v/>
      </c>
      <c r="N49" s="131" t="b">
        <v>0</v>
      </c>
      <c r="O49" s="80" t="str">
        <f t="shared" si="2"/>
        <v/>
      </c>
      <c r="P49" s="76"/>
      <c r="Q49" s="76"/>
      <c r="R49" s="76" t="b">
        <v>0</v>
      </c>
      <c r="S49" s="82" t="b">
        <v>0</v>
      </c>
      <c r="T49" s="76"/>
      <c r="U49" s="79"/>
      <c r="V49" s="83"/>
      <c r="W49" s="74"/>
      <c r="X49" s="74"/>
      <c r="Y49" s="74"/>
      <c r="Z49" s="74"/>
      <c r="AA49" s="74"/>
      <c r="AB49" s="74"/>
      <c r="AC49" s="74"/>
      <c r="AD49" s="74"/>
    </row>
    <row r="50">
      <c r="A50" s="75"/>
      <c r="B50" s="76"/>
      <c r="C50" s="77"/>
      <c r="D50" s="76"/>
      <c r="E50" s="76"/>
      <c r="F50" s="76"/>
      <c r="G50" s="76"/>
      <c r="H50" s="76"/>
      <c r="I50" s="75"/>
      <c r="J50" s="78"/>
      <c r="K50" s="76"/>
      <c r="L50" s="79" t="b">
        <v>0</v>
      </c>
      <c r="M50" s="80" t="str">
        <f t="shared" si="1"/>
        <v/>
      </c>
      <c r="N50" s="131" t="b">
        <v>0</v>
      </c>
      <c r="O50" s="80" t="str">
        <f t="shared" si="2"/>
        <v/>
      </c>
      <c r="P50" s="76"/>
      <c r="Q50" s="76"/>
      <c r="R50" s="76" t="b">
        <v>0</v>
      </c>
      <c r="S50" s="82" t="b">
        <v>0</v>
      </c>
      <c r="T50" s="76"/>
      <c r="U50" s="79"/>
      <c r="V50" s="83"/>
      <c r="W50" s="74"/>
      <c r="X50" s="74"/>
      <c r="Y50" s="74"/>
      <c r="Z50" s="74"/>
      <c r="AA50" s="74"/>
      <c r="AB50" s="74"/>
      <c r="AC50" s="74"/>
      <c r="AD50" s="74"/>
    </row>
    <row r="51">
      <c r="A51" s="75"/>
      <c r="B51" s="76"/>
      <c r="C51" s="77"/>
      <c r="D51" s="76"/>
      <c r="E51" s="76"/>
      <c r="F51" s="76"/>
      <c r="G51" s="76"/>
      <c r="H51" s="76"/>
      <c r="I51" s="75"/>
      <c r="J51" s="78"/>
      <c r="K51" s="76"/>
      <c r="L51" s="79" t="b">
        <v>0</v>
      </c>
      <c r="M51" s="80" t="str">
        <f t="shared" si="1"/>
        <v/>
      </c>
      <c r="N51" s="131" t="b">
        <v>0</v>
      </c>
      <c r="O51" s="80" t="str">
        <f t="shared" si="2"/>
        <v/>
      </c>
      <c r="P51" s="76"/>
      <c r="Q51" s="76"/>
      <c r="R51" s="76" t="b">
        <v>0</v>
      </c>
      <c r="S51" s="82" t="b">
        <v>0</v>
      </c>
      <c r="T51" s="76"/>
      <c r="U51" s="79"/>
      <c r="V51" s="83"/>
      <c r="W51" s="74"/>
      <c r="X51" s="74"/>
      <c r="Y51" s="74"/>
      <c r="Z51" s="74"/>
      <c r="AA51" s="74"/>
      <c r="AB51" s="74"/>
      <c r="AC51" s="74"/>
      <c r="AD51" s="74"/>
    </row>
    <row r="52">
      <c r="A52" s="75"/>
      <c r="B52" s="76"/>
      <c r="C52" s="77"/>
      <c r="D52" s="76"/>
      <c r="E52" s="76"/>
      <c r="F52" s="76"/>
      <c r="G52" s="76"/>
      <c r="H52" s="76"/>
      <c r="I52" s="75"/>
      <c r="J52" s="78"/>
      <c r="K52" s="76"/>
      <c r="L52" s="79" t="b">
        <v>0</v>
      </c>
      <c r="M52" s="80" t="str">
        <f t="shared" si="1"/>
        <v/>
      </c>
      <c r="N52" s="131" t="b">
        <v>0</v>
      </c>
      <c r="O52" s="80" t="str">
        <f t="shared" si="2"/>
        <v/>
      </c>
      <c r="P52" s="76"/>
      <c r="Q52" s="76"/>
      <c r="R52" s="76" t="b">
        <v>0</v>
      </c>
      <c r="S52" s="82" t="b">
        <v>0</v>
      </c>
      <c r="T52" s="76"/>
      <c r="U52" s="79"/>
      <c r="V52" s="83"/>
      <c r="W52" s="74"/>
      <c r="X52" s="74"/>
      <c r="Y52" s="74"/>
      <c r="Z52" s="74"/>
      <c r="AA52" s="74"/>
      <c r="AB52" s="74"/>
      <c r="AC52" s="74"/>
      <c r="AD52" s="74"/>
    </row>
    <row r="53">
      <c r="A53" s="75"/>
      <c r="B53" s="76"/>
      <c r="C53" s="77"/>
      <c r="D53" s="76"/>
      <c r="E53" s="76"/>
      <c r="F53" s="76"/>
      <c r="G53" s="76"/>
      <c r="H53" s="76"/>
      <c r="I53" s="75"/>
      <c r="J53" s="78"/>
      <c r="K53" s="76"/>
      <c r="L53" s="79" t="b">
        <v>0</v>
      </c>
      <c r="M53" s="80" t="str">
        <f t="shared" si="1"/>
        <v/>
      </c>
      <c r="N53" s="131" t="b">
        <v>0</v>
      </c>
      <c r="O53" s="80" t="str">
        <f t="shared" si="2"/>
        <v/>
      </c>
      <c r="P53" s="76"/>
      <c r="Q53" s="76"/>
      <c r="R53" s="76" t="b">
        <v>0</v>
      </c>
      <c r="S53" s="82" t="b">
        <v>0</v>
      </c>
      <c r="T53" s="76"/>
      <c r="U53" s="79"/>
      <c r="V53" s="83"/>
      <c r="W53" s="74"/>
      <c r="X53" s="74"/>
      <c r="Y53" s="74"/>
      <c r="Z53" s="74"/>
      <c r="AA53" s="74"/>
      <c r="AB53" s="74"/>
      <c r="AC53" s="74"/>
      <c r="AD53" s="74"/>
    </row>
    <row r="54">
      <c r="A54" s="75"/>
      <c r="B54" s="76"/>
      <c r="C54" s="77"/>
      <c r="D54" s="76"/>
      <c r="E54" s="76"/>
      <c r="F54" s="76"/>
      <c r="G54" s="76"/>
      <c r="H54" s="76"/>
      <c r="I54" s="75"/>
      <c r="J54" s="78"/>
      <c r="K54" s="76"/>
      <c r="L54" s="79" t="b">
        <v>0</v>
      </c>
      <c r="M54" s="80" t="str">
        <f t="shared" si="1"/>
        <v/>
      </c>
      <c r="N54" s="131" t="b">
        <v>0</v>
      </c>
      <c r="O54" s="80" t="str">
        <f t="shared" si="2"/>
        <v/>
      </c>
      <c r="P54" s="76"/>
      <c r="Q54" s="76"/>
      <c r="R54" s="76" t="b">
        <v>0</v>
      </c>
      <c r="S54" s="82" t="b">
        <v>0</v>
      </c>
      <c r="T54" s="76"/>
      <c r="U54" s="79"/>
      <c r="V54" s="83"/>
      <c r="W54" s="74"/>
      <c r="X54" s="74"/>
      <c r="Y54" s="74"/>
      <c r="Z54" s="74"/>
      <c r="AA54" s="74"/>
      <c r="AB54" s="74"/>
      <c r="AC54" s="74"/>
      <c r="AD54" s="74"/>
    </row>
    <row r="55">
      <c r="A55" s="75"/>
      <c r="B55" s="76"/>
      <c r="C55" s="77"/>
      <c r="D55" s="76"/>
      <c r="E55" s="76"/>
      <c r="F55" s="76"/>
      <c r="G55" s="76"/>
      <c r="H55" s="76"/>
      <c r="I55" s="75"/>
      <c r="J55" s="78"/>
      <c r="K55" s="76"/>
      <c r="L55" s="79" t="b">
        <v>0</v>
      </c>
      <c r="M55" s="80" t="str">
        <f t="shared" si="1"/>
        <v/>
      </c>
      <c r="N55" s="131" t="b">
        <v>0</v>
      </c>
      <c r="O55" s="80" t="str">
        <f t="shared" si="2"/>
        <v/>
      </c>
      <c r="P55" s="76"/>
      <c r="Q55" s="76"/>
      <c r="R55" s="76" t="b">
        <v>0</v>
      </c>
      <c r="S55" s="82" t="b">
        <v>0</v>
      </c>
      <c r="T55" s="76"/>
      <c r="U55" s="79"/>
      <c r="V55" s="83"/>
      <c r="W55" s="74"/>
      <c r="X55" s="74"/>
      <c r="Y55" s="74"/>
      <c r="Z55" s="74"/>
      <c r="AA55" s="74"/>
      <c r="AB55" s="74"/>
      <c r="AC55" s="74"/>
      <c r="AD55" s="74"/>
    </row>
    <row r="56">
      <c r="A56" s="75"/>
      <c r="B56" s="76"/>
      <c r="C56" s="77"/>
      <c r="D56" s="76"/>
      <c r="E56" s="76"/>
      <c r="F56" s="76"/>
      <c r="G56" s="76"/>
      <c r="H56" s="76"/>
      <c r="I56" s="75"/>
      <c r="J56" s="78"/>
      <c r="K56" s="76"/>
      <c r="L56" s="79" t="b">
        <v>0</v>
      </c>
      <c r="M56" s="80" t="str">
        <f t="shared" si="1"/>
        <v/>
      </c>
      <c r="N56" s="131" t="b">
        <v>0</v>
      </c>
      <c r="O56" s="80" t="str">
        <f t="shared" si="2"/>
        <v/>
      </c>
      <c r="P56" s="76"/>
      <c r="Q56" s="76"/>
      <c r="R56" s="76" t="b">
        <v>0</v>
      </c>
      <c r="S56" s="82" t="b">
        <v>0</v>
      </c>
      <c r="T56" s="76"/>
      <c r="U56" s="79"/>
      <c r="V56" s="83"/>
      <c r="W56" s="74"/>
      <c r="X56" s="74"/>
      <c r="Y56" s="74"/>
      <c r="Z56" s="74"/>
      <c r="AA56" s="74"/>
      <c r="AB56" s="74"/>
      <c r="AC56" s="74"/>
      <c r="AD56" s="74"/>
    </row>
    <row r="57">
      <c r="A57" s="75"/>
      <c r="B57" s="76"/>
      <c r="C57" s="77"/>
      <c r="D57" s="76"/>
      <c r="E57" s="76"/>
      <c r="F57" s="76"/>
      <c r="G57" s="76"/>
      <c r="H57" s="76"/>
      <c r="I57" s="75"/>
      <c r="J57" s="78"/>
      <c r="K57" s="76"/>
      <c r="L57" s="79" t="b">
        <v>0</v>
      </c>
      <c r="M57" s="80" t="str">
        <f t="shared" si="1"/>
        <v/>
      </c>
      <c r="N57" s="131" t="b">
        <v>0</v>
      </c>
      <c r="O57" s="80" t="str">
        <f t="shared" si="2"/>
        <v/>
      </c>
      <c r="P57" s="76"/>
      <c r="Q57" s="76"/>
      <c r="R57" s="76" t="b">
        <v>0</v>
      </c>
      <c r="S57" s="82" t="b">
        <v>0</v>
      </c>
      <c r="T57" s="76"/>
      <c r="U57" s="79"/>
      <c r="V57" s="83"/>
      <c r="W57" s="74"/>
      <c r="X57" s="74"/>
      <c r="Y57" s="74"/>
      <c r="Z57" s="74"/>
      <c r="AA57" s="74"/>
      <c r="AB57" s="74"/>
      <c r="AC57" s="74"/>
      <c r="AD57" s="74"/>
    </row>
    <row r="58">
      <c r="A58" s="75"/>
      <c r="B58" s="76"/>
      <c r="C58" s="77"/>
      <c r="D58" s="76"/>
      <c r="E58" s="76"/>
      <c r="F58" s="76"/>
      <c r="G58" s="76"/>
      <c r="H58" s="76"/>
      <c r="I58" s="75"/>
      <c r="J58" s="78"/>
      <c r="K58" s="76"/>
      <c r="L58" s="79" t="b">
        <v>0</v>
      </c>
      <c r="M58" s="80" t="str">
        <f t="shared" si="1"/>
        <v/>
      </c>
      <c r="N58" s="131" t="b">
        <v>0</v>
      </c>
      <c r="O58" s="80" t="str">
        <f t="shared" si="2"/>
        <v/>
      </c>
      <c r="P58" s="76"/>
      <c r="Q58" s="76"/>
      <c r="R58" s="76" t="b">
        <v>0</v>
      </c>
      <c r="S58" s="82" t="b">
        <v>0</v>
      </c>
      <c r="T58" s="76"/>
      <c r="U58" s="79"/>
      <c r="V58" s="83"/>
      <c r="W58" s="74"/>
      <c r="X58" s="74"/>
      <c r="Y58" s="74"/>
      <c r="Z58" s="74"/>
      <c r="AA58" s="74"/>
      <c r="AB58" s="74"/>
      <c r="AC58" s="74"/>
      <c r="AD58" s="74"/>
    </row>
    <row r="59">
      <c r="A59" s="75"/>
      <c r="B59" s="76"/>
      <c r="C59" s="77"/>
      <c r="D59" s="76"/>
      <c r="E59" s="76"/>
      <c r="F59" s="76"/>
      <c r="G59" s="76"/>
      <c r="H59" s="76"/>
      <c r="I59" s="75"/>
      <c r="J59" s="78"/>
      <c r="K59" s="76"/>
      <c r="L59" s="79" t="b">
        <v>0</v>
      </c>
      <c r="M59" s="80" t="str">
        <f t="shared" si="1"/>
        <v/>
      </c>
      <c r="N59" s="131" t="b">
        <v>0</v>
      </c>
      <c r="O59" s="80" t="str">
        <f t="shared" si="2"/>
        <v/>
      </c>
      <c r="P59" s="76"/>
      <c r="Q59" s="76"/>
      <c r="R59" s="76" t="b">
        <v>0</v>
      </c>
      <c r="S59" s="82" t="b">
        <v>0</v>
      </c>
      <c r="T59" s="76"/>
      <c r="U59" s="79"/>
      <c r="V59" s="83"/>
      <c r="W59" s="74"/>
      <c r="X59" s="74"/>
      <c r="Y59" s="74"/>
      <c r="Z59" s="74"/>
      <c r="AA59" s="74"/>
      <c r="AB59" s="74"/>
      <c r="AC59" s="74"/>
      <c r="AD59" s="74"/>
    </row>
    <row r="60">
      <c r="A60" s="75"/>
      <c r="B60" s="76"/>
      <c r="C60" s="77"/>
      <c r="D60" s="76"/>
      <c r="E60" s="76"/>
      <c r="F60" s="76"/>
      <c r="G60" s="76"/>
      <c r="H60" s="76"/>
      <c r="I60" s="75"/>
      <c r="J60" s="78"/>
      <c r="K60" s="76"/>
      <c r="L60" s="79" t="b">
        <v>0</v>
      </c>
      <c r="M60" s="80" t="str">
        <f t="shared" si="1"/>
        <v/>
      </c>
      <c r="N60" s="131" t="b">
        <v>0</v>
      </c>
      <c r="O60" s="80" t="str">
        <f t="shared" si="2"/>
        <v/>
      </c>
      <c r="P60" s="76"/>
      <c r="Q60" s="76"/>
      <c r="R60" s="76" t="b">
        <v>0</v>
      </c>
      <c r="S60" s="82" t="b">
        <v>0</v>
      </c>
      <c r="T60" s="76"/>
      <c r="U60" s="79"/>
      <c r="V60" s="83"/>
      <c r="W60" s="74"/>
      <c r="X60" s="74"/>
      <c r="Y60" s="74"/>
      <c r="Z60" s="74"/>
      <c r="AA60" s="74"/>
      <c r="AB60" s="74"/>
      <c r="AC60" s="74"/>
      <c r="AD60" s="74"/>
    </row>
    <row r="61">
      <c r="A61" s="75"/>
      <c r="B61" s="76"/>
      <c r="C61" s="77"/>
      <c r="D61" s="76"/>
      <c r="E61" s="76"/>
      <c r="F61" s="76"/>
      <c r="G61" s="76"/>
      <c r="H61" s="76"/>
      <c r="I61" s="75"/>
      <c r="J61" s="78"/>
      <c r="K61" s="76"/>
      <c r="L61" s="79" t="b">
        <v>0</v>
      </c>
      <c r="M61" s="80" t="str">
        <f t="shared" si="1"/>
        <v/>
      </c>
      <c r="N61" s="131" t="b">
        <v>0</v>
      </c>
      <c r="O61" s="80" t="str">
        <f t="shared" si="2"/>
        <v/>
      </c>
      <c r="P61" s="76"/>
      <c r="Q61" s="76"/>
      <c r="R61" s="76" t="b">
        <v>0</v>
      </c>
      <c r="S61" s="82" t="b">
        <v>0</v>
      </c>
      <c r="T61" s="76"/>
      <c r="U61" s="79"/>
      <c r="V61" s="83"/>
      <c r="W61" s="74"/>
      <c r="X61" s="74"/>
      <c r="Y61" s="74"/>
      <c r="Z61" s="74"/>
      <c r="AA61" s="74"/>
      <c r="AB61" s="74"/>
      <c r="AC61" s="74"/>
      <c r="AD61" s="74"/>
    </row>
    <row r="62">
      <c r="A62" s="75"/>
      <c r="B62" s="76"/>
      <c r="C62" s="77"/>
      <c r="D62" s="76"/>
      <c r="E62" s="76"/>
      <c r="F62" s="76"/>
      <c r="G62" s="76"/>
      <c r="H62" s="76"/>
      <c r="I62" s="75"/>
      <c r="J62" s="78"/>
      <c r="K62" s="76"/>
      <c r="L62" s="79" t="b">
        <v>0</v>
      </c>
      <c r="M62" s="80" t="str">
        <f t="shared" si="1"/>
        <v/>
      </c>
      <c r="N62" s="131" t="b">
        <v>0</v>
      </c>
      <c r="O62" s="80" t="str">
        <f t="shared" si="2"/>
        <v/>
      </c>
      <c r="P62" s="76"/>
      <c r="Q62" s="76"/>
      <c r="R62" s="76" t="b">
        <v>0</v>
      </c>
      <c r="S62" s="82" t="b">
        <v>0</v>
      </c>
      <c r="T62" s="76"/>
      <c r="U62" s="79"/>
      <c r="V62" s="83"/>
      <c r="W62" s="74"/>
      <c r="X62" s="74"/>
      <c r="Y62" s="74"/>
      <c r="Z62" s="74"/>
      <c r="AA62" s="74"/>
      <c r="AB62" s="74"/>
      <c r="AC62" s="74"/>
      <c r="AD62" s="74"/>
    </row>
    <row r="63">
      <c r="A63" s="75"/>
      <c r="B63" s="76"/>
      <c r="C63" s="77"/>
      <c r="D63" s="76"/>
      <c r="E63" s="76"/>
      <c r="F63" s="76"/>
      <c r="G63" s="76"/>
      <c r="H63" s="76"/>
      <c r="I63" s="75"/>
      <c r="J63" s="78"/>
      <c r="K63" s="76"/>
      <c r="L63" s="79" t="b">
        <v>0</v>
      </c>
      <c r="M63" s="80" t="str">
        <f t="shared" si="1"/>
        <v/>
      </c>
      <c r="N63" s="131" t="b">
        <v>0</v>
      </c>
      <c r="O63" s="80" t="str">
        <f t="shared" si="2"/>
        <v/>
      </c>
      <c r="P63" s="76"/>
      <c r="Q63" s="76"/>
      <c r="R63" s="76" t="b">
        <v>0</v>
      </c>
      <c r="S63" s="82" t="b">
        <v>0</v>
      </c>
      <c r="T63" s="76"/>
      <c r="U63" s="79"/>
      <c r="V63" s="83"/>
      <c r="W63" s="74"/>
      <c r="X63" s="74"/>
      <c r="Y63" s="74"/>
      <c r="Z63" s="74"/>
      <c r="AA63" s="74"/>
      <c r="AB63" s="74"/>
      <c r="AC63" s="74"/>
      <c r="AD63" s="74"/>
    </row>
    <row r="64">
      <c r="A64" s="75"/>
      <c r="B64" s="76"/>
      <c r="C64" s="77"/>
      <c r="D64" s="76"/>
      <c r="E64" s="76"/>
      <c r="F64" s="76"/>
      <c r="G64" s="76"/>
      <c r="H64" s="76"/>
      <c r="I64" s="75"/>
      <c r="J64" s="78"/>
      <c r="K64" s="76"/>
      <c r="L64" s="79" t="b">
        <v>0</v>
      </c>
      <c r="M64" s="80" t="str">
        <f t="shared" si="1"/>
        <v/>
      </c>
      <c r="N64" s="131" t="b">
        <v>0</v>
      </c>
      <c r="O64" s="80" t="str">
        <f t="shared" si="2"/>
        <v/>
      </c>
      <c r="P64" s="76"/>
      <c r="Q64" s="76"/>
      <c r="R64" s="76" t="b">
        <v>0</v>
      </c>
      <c r="S64" s="82" t="b">
        <v>0</v>
      </c>
      <c r="T64" s="76"/>
      <c r="U64" s="79"/>
      <c r="V64" s="83"/>
      <c r="W64" s="74"/>
      <c r="X64" s="74"/>
      <c r="Y64" s="74"/>
      <c r="Z64" s="74"/>
      <c r="AA64" s="74"/>
      <c r="AB64" s="74"/>
      <c r="AC64" s="74"/>
      <c r="AD64" s="74"/>
    </row>
    <row r="65">
      <c r="A65" s="75"/>
      <c r="B65" s="76"/>
      <c r="C65" s="77"/>
      <c r="D65" s="76"/>
      <c r="E65" s="76"/>
      <c r="F65" s="76"/>
      <c r="G65" s="76"/>
      <c r="H65" s="76"/>
      <c r="I65" s="75"/>
      <c r="J65" s="78"/>
      <c r="K65" s="76"/>
      <c r="L65" s="79" t="b">
        <v>0</v>
      </c>
      <c r="M65" s="80" t="str">
        <f t="shared" si="1"/>
        <v/>
      </c>
      <c r="N65" s="131" t="b">
        <v>0</v>
      </c>
      <c r="O65" s="80" t="str">
        <f t="shared" si="2"/>
        <v/>
      </c>
      <c r="P65" s="76"/>
      <c r="Q65" s="76"/>
      <c r="R65" s="76" t="b">
        <v>0</v>
      </c>
      <c r="S65" s="82" t="b">
        <v>0</v>
      </c>
      <c r="T65" s="76"/>
      <c r="U65" s="79"/>
      <c r="V65" s="83"/>
      <c r="W65" s="74"/>
      <c r="X65" s="74"/>
      <c r="Y65" s="74"/>
      <c r="Z65" s="74"/>
      <c r="AA65" s="74"/>
      <c r="AB65" s="74"/>
      <c r="AC65" s="74"/>
      <c r="AD65" s="74"/>
    </row>
    <row r="66">
      <c r="A66" s="75"/>
      <c r="B66" s="76"/>
      <c r="C66" s="77"/>
      <c r="D66" s="76"/>
      <c r="E66" s="76"/>
      <c r="F66" s="76"/>
      <c r="G66" s="76"/>
      <c r="H66" s="76"/>
      <c r="I66" s="75"/>
      <c r="J66" s="78"/>
      <c r="K66" s="76"/>
      <c r="L66" s="79" t="b">
        <v>0</v>
      </c>
      <c r="M66" s="80" t="str">
        <f t="shared" si="1"/>
        <v/>
      </c>
      <c r="N66" s="131" t="b">
        <v>0</v>
      </c>
      <c r="O66" s="80" t="str">
        <f t="shared" si="2"/>
        <v/>
      </c>
      <c r="P66" s="76"/>
      <c r="Q66" s="76"/>
      <c r="R66" s="76" t="b">
        <v>0</v>
      </c>
      <c r="S66" s="82" t="b">
        <v>0</v>
      </c>
      <c r="T66" s="76"/>
      <c r="U66" s="79"/>
      <c r="V66" s="83"/>
      <c r="W66" s="74"/>
      <c r="X66" s="74"/>
      <c r="Y66" s="74"/>
      <c r="Z66" s="74"/>
      <c r="AA66" s="74"/>
      <c r="AB66" s="74"/>
      <c r="AC66" s="74"/>
      <c r="AD66" s="74"/>
    </row>
    <row r="67">
      <c r="A67" s="75"/>
      <c r="B67" s="76"/>
      <c r="C67" s="77"/>
      <c r="D67" s="76"/>
      <c r="E67" s="76"/>
      <c r="F67" s="76"/>
      <c r="G67" s="76"/>
      <c r="H67" s="76"/>
      <c r="I67" s="75"/>
      <c r="J67" s="78"/>
      <c r="K67" s="76"/>
      <c r="L67" s="79" t="b">
        <v>0</v>
      </c>
      <c r="M67" s="80" t="str">
        <f t="shared" si="1"/>
        <v/>
      </c>
      <c r="N67" s="131" t="b">
        <v>0</v>
      </c>
      <c r="O67" s="80" t="str">
        <f t="shared" si="2"/>
        <v/>
      </c>
      <c r="P67" s="76"/>
      <c r="Q67" s="76"/>
      <c r="R67" s="76" t="b">
        <v>0</v>
      </c>
      <c r="S67" s="82" t="b">
        <v>0</v>
      </c>
      <c r="T67" s="76"/>
      <c r="U67" s="79"/>
      <c r="V67" s="90"/>
      <c r="W67" s="74"/>
      <c r="X67" s="74"/>
      <c r="Y67" s="74"/>
      <c r="Z67" s="74"/>
      <c r="AA67" s="74"/>
      <c r="AB67" s="74"/>
      <c r="AC67" s="74"/>
      <c r="AD67" s="74"/>
    </row>
    <row r="68">
      <c r="A68" s="75"/>
      <c r="B68" s="76"/>
      <c r="C68" s="77"/>
      <c r="D68" s="76"/>
      <c r="E68" s="76"/>
      <c r="F68" s="76"/>
      <c r="G68" s="76"/>
      <c r="H68" s="76"/>
      <c r="I68" s="75"/>
      <c r="J68" s="78"/>
      <c r="K68" s="76"/>
      <c r="L68" s="79" t="b">
        <v>0</v>
      </c>
      <c r="M68" s="80" t="str">
        <f t="shared" si="1"/>
        <v/>
      </c>
      <c r="N68" s="131" t="b">
        <v>0</v>
      </c>
      <c r="O68" s="80" t="str">
        <f t="shared" si="2"/>
        <v/>
      </c>
      <c r="P68" s="76"/>
      <c r="Q68" s="76"/>
      <c r="R68" s="76" t="b">
        <v>0</v>
      </c>
      <c r="S68" s="82" t="b">
        <v>0</v>
      </c>
      <c r="T68" s="76"/>
      <c r="U68" s="79"/>
      <c r="V68" s="83"/>
      <c r="W68" s="118"/>
      <c r="X68" s="74"/>
      <c r="Y68" s="74"/>
      <c r="Z68" s="74"/>
      <c r="AA68" s="74"/>
      <c r="AB68" s="74"/>
      <c r="AC68" s="74"/>
      <c r="AD68" s="74"/>
    </row>
    <row r="69">
      <c r="A69" s="75"/>
      <c r="B69" s="76"/>
      <c r="C69" s="77"/>
      <c r="D69" s="76"/>
      <c r="E69" s="76"/>
      <c r="F69" s="76"/>
      <c r="G69" s="76"/>
      <c r="H69" s="76"/>
      <c r="I69" s="75"/>
      <c r="J69" s="78"/>
      <c r="K69" s="76"/>
      <c r="L69" s="79" t="b">
        <v>0</v>
      </c>
      <c r="M69" s="80" t="str">
        <f t="shared" si="1"/>
        <v/>
      </c>
      <c r="N69" s="131" t="b">
        <v>0</v>
      </c>
      <c r="O69" s="80" t="str">
        <f t="shared" si="2"/>
        <v/>
      </c>
      <c r="P69" s="76"/>
      <c r="Q69" s="76"/>
      <c r="R69" s="76" t="b">
        <v>0</v>
      </c>
      <c r="S69" s="82" t="b">
        <v>0</v>
      </c>
      <c r="T69" s="76"/>
      <c r="U69" s="79"/>
      <c r="V69" s="90"/>
      <c r="W69" s="74"/>
      <c r="X69" s="74"/>
      <c r="Y69" s="74"/>
      <c r="Z69" s="74"/>
      <c r="AA69" s="74"/>
      <c r="AB69" s="74"/>
      <c r="AC69" s="74"/>
      <c r="AD69" s="74"/>
    </row>
    <row r="70">
      <c r="A70" s="75"/>
      <c r="B70" s="76"/>
      <c r="C70" s="77"/>
      <c r="D70" s="76"/>
      <c r="E70" s="76"/>
      <c r="F70" s="76"/>
      <c r="G70" s="76"/>
      <c r="H70" s="76"/>
      <c r="I70" s="75"/>
      <c r="J70" s="78"/>
      <c r="K70" s="76"/>
      <c r="L70" s="79" t="b">
        <v>0</v>
      </c>
      <c r="M70" s="80" t="str">
        <f t="shared" si="1"/>
        <v/>
      </c>
      <c r="N70" s="131" t="b">
        <v>0</v>
      </c>
      <c r="O70" s="80" t="str">
        <f t="shared" si="2"/>
        <v/>
      </c>
      <c r="P70" s="76"/>
      <c r="Q70" s="76"/>
      <c r="R70" s="76" t="b">
        <v>0</v>
      </c>
      <c r="S70" s="82" t="b">
        <v>0</v>
      </c>
      <c r="T70" s="76"/>
      <c r="U70" s="79"/>
      <c r="V70" s="90"/>
      <c r="W70" s="74"/>
      <c r="X70" s="74"/>
      <c r="Y70" s="74"/>
      <c r="Z70" s="74"/>
      <c r="AA70" s="74"/>
      <c r="AB70" s="74"/>
      <c r="AC70" s="74"/>
      <c r="AD70" s="74"/>
    </row>
    <row r="71">
      <c r="A71" s="75"/>
      <c r="B71" s="76"/>
      <c r="C71" s="77"/>
      <c r="D71" s="76"/>
      <c r="E71" s="76"/>
      <c r="F71" s="76"/>
      <c r="G71" s="76"/>
      <c r="H71" s="76"/>
      <c r="I71" s="75"/>
      <c r="J71" s="78"/>
      <c r="K71" s="76"/>
      <c r="L71" s="79" t="b">
        <v>0</v>
      </c>
      <c r="M71" s="80" t="str">
        <f t="shared" si="1"/>
        <v/>
      </c>
      <c r="N71" s="131" t="b">
        <v>0</v>
      </c>
      <c r="O71" s="80" t="str">
        <f t="shared" si="2"/>
        <v/>
      </c>
      <c r="P71" s="76"/>
      <c r="Q71" s="76"/>
      <c r="R71" s="76" t="b">
        <v>0</v>
      </c>
      <c r="S71" s="82" t="b">
        <v>0</v>
      </c>
      <c r="T71" s="76"/>
      <c r="U71" s="79"/>
      <c r="V71" s="90"/>
      <c r="W71" s="74"/>
      <c r="X71" s="74"/>
      <c r="Y71" s="74"/>
      <c r="Z71" s="74"/>
      <c r="AA71" s="74"/>
      <c r="AB71" s="74"/>
      <c r="AC71" s="74"/>
      <c r="AD71" s="74"/>
    </row>
    <row r="72">
      <c r="A72" s="75"/>
      <c r="B72" s="76"/>
      <c r="C72" s="77"/>
      <c r="D72" s="76"/>
      <c r="E72" s="76"/>
      <c r="F72" s="76"/>
      <c r="G72" s="76"/>
      <c r="H72" s="76"/>
      <c r="I72" s="75"/>
      <c r="J72" s="78"/>
      <c r="K72" s="76"/>
      <c r="L72" s="79" t="b">
        <v>0</v>
      </c>
      <c r="M72" s="80" t="str">
        <f t="shared" si="1"/>
        <v/>
      </c>
      <c r="N72" s="131" t="b">
        <v>0</v>
      </c>
      <c r="O72" s="80" t="str">
        <f t="shared" si="2"/>
        <v/>
      </c>
      <c r="P72" s="76"/>
      <c r="Q72" s="76"/>
      <c r="R72" s="76" t="b">
        <v>0</v>
      </c>
      <c r="S72" s="82" t="b">
        <v>0</v>
      </c>
      <c r="T72" s="76"/>
      <c r="U72" s="79"/>
      <c r="V72" s="90"/>
      <c r="W72" s="74"/>
      <c r="X72" s="74"/>
      <c r="Y72" s="74"/>
      <c r="Z72" s="74"/>
      <c r="AA72" s="74"/>
      <c r="AB72" s="74"/>
      <c r="AC72" s="74"/>
      <c r="AD72" s="74"/>
    </row>
    <row r="73">
      <c r="A73" s="75"/>
      <c r="B73" s="76"/>
      <c r="C73" s="77"/>
      <c r="D73" s="76"/>
      <c r="E73" s="76"/>
      <c r="F73" s="76"/>
      <c r="G73" s="76"/>
      <c r="H73" s="76"/>
      <c r="I73" s="75"/>
      <c r="J73" s="78"/>
      <c r="K73" s="76"/>
      <c r="L73" s="79" t="b">
        <v>0</v>
      </c>
      <c r="M73" s="80" t="str">
        <f t="shared" si="1"/>
        <v/>
      </c>
      <c r="N73" s="131" t="b">
        <v>0</v>
      </c>
      <c r="O73" s="80" t="str">
        <f t="shared" si="2"/>
        <v/>
      </c>
      <c r="P73" s="76"/>
      <c r="Q73" s="76"/>
      <c r="R73" s="76" t="b">
        <v>0</v>
      </c>
      <c r="S73" s="82" t="b">
        <v>0</v>
      </c>
      <c r="T73" s="76"/>
      <c r="U73" s="79"/>
      <c r="V73" s="83"/>
      <c r="W73" s="74"/>
      <c r="X73" s="74"/>
      <c r="Y73" s="74"/>
      <c r="Z73" s="74"/>
      <c r="AA73" s="74"/>
      <c r="AB73" s="74"/>
      <c r="AC73" s="74"/>
      <c r="AD73" s="74"/>
    </row>
    <row r="74">
      <c r="A74" s="75"/>
      <c r="B74" s="76"/>
      <c r="C74" s="77"/>
      <c r="D74" s="76"/>
      <c r="E74" s="76"/>
      <c r="F74" s="76"/>
      <c r="G74" s="76"/>
      <c r="H74" s="76"/>
      <c r="I74" s="75"/>
      <c r="J74" s="78"/>
      <c r="K74" s="76"/>
      <c r="L74" s="79" t="b">
        <v>0</v>
      </c>
      <c r="M74" s="80" t="str">
        <f t="shared" si="1"/>
        <v/>
      </c>
      <c r="N74" s="131" t="b">
        <v>0</v>
      </c>
      <c r="O74" s="80" t="str">
        <f t="shared" si="2"/>
        <v/>
      </c>
      <c r="P74" s="76"/>
      <c r="Q74" s="76"/>
      <c r="R74" s="76" t="b">
        <v>0</v>
      </c>
      <c r="S74" s="82" t="b">
        <v>0</v>
      </c>
      <c r="T74" s="76"/>
      <c r="U74" s="79"/>
      <c r="V74" s="83"/>
      <c r="W74" s="74"/>
      <c r="X74" s="74"/>
      <c r="Y74" s="74"/>
      <c r="Z74" s="74"/>
      <c r="AA74" s="74"/>
      <c r="AB74" s="74"/>
      <c r="AC74" s="74"/>
      <c r="AD74" s="74"/>
    </row>
    <row r="75">
      <c r="A75" s="75"/>
      <c r="B75" s="76"/>
      <c r="C75" s="77"/>
      <c r="D75" s="76"/>
      <c r="E75" s="76"/>
      <c r="F75" s="76"/>
      <c r="G75" s="76"/>
      <c r="H75" s="76"/>
      <c r="I75" s="75"/>
      <c r="J75" s="78"/>
      <c r="K75" s="76"/>
      <c r="L75" s="79" t="b">
        <v>0</v>
      </c>
      <c r="M75" s="80" t="str">
        <f t="shared" si="1"/>
        <v/>
      </c>
      <c r="N75" s="131" t="b">
        <v>0</v>
      </c>
      <c r="O75" s="80" t="str">
        <f t="shared" si="2"/>
        <v/>
      </c>
      <c r="P75" s="76"/>
      <c r="Q75" s="76"/>
      <c r="R75" s="76" t="b">
        <v>0</v>
      </c>
      <c r="S75" s="82" t="b">
        <v>0</v>
      </c>
      <c r="T75" s="76"/>
      <c r="U75" s="79"/>
      <c r="V75" s="83"/>
      <c r="W75" s="74"/>
      <c r="X75" s="74"/>
      <c r="Y75" s="74"/>
      <c r="Z75" s="74"/>
      <c r="AA75" s="74"/>
      <c r="AB75" s="74"/>
      <c r="AC75" s="74"/>
      <c r="AD75" s="74"/>
    </row>
    <row r="76">
      <c r="A76" s="75"/>
      <c r="B76" s="76"/>
      <c r="C76" s="77"/>
      <c r="D76" s="76"/>
      <c r="E76" s="76"/>
      <c r="F76" s="76"/>
      <c r="G76" s="76"/>
      <c r="H76" s="76"/>
      <c r="I76" s="75"/>
      <c r="J76" s="78"/>
      <c r="K76" s="76"/>
      <c r="L76" s="79" t="b">
        <v>0</v>
      </c>
      <c r="M76" s="80" t="str">
        <f t="shared" si="1"/>
        <v/>
      </c>
      <c r="N76" s="131" t="b">
        <v>0</v>
      </c>
      <c r="O76" s="80" t="str">
        <f t="shared" si="2"/>
        <v/>
      </c>
      <c r="P76" s="76"/>
      <c r="Q76" s="76"/>
      <c r="R76" s="76" t="b">
        <v>0</v>
      </c>
      <c r="S76" s="82" t="b">
        <v>0</v>
      </c>
      <c r="T76" s="76"/>
      <c r="U76" s="79"/>
      <c r="V76" s="90"/>
      <c r="W76" s="118"/>
      <c r="X76" s="74"/>
      <c r="Y76" s="74"/>
      <c r="Z76" s="74"/>
      <c r="AA76" s="74"/>
      <c r="AB76" s="74"/>
      <c r="AC76" s="74"/>
      <c r="AD76" s="74"/>
    </row>
    <row r="77">
      <c r="A77" s="75"/>
      <c r="B77" s="76"/>
      <c r="C77" s="77"/>
      <c r="D77" s="76"/>
      <c r="E77" s="76"/>
      <c r="F77" s="76"/>
      <c r="G77" s="76"/>
      <c r="H77" s="76"/>
      <c r="I77" s="75"/>
      <c r="J77" s="78"/>
      <c r="K77" s="76"/>
      <c r="L77" s="79" t="b">
        <v>0</v>
      </c>
      <c r="M77" s="80" t="str">
        <f t="shared" si="1"/>
        <v/>
      </c>
      <c r="N77" s="131" t="b">
        <v>0</v>
      </c>
      <c r="O77" s="80" t="str">
        <f t="shared" si="2"/>
        <v/>
      </c>
      <c r="P77" s="76"/>
      <c r="Q77" s="76"/>
      <c r="R77" s="76" t="b">
        <v>0</v>
      </c>
      <c r="S77" s="82" t="b">
        <v>0</v>
      </c>
      <c r="T77" s="76"/>
      <c r="U77" s="79"/>
      <c r="V77" s="90"/>
      <c r="W77" s="74"/>
      <c r="X77" s="74"/>
      <c r="Y77" s="74"/>
      <c r="Z77" s="74"/>
      <c r="AA77" s="74"/>
      <c r="AB77" s="74"/>
      <c r="AC77" s="74"/>
      <c r="AD77" s="74"/>
    </row>
    <row r="78">
      <c r="A78" s="75"/>
      <c r="B78" s="76"/>
      <c r="C78" s="77"/>
      <c r="D78" s="76"/>
      <c r="E78" s="76"/>
      <c r="F78" s="76"/>
      <c r="G78" s="76"/>
      <c r="H78" s="76"/>
      <c r="I78" s="75"/>
      <c r="J78" s="78"/>
      <c r="K78" s="76"/>
      <c r="L78" s="79" t="b">
        <v>0</v>
      </c>
      <c r="M78" s="80" t="str">
        <f t="shared" si="1"/>
        <v/>
      </c>
      <c r="N78" s="131" t="b">
        <v>0</v>
      </c>
      <c r="O78" s="80" t="str">
        <f t="shared" si="2"/>
        <v/>
      </c>
      <c r="P78" s="76"/>
      <c r="Q78" s="76"/>
      <c r="R78" s="76" t="b">
        <v>0</v>
      </c>
      <c r="S78" s="82" t="b">
        <v>0</v>
      </c>
      <c r="T78" s="76"/>
      <c r="U78" s="79"/>
      <c r="V78" s="90"/>
      <c r="W78" s="74"/>
      <c r="X78" s="74"/>
      <c r="Y78" s="74"/>
      <c r="Z78" s="74"/>
      <c r="AA78" s="74"/>
      <c r="AB78" s="74"/>
      <c r="AC78" s="74"/>
      <c r="AD78" s="74"/>
    </row>
    <row r="79">
      <c r="A79" s="75"/>
      <c r="B79" s="76"/>
      <c r="C79" s="77"/>
      <c r="D79" s="76"/>
      <c r="E79" s="76"/>
      <c r="F79" s="76"/>
      <c r="G79" s="76"/>
      <c r="H79" s="76"/>
      <c r="I79" s="75"/>
      <c r="J79" s="78"/>
      <c r="K79" s="76"/>
      <c r="L79" s="79" t="b">
        <v>0</v>
      </c>
      <c r="M79" s="80" t="str">
        <f t="shared" si="1"/>
        <v/>
      </c>
      <c r="N79" s="131" t="b">
        <v>0</v>
      </c>
      <c r="O79" s="80" t="str">
        <f t="shared" si="2"/>
        <v/>
      </c>
      <c r="P79" s="76"/>
      <c r="Q79" s="76"/>
      <c r="R79" s="76" t="b">
        <v>0</v>
      </c>
      <c r="S79" s="82" t="b">
        <v>0</v>
      </c>
      <c r="T79" s="76"/>
      <c r="U79" s="79"/>
      <c r="V79" s="83"/>
      <c r="W79" s="118"/>
      <c r="X79" s="74"/>
      <c r="Y79" s="74"/>
      <c r="Z79" s="74"/>
      <c r="AA79" s="74"/>
      <c r="AB79" s="74"/>
      <c r="AC79" s="74"/>
      <c r="AD79" s="74"/>
    </row>
    <row r="80">
      <c r="A80" s="75"/>
      <c r="B80" s="76"/>
      <c r="C80" s="77"/>
      <c r="D80" s="76"/>
      <c r="E80" s="76"/>
      <c r="F80" s="76"/>
      <c r="G80" s="76"/>
      <c r="H80" s="76"/>
      <c r="I80" s="75"/>
      <c r="J80" s="78"/>
      <c r="K80" s="76"/>
      <c r="L80" s="79" t="b">
        <v>0</v>
      </c>
      <c r="M80" s="80" t="str">
        <f t="shared" si="1"/>
        <v/>
      </c>
      <c r="N80" s="131" t="b">
        <v>0</v>
      </c>
      <c r="O80" s="80" t="str">
        <f t="shared" si="2"/>
        <v/>
      </c>
      <c r="P80" s="76"/>
      <c r="Q80" s="76"/>
      <c r="R80" s="76" t="b">
        <v>0</v>
      </c>
      <c r="S80" s="82" t="b">
        <v>0</v>
      </c>
      <c r="T80" s="76"/>
      <c r="U80" s="79"/>
      <c r="V80" s="83"/>
      <c r="W80" s="74"/>
      <c r="X80" s="74"/>
      <c r="Y80" s="74"/>
      <c r="Z80" s="74"/>
      <c r="AA80" s="74"/>
      <c r="AB80" s="74"/>
      <c r="AC80" s="74"/>
      <c r="AD80" s="74"/>
    </row>
    <row r="81">
      <c r="A81" s="75"/>
      <c r="B81" s="76"/>
      <c r="C81" s="77"/>
      <c r="D81" s="76"/>
      <c r="E81" s="76"/>
      <c r="F81" s="76"/>
      <c r="G81" s="76"/>
      <c r="H81" s="76"/>
      <c r="I81" s="75"/>
      <c r="J81" s="78"/>
      <c r="K81" s="76"/>
      <c r="L81" s="79" t="b">
        <v>0</v>
      </c>
      <c r="M81" s="80" t="str">
        <f t="shared" si="1"/>
        <v/>
      </c>
      <c r="N81" s="131" t="b">
        <v>0</v>
      </c>
      <c r="O81" s="80" t="str">
        <f t="shared" si="2"/>
        <v/>
      </c>
      <c r="P81" s="76"/>
      <c r="Q81" s="76"/>
      <c r="R81" s="76" t="b">
        <v>0</v>
      </c>
      <c r="S81" s="82" t="b">
        <v>0</v>
      </c>
      <c r="T81" s="76"/>
      <c r="U81" s="79"/>
      <c r="V81" s="90"/>
      <c r="W81" s="74"/>
      <c r="X81" s="74"/>
      <c r="Y81" s="74"/>
      <c r="Z81" s="74"/>
      <c r="AA81" s="74"/>
      <c r="AB81" s="74"/>
      <c r="AC81" s="74"/>
      <c r="AD81" s="74"/>
    </row>
    <row r="82">
      <c r="A82" s="75"/>
      <c r="B82" s="76"/>
      <c r="C82" s="77"/>
      <c r="D82" s="76"/>
      <c r="E82" s="76"/>
      <c r="F82" s="76"/>
      <c r="G82" s="76"/>
      <c r="H82" s="76"/>
      <c r="I82" s="75"/>
      <c r="J82" s="78"/>
      <c r="K82" s="76"/>
      <c r="L82" s="79" t="b">
        <v>0</v>
      </c>
      <c r="M82" s="80" t="str">
        <f t="shared" si="1"/>
        <v/>
      </c>
      <c r="N82" s="131" t="b">
        <v>0</v>
      </c>
      <c r="O82" s="80" t="str">
        <f t="shared" si="2"/>
        <v/>
      </c>
      <c r="P82" s="76"/>
      <c r="Q82" s="76"/>
      <c r="R82" s="76" t="b">
        <v>0</v>
      </c>
      <c r="S82" s="82" t="b">
        <v>0</v>
      </c>
      <c r="T82" s="76"/>
      <c r="U82" s="79"/>
      <c r="V82" s="90"/>
      <c r="W82" s="74"/>
      <c r="X82" s="74"/>
      <c r="Y82" s="74"/>
      <c r="Z82" s="74"/>
      <c r="AA82" s="74"/>
      <c r="AB82" s="74"/>
      <c r="AC82" s="74"/>
      <c r="AD82" s="74"/>
    </row>
    <row r="83">
      <c r="A83" s="75"/>
      <c r="B83" s="76"/>
      <c r="C83" s="77"/>
      <c r="D83" s="76"/>
      <c r="E83" s="76"/>
      <c r="F83" s="76"/>
      <c r="G83" s="76"/>
      <c r="H83" s="76"/>
      <c r="I83" s="75"/>
      <c r="J83" s="78"/>
      <c r="K83" s="76"/>
      <c r="L83" s="79" t="b">
        <v>0</v>
      </c>
      <c r="M83" s="80" t="str">
        <f t="shared" si="1"/>
        <v/>
      </c>
      <c r="N83" s="79" t="b">
        <v>0</v>
      </c>
      <c r="O83" s="80" t="str">
        <f t="shared" si="2"/>
        <v/>
      </c>
      <c r="P83" s="76"/>
      <c r="Q83" s="76"/>
      <c r="R83" s="76" t="b">
        <v>0</v>
      </c>
      <c r="S83" s="82" t="b">
        <v>0</v>
      </c>
      <c r="T83" s="76"/>
      <c r="U83" s="79"/>
      <c r="V83" s="83"/>
      <c r="W83" s="118"/>
      <c r="X83" s="74"/>
      <c r="Y83" s="74"/>
      <c r="Z83" s="74"/>
      <c r="AA83" s="74"/>
      <c r="AB83" s="74"/>
      <c r="AC83" s="74"/>
      <c r="AD83" s="74"/>
    </row>
    <row r="84">
      <c r="A84" s="75"/>
      <c r="B84" s="76"/>
      <c r="C84" s="77"/>
      <c r="D84" s="76"/>
      <c r="E84" s="76"/>
      <c r="F84" s="76"/>
      <c r="G84" s="76"/>
      <c r="H84" s="76"/>
      <c r="I84" s="75"/>
      <c r="J84" s="78"/>
      <c r="K84" s="76"/>
      <c r="L84" s="79" t="b">
        <v>0</v>
      </c>
      <c r="M84" s="80" t="str">
        <f t="shared" si="1"/>
        <v/>
      </c>
      <c r="N84" s="79" t="b">
        <v>0</v>
      </c>
      <c r="O84" s="80" t="str">
        <f t="shared" si="2"/>
        <v/>
      </c>
      <c r="P84" s="76"/>
      <c r="Q84" s="76"/>
      <c r="R84" s="76" t="b">
        <v>0</v>
      </c>
      <c r="S84" s="82" t="b">
        <v>0</v>
      </c>
      <c r="T84" s="76"/>
      <c r="U84" s="79"/>
      <c r="V84" s="83"/>
      <c r="W84" s="118"/>
      <c r="X84" s="74"/>
      <c r="Y84" s="74"/>
      <c r="Z84" s="74"/>
      <c r="AA84" s="74"/>
      <c r="AB84" s="74"/>
      <c r="AC84" s="74"/>
      <c r="AD84" s="74"/>
    </row>
    <row r="85">
      <c r="A85" s="75"/>
      <c r="B85" s="76"/>
      <c r="C85" s="77"/>
      <c r="D85" s="76"/>
      <c r="E85" s="76"/>
      <c r="F85" s="76"/>
      <c r="G85" s="76"/>
      <c r="H85" s="76"/>
      <c r="I85" s="75"/>
      <c r="J85" s="78"/>
      <c r="K85" s="76"/>
      <c r="L85" s="79" t="b">
        <v>0</v>
      </c>
      <c r="M85" s="80" t="str">
        <f t="shared" si="1"/>
        <v/>
      </c>
      <c r="N85" s="79" t="b">
        <v>0</v>
      </c>
      <c r="O85" s="80" t="str">
        <f t="shared" si="2"/>
        <v/>
      </c>
      <c r="P85" s="76"/>
      <c r="Q85" s="76"/>
      <c r="R85" s="76" t="b">
        <v>0</v>
      </c>
      <c r="S85" s="82" t="b">
        <v>0</v>
      </c>
      <c r="T85" s="76"/>
      <c r="U85" s="79"/>
      <c r="V85" s="83"/>
      <c r="W85" s="118"/>
      <c r="X85" s="74"/>
      <c r="Y85" s="74"/>
      <c r="Z85" s="74"/>
      <c r="AA85" s="74"/>
      <c r="AB85" s="74"/>
      <c r="AC85" s="74"/>
      <c r="AD85" s="74"/>
    </row>
    <row r="86">
      <c r="A86" s="75"/>
      <c r="B86" s="76"/>
      <c r="C86" s="77"/>
      <c r="D86" s="76"/>
      <c r="E86" s="76"/>
      <c r="F86" s="76"/>
      <c r="G86" s="76"/>
      <c r="H86" s="76"/>
      <c r="I86" s="75"/>
      <c r="J86" s="78"/>
      <c r="K86" s="76"/>
      <c r="L86" s="79" t="b">
        <v>0</v>
      </c>
      <c r="M86" s="80" t="str">
        <f t="shared" si="1"/>
        <v/>
      </c>
      <c r="N86" s="79" t="b">
        <v>0</v>
      </c>
      <c r="O86" s="80" t="str">
        <f t="shared" si="2"/>
        <v/>
      </c>
      <c r="P86" s="76"/>
      <c r="Q86" s="76"/>
      <c r="R86" s="76" t="b">
        <v>0</v>
      </c>
      <c r="S86" s="82" t="b">
        <v>0</v>
      </c>
      <c r="T86" s="76"/>
      <c r="U86" s="79"/>
      <c r="V86" s="90"/>
      <c r="W86" s="74"/>
      <c r="X86" s="74"/>
      <c r="Y86" s="74"/>
      <c r="Z86" s="74"/>
      <c r="AA86" s="74"/>
      <c r="AB86" s="74"/>
      <c r="AC86" s="74"/>
      <c r="AD86" s="74"/>
    </row>
    <row r="87">
      <c r="A87" s="75"/>
      <c r="B87" s="76"/>
      <c r="C87" s="77"/>
      <c r="D87" s="76"/>
      <c r="E87" s="76"/>
      <c r="F87" s="76"/>
      <c r="G87" s="76"/>
      <c r="H87" s="76"/>
      <c r="I87" s="75"/>
      <c r="J87" s="78"/>
      <c r="K87" s="76"/>
      <c r="L87" s="79" t="b">
        <v>0</v>
      </c>
      <c r="M87" s="80" t="str">
        <f t="shared" si="1"/>
        <v/>
      </c>
      <c r="N87" s="79" t="b">
        <v>0</v>
      </c>
      <c r="O87" s="80" t="str">
        <f t="shared" si="2"/>
        <v/>
      </c>
      <c r="P87" s="76"/>
      <c r="Q87" s="76"/>
      <c r="R87" s="76" t="b">
        <v>0</v>
      </c>
      <c r="S87" s="82" t="b">
        <v>0</v>
      </c>
      <c r="T87" s="76"/>
      <c r="U87" s="79"/>
      <c r="V87" s="90"/>
      <c r="W87" s="118"/>
      <c r="X87" s="74"/>
      <c r="Y87" s="74"/>
      <c r="Z87" s="74"/>
      <c r="AA87" s="74"/>
      <c r="AB87" s="74"/>
      <c r="AC87" s="74"/>
      <c r="AD87" s="74"/>
    </row>
    <row r="88">
      <c r="A88" s="75"/>
      <c r="B88" s="76"/>
      <c r="C88" s="77"/>
      <c r="D88" s="76"/>
      <c r="E88" s="76"/>
      <c r="F88" s="76"/>
      <c r="G88" s="76"/>
      <c r="H88" s="76"/>
      <c r="I88" s="75"/>
      <c r="J88" s="78"/>
      <c r="K88" s="76"/>
      <c r="L88" s="79" t="b">
        <v>0</v>
      </c>
      <c r="M88" s="80" t="str">
        <f t="shared" si="1"/>
        <v/>
      </c>
      <c r="N88" s="79" t="b">
        <v>0</v>
      </c>
      <c r="O88" s="80" t="str">
        <f t="shared" si="2"/>
        <v/>
      </c>
      <c r="P88" s="76"/>
      <c r="Q88" s="76"/>
      <c r="R88" s="76" t="b">
        <v>0</v>
      </c>
      <c r="S88" s="82" t="b">
        <v>0</v>
      </c>
      <c r="T88" s="76"/>
      <c r="U88" s="79"/>
      <c r="V88" s="83"/>
      <c r="W88" s="74"/>
      <c r="X88" s="74"/>
      <c r="Y88" s="74"/>
      <c r="Z88" s="74"/>
      <c r="AA88" s="74"/>
      <c r="AB88" s="74"/>
      <c r="AC88" s="74"/>
      <c r="AD88" s="74"/>
    </row>
    <row r="89">
      <c r="A89" s="75"/>
      <c r="B89" s="76"/>
      <c r="C89" s="77"/>
      <c r="D89" s="76"/>
      <c r="E89" s="76"/>
      <c r="F89" s="76"/>
      <c r="G89" s="76"/>
      <c r="H89" s="76"/>
      <c r="I89" s="75"/>
      <c r="J89" s="78"/>
      <c r="K89" s="76"/>
      <c r="L89" s="79" t="b">
        <v>0</v>
      </c>
      <c r="M89" s="80" t="str">
        <f t="shared" si="1"/>
        <v/>
      </c>
      <c r="N89" s="79" t="b">
        <v>0</v>
      </c>
      <c r="O89" s="80" t="str">
        <f t="shared" si="2"/>
        <v/>
      </c>
      <c r="P89" s="76"/>
      <c r="Q89" s="76"/>
      <c r="R89" s="76" t="b">
        <v>0</v>
      </c>
      <c r="S89" s="82" t="b">
        <v>0</v>
      </c>
      <c r="T89" s="76"/>
      <c r="U89" s="79"/>
      <c r="V89" s="83"/>
      <c r="W89" s="118"/>
      <c r="X89" s="74"/>
      <c r="Y89" s="74"/>
      <c r="Z89" s="74"/>
      <c r="AA89" s="74"/>
      <c r="AB89" s="74"/>
      <c r="AC89" s="74"/>
      <c r="AD89" s="74"/>
    </row>
    <row r="90">
      <c r="A90" s="75"/>
      <c r="B90" s="76"/>
      <c r="C90" s="77"/>
      <c r="D90" s="76"/>
      <c r="E90" s="76"/>
      <c r="F90" s="76"/>
      <c r="G90" s="76"/>
      <c r="H90" s="76"/>
      <c r="I90" s="75"/>
      <c r="J90" s="78"/>
      <c r="K90" s="76"/>
      <c r="L90" s="79" t="b">
        <v>0</v>
      </c>
      <c r="M90" s="80" t="str">
        <f t="shared" si="1"/>
        <v/>
      </c>
      <c r="N90" s="79" t="b">
        <v>0</v>
      </c>
      <c r="O90" s="80" t="str">
        <f t="shared" si="2"/>
        <v/>
      </c>
      <c r="P90" s="76"/>
      <c r="Q90" s="76"/>
      <c r="R90" s="76" t="b">
        <v>0</v>
      </c>
      <c r="S90" s="82" t="b">
        <v>0</v>
      </c>
      <c r="T90" s="76"/>
      <c r="U90" s="79"/>
      <c r="V90" s="90"/>
      <c r="W90" s="74"/>
      <c r="X90" s="74"/>
      <c r="Y90" s="74"/>
      <c r="Z90" s="74"/>
      <c r="AA90" s="74"/>
      <c r="AB90" s="74"/>
      <c r="AC90" s="74"/>
      <c r="AD90" s="74"/>
    </row>
    <row r="91">
      <c r="A91" s="75"/>
      <c r="B91" s="76"/>
      <c r="C91" s="77"/>
      <c r="D91" s="76"/>
      <c r="E91" s="76"/>
      <c r="F91" s="76"/>
      <c r="G91" s="76"/>
      <c r="H91" s="76"/>
      <c r="I91" s="75"/>
      <c r="J91" s="78"/>
      <c r="K91" s="76"/>
      <c r="L91" s="79" t="b">
        <v>0</v>
      </c>
      <c r="M91" s="80" t="str">
        <f t="shared" si="1"/>
        <v/>
      </c>
      <c r="N91" s="79" t="b">
        <v>0</v>
      </c>
      <c r="O91" s="80" t="str">
        <f t="shared" si="2"/>
        <v/>
      </c>
      <c r="P91" s="76"/>
      <c r="Q91" s="76"/>
      <c r="R91" s="76" t="b">
        <v>0</v>
      </c>
      <c r="S91" s="82" t="b">
        <v>0</v>
      </c>
      <c r="T91" s="76"/>
      <c r="U91" s="79"/>
      <c r="V91" s="90"/>
      <c r="W91" s="74"/>
      <c r="X91" s="74"/>
      <c r="Y91" s="74"/>
      <c r="Z91" s="74"/>
      <c r="AA91" s="74"/>
      <c r="AB91" s="74"/>
      <c r="AC91" s="74"/>
      <c r="AD91" s="74"/>
    </row>
    <row r="92">
      <c r="A92" s="75"/>
      <c r="B92" s="76"/>
      <c r="C92" s="77"/>
      <c r="D92" s="76"/>
      <c r="E92" s="76"/>
      <c r="F92" s="76"/>
      <c r="G92" s="76"/>
      <c r="H92" s="76"/>
      <c r="I92" s="75"/>
      <c r="J92" s="78"/>
      <c r="K92" s="76"/>
      <c r="L92" s="79" t="b">
        <v>0</v>
      </c>
      <c r="M92" s="80" t="str">
        <f t="shared" si="1"/>
        <v/>
      </c>
      <c r="N92" s="79" t="b">
        <v>0</v>
      </c>
      <c r="O92" s="80" t="str">
        <f t="shared" si="2"/>
        <v/>
      </c>
      <c r="P92" s="76"/>
      <c r="Q92" s="76"/>
      <c r="R92" s="76" t="b">
        <v>0</v>
      </c>
      <c r="S92" s="82" t="b">
        <v>0</v>
      </c>
      <c r="T92" s="76"/>
      <c r="U92" s="79"/>
      <c r="V92" s="90"/>
      <c r="W92" s="74"/>
      <c r="X92" s="74"/>
      <c r="Y92" s="74"/>
      <c r="Z92" s="74"/>
      <c r="AA92" s="74"/>
      <c r="AB92" s="74"/>
      <c r="AC92" s="74"/>
      <c r="AD92" s="74"/>
    </row>
    <row r="93">
      <c r="A93" s="75"/>
      <c r="B93" s="76"/>
      <c r="C93" s="77"/>
      <c r="D93" s="76"/>
      <c r="E93" s="76"/>
      <c r="F93" s="76"/>
      <c r="G93" s="76"/>
      <c r="H93" s="76"/>
      <c r="I93" s="75"/>
      <c r="J93" s="78"/>
      <c r="K93" s="76"/>
      <c r="L93" s="79" t="b">
        <v>0</v>
      </c>
      <c r="M93" s="80" t="str">
        <f t="shared" si="1"/>
        <v/>
      </c>
      <c r="N93" s="79" t="b">
        <v>0</v>
      </c>
      <c r="O93" s="80" t="str">
        <f t="shared" si="2"/>
        <v/>
      </c>
      <c r="P93" s="76"/>
      <c r="Q93" s="76"/>
      <c r="R93" s="76" t="b">
        <v>0</v>
      </c>
      <c r="S93" s="82" t="b">
        <v>0</v>
      </c>
      <c r="T93" s="76"/>
      <c r="U93" s="79"/>
      <c r="V93" s="83"/>
      <c r="W93" s="74"/>
      <c r="X93" s="74"/>
      <c r="Y93" s="74"/>
      <c r="Z93" s="74"/>
      <c r="AA93" s="74"/>
      <c r="AB93" s="74"/>
      <c r="AC93" s="74"/>
      <c r="AD93" s="74"/>
    </row>
    <row r="94">
      <c r="A94" s="75"/>
      <c r="B94" s="76"/>
      <c r="C94" s="77"/>
      <c r="D94" s="76"/>
      <c r="E94" s="76"/>
      <c r="F94" s="76"/>
      <c r="G94" s="76"/>
      <c r="H94" s="76"/>
      <c r="I94" s="75"/>
      <c r="J94" s="78"/>
      <c r="K94" s="76"/>
      <c r="L94" s="79" t="b">
        <v>0</v>
      </c>
      <c r="M94" s="80" t="str">
        <f t="shared" si="1"/>
        <v/>
      </c>
      <c r="N94" s="79" t="b">
        <v>0</v>
      </c>
      <c r="O94" s="80" t="str">
        <f t="shared" si="2"/>
        <v/>
      </c>
      <c r="P94" s="76"/>
      <c r="Q94" s="76"/>
      <c r="R94" s="76" t="b">
        <v>0</v>
      </c>
      <c r="S94" s="82" t="b">
        <v>0</v>
      </c>
      <c r="T94" s="76"/>
      <c r="U94" s="79"/>
      <c r="V94" s="90"/>
      <c r="W94" s="118"/>
      <c r="X94" s="74"/>
      <c r="Y94" s="74"/>
      <c r="Z94" s="74"/>
      <c r="AA94" s="74"/>
      <c r="AB94" s="74"/>
      <c r="AC94" s="74"/>
      <c r="AD94" s="74"/>
    </row>
    <row r="95">
      <c r="A95" s="75"/>
      <c r="B95" s="76"/>
      <c r="C95" s="77"/>
      <c r="D95" s="76"/>
      <c r="E95" s="76"/>
      <c r="F95" s="76"/>
      <c r="G95" s="76"/>
      <c r="H95" s="76"/>
      <c r="I95" s="75"/>
      <c r="J95" s="78"/>
      <c r="K95" s="76"/>
      <c r="L95" s="79" t="b">
        <v>0</v>
      </c>
      <c r="M95" s="80" t="str">
        <f t="shared" si="1"/>
        <v/>
      </c>
      <c r="N95" s="79" t="b">
        <v>0</v>
      </c>
      <c r="O95" s="80" t="str">
        <f t="shared" si="2"/>
        <v/>
      </c>
      <c r="P95" s="76"/>
      <c r="Q95" s="76"/>
      <c r="R95" s="76" t="b">
        <v>0</v>
      </c>
      <c r="S95" s="82" t="b">
        <v>0</v>
      </c>
      <c r="T95" s="76"/>
      <c r="U95" s="79"/>
      <c r="V95" s="90"/>
      <c r="W95" s="74"/>
      <c r="X95" s="74"/>
      <c r="Y95" s="74"/>
      <c r="Z95" s="74"/>
      <c r="AA95" s="74"/>
      <c r="AB95" s="74"/>
      <c r="AC95" s="74"/>
      <c r="AD95" s="74"/>
    </row>
    <row r="96">
      <c r="A96" s="75"/>
      <c r="B96" s="76"/>
      <c r="C96" s="77"/>
      <c r="D96" s="76"/>
      <c r="E96" s="76"/>
      <c r="F96" s="76"/>
      <c r="G96" s="76"/>
      <c r="H96" s="76"/>
      <c r="I96" s="75"/>
      <c r="J96" s="78"/>
      <c r="K96" s="76"/>
      <c r="L96" s="79" t="b">
        <v>0</v>
      </c>
      <c r="M96" s="80" t="str">
        <f t="shared" si="1"/>
        <v/>
      </c>
      <c r="N96" s="79" t="b">
        <v>0</v>
      </c>
      <c r="O96" s="80" t="str">
        <f t="shared" si="2"/>
        <v/>
      </c>
      <c r="P96" s="76"/>
      <c r="Q96" s="76"/>
      <c r="R96" s="76" t="b">
        <v>0</v>
      </c>
      <c r="S96" s="82" t="b">
        <v>0</v>
      </c>
      <c r="T96" s="76"/>
      <c r="U96" s="79"/>
      <c r="V96" s="90"/>
      <c r="W96" s="74"/>
      <c r="X96" s="74"/>
      <c r="Y96" s="74"/>
      <c r="Z96" s="74"/>
      <c r="AA96" s="74"/>
      <c r="AB96" s="74"/>
      <c r="AC96" s="74"/>
      <c r="AD96" s="74"/>
    </row>
    <row r="97">
      <c r="A97" s="75"/>
      <c r="B97" s="76"/>
      <c r="C97" s="77"/>
      <c r="D97" s="76"/>
      <c r="E97" s="76"/>
      <c r="F97" s="76"/>
      <c r="G97" s="76"/>
      <c r="H97" s="76"/>
      <c r="I97" s="75"/>
      <c r="J97" s="78"/>
      <c r="K97" s="76"/>
      <c r="L97" s="79" t="b">
        <v>0</v>
      </c>
      <c r="M97" s="80" t="str">
        <f t="shared" si="1"/>
        <v/>
      </c>
      <c r="N97" s="79" t="b">
        <v>0</v>
      </c>
      <c r="O97" s="80" t="str">
        <f t="shared" si="2"/>
        <v/>
      </c>
      <c r="P97" s="76"/>
      <c r="Q97" s="76"/>
      <c r="R97" s="76" t="b">
        <v>0</v>
      </c>
      <c r="S97" s="82" t="b">
        <v>0</v>
      </c>
      <c r="T97" s="76"/>
      <c r="U97" s="79"/>
      <c r="V97" s="90"/>
      <c r="W97" s="74"/>
      <c r="X97" s="74"/>
      <c r="Y97" s="74"/>
      <c r="Z97" s="74"/>
      <c r="AA97" s="74"/>
      <c r="AB97" s="74"/>
      <c r="AC97" s="74"/>
      <c r="AD97" s="74"/>
    </row>
    <row r="98">
      <c r="A98" s="75"/>
      <c r="B98" s="76"/>
      <c r="C98" s="77"/>
      <c r="D98" s="76"/>
      <c r="E98" s="76"/>
      <c r="F98" s="76"/>
      <c r="G98" s="76"/>
      <c r="H98" s="76"/>
      <c r="I98" s="75"/>
      <c r="J98" s="78"/>
      <c r="K98" s="76"/>
      <c r="L98" s="79" t="b">
        <v>0</v>
      </c>
      <c r="M98" s="80" t="str">
        <f t="shared" si="1"/>
        <v/>
      </c>
      <c r="N98" s="79" t="b">
        <v>0</v>
      </c>
      <c r="O98" s="80" t="str">
        <f t="shared" si="2"/>
        <v/>
      </c>
      <c r="P98" s="76"/>
      <c r="Q98" s="76"/>
      <c r="R98" s="76" t="b">
        <v>0</v>
      </c>
      <c r="S98" s="82" t="b">
        <v>0</v>
      </c>
      <c r="T98" s="76"/>
      <c r="U98" s="79"/>
      <c r="V98" s="90"/>
      <c r="W98" s="74"/>
      <c r="X98" s="74"/>
      <c r="Y98" s="74"/>
      <c r="Z98" s="74"/>
      <c r="AA98" s="74"/>
      <c r="AB98" s="74"/>
      <c r="AC98" s="74"/>
      <c r="AD98" s="74"/>
    </row>
    <row r="99">
      <c r="A99" s="75"/>
      <c r="B99" s="76"/>
      <c r="C99" s="77"/>
      <c r="D99" s="76"/>
      <c r="E99" s="76"/>
      <c r="F99" s="76"/>
      <c r="G99" s="76"/>
      <c r="H99" s="76"/>
      <c r="I99" s="75"/>
      <c r="J99" s="78"/>
      <c r="K99" s="76"/>
      <c r="L99" s="79" t="b">
        <v>0</v>
      </c>
      <c r="M99" s="80" t="str">
        <f t="shared" si="1"/>
        <v/>
      </c>
      <c r="N99" s="79" t="b">
        <v>0</v>
      </c>
      <c r="O99" s="80" t="str">
        <f t="shared" si="2"/>
        <v/>
      </c>
      <c r="P99" s="76"/>
      <c r="Q99" s="76"/>
      <c r="R99" s="76" t="b">
        <v>0</v>
      </c>
      <c r="S99" s="82" t="b">
        <v>0</v>
      </c>
      <c r="T99" s="76"/>
      <c r="U99" s="79"/>
      <c r="V99" s="90"/>
      <c r="W99" s="74"/>
      <c r="X99" s="74"/>
      <c r="Y99" s="74"/>
      <c r="Z99" s="74"/>
      <c r="AA99" s="74"/>
      <c r="AB99" s="74"/>
      <c r="AC99" s="74"/>
      <c r="AD99" s="74"/>
    </row>
    <row r="100">
      <c r="A100" s="75"/>
      <c r="B100" s="76"/>
      <c r="C100" s="77"/>
      <c r="D100" s="76"/>
      <c r="E100" s="76"/>
      <c r="F100" s="76"/>
      <c r="G100" s="76"/>
      <c r="H100" s="76"/>
      <c r="I100" s="75"/>
      <c r="J100" s="78"/>
      <c r="K100" s="76"/>
      <c r="L100" s="79" t="b">
        <v>0</v>
      </c>
      <c r="M100" s="80" t="str">
        <f t="shared" si="1"/>
        <v/>
      </c>
      <c r="N100" s="79" t="b">
        <v>0</v>
      </c>
      <c r="O100" s="80" t="str">
        <f t="shared" si="2"/>
        <v/>
      </c>
      <c r="P100" s="76"/>
      <c r="Q100" s="76"/>
      <c r="R100" s="76" t="b">
        <v>0</v>
      </c>
      <c r="S100" s="82" t="b">
        <v>0</v>
      </c>
      <c r="T100" s="76"/>
      <c r="U100" s="79"/>
      <c r="V100" s="90"/>
      <c r="W100" s="74"/>
      <c r="X100" s="74"/>
      <c r="Y100" s="74"/>
      <c r="Z100" s="74"/>
      <c r="AA100" s="74"/>
      <c r="AB100" s="74"/>
      <c r="AC100" s="74"/>
      <c r="AD100" s="74"/>
    </row>
    <row r="101">
      <c r="A101" s="75"/>
      <c r="B101" s="76"/>
      <c r="C101" s="77"/>
      <c r="D101" s="76"/>
      <c r="E101" s="76"/>
      <c r="F101" s="76"/>
      <c r="G101" s="76"/>
      <c r="H101" s="76"/>
      <c r="I101" s="75"/>
      <c r="J101" s="78"/>
      <c r="K101" s="76"/>
      <c r="L101" s="79" t="b">
        <v>0</v>
      </c>
      <c r="M101" s="80" t="str">
        <f t="shared" si="1"/>
        <v/>
      </c>
      <c r="N101" s="79" t="b">
        <v>0</v>
      </c>
      <c r="O101" s="80" t="str">
        <f t="shared" si="2"/>
        <v/>
      </c>
      <c r="P101" s="76"/>
      <c r="Q101" s="76"/>
      <c r="R101" s="76" t="b">
        <v>0</v>
      </c>
      <c r="S101" s="82" t="b">
        <v>0</v>
      </c>
      <c r="T101" s="76"/>
      <c r="U101" s="79"/>
      <c r="V101" s="83"/>
      <c r="W101" s="74"/>
      <c r="X101" s="74"/>
      <c r="Y101" s="74"/>
      <c r="Z101" s="74"/>
      <c r="AA101" s="74"/>
      <c r="AB101" s="74"/>
      <c r="AC101" s="74"/>
      <c r="AD101" s="74"/>
    </row>
    <row r="102">
      <c r="A102" s="75"/>
      <c r="B102" s="76"/>
      <c r="C102" s="77"/>
      <c r="D102" s="76"/>
      <c r="E102" s="76"/>
      <c r="F102" s="76"/>
      <c r="G102" s="76"/>
      <c r="H102" s="76"/>
      <c r="I102" s="75"/>
      <c r="J102" s="78"/>
      <c r="K102" s="76"/>
      <c r="L102" s="79" t="b">
        <v>0</v>
      </c>
      <c r="M102" s="80" t="str">
        <f t="shared" si="1"/>
        <v/>
      </c>
      <c r="N102" s="79" t="b">
        <v>0</v>
      </c>
      <c r="O102" s="80" t="str">
        <f t="shared" si="2"/>
        <v/>
      </c>
      <c r="P102" s="76"/>
      <c r="Q102" s="76"/>
      <c r="R102" s="76" t="b">
        <v>0</v>
      </c>
      <c r="S102" s="82" t="b">
        <v>0</v>
      </c>
      <c r="T102" s="76"/>
      <c r="U102" s="79"/>
      <c r="V102" s="90"/>
      <c r="W102" s="74"/>
      <c r="X102" s="74"/>
      <c r="Y102" s="74"/>
      <c r="Z102" s="74"/>
      <c r="AA102" s="74"/>
      <c r="AB102" s="74"/>
      <c r="AC102" s="74"/>
      <c r="AD102" s="74"/>
    </row>
    <row r="103">
      <c r="A103" s="75"/>
      <c r="B103" s="76"/>
      <c r="C103" s="77"/>
      <c r="D103" s="76"/>
      <c r="E103" s="76"/>
      <c r="F103" s="76"/>
      <c r="G103" s="76"/>
      <c r="H103" s="76"/>
      <c r="I103" s="75"/>
      <c r="J103" s="78"/>
      <c r="K103" s="76"/>
      <c r="L103" s="79" t="b">
        <v>0</v>
      </c>
      <c r="M103" s="80" t="str">
        <f t="shared" si="1"/>
        <v/>
      </c>
      <c r="N103" s="79" t="b">
        <v>0</v>
      </c>
      <c r="O103" s="80" t="str">
        <f t="shared" si="2"/>
        <v/>
      </c>
      <c r="P103" s="76"/>
      <c r="Q103" s="76"/>
      <c r="R103" s="76" t="b">
        <v>0</v>
      </c>
      <c r="S103" s="82" t="b">
        <v>0</v>
      </c>
      <c r="T103" s="76"/>
      <c r="U103" s="79"/>
      <c r="V103" s="90"/>
      <c r="W103" s="74"/>
      <c r="X103" s="74"/>
      <c r="Y103" s="74"/>
      <c r="Z103" s="74"/>
      <c r="AA103" s="74"/>
      <c r="AB103" s="74"/>
      <c r="AC103" s="74"/>
      <c r="AD103" s="74"/>
    </row>
    <row r="104">
      <c r="A104" s="75"/>
      <c r="B104" s="76"/>
      <c r="C104" s="77"/>
      <c r="D104" s="76"/>
      <c r="E104" s="76"/>
      <c r="F104" s="76"/>
      <c r="G104" s="76"/>
      <c r="H104" s="76"/>
      <c r="I104" s="75"/>
      <c r="J104" s="78"/>
      <c r="K104" s="76"/>
      <c r="L104" s="79" t="b">
        <v>0</v>
      </c>
      <c r="M104" s="80" t="str">
        <f t="shared" si="1"/>
        <v/>
      </c>
      <c r="N104" s="79" t="b">
        <v>0</v>
      </c>
      <c r="O104" s="80" t="str">
        <f t="shared" si="2"/>
        <v/>
      </c>
      <c r="P104" s="76"/>
      <c r="Q104" s="76"/>
      <c r="R104" s="76" t="b">
        <v>0</v>
      </c>
      <c r="S104" s="82" t="b">
        <v>0</v>
      </c>
      <c r="T104" s="76"/>
      <c r="U104" s="79"/>
      <c r="V104" s="90"/>
      <c r="W104" s="74"/>
      <c r="X104" s="74"/>
      <c r="Y104" s="74"/>
      <c r="Z104" s="74"/>
      <c r="AA104" s="74"/>
      <c r="AB104" s="74"/>
      <c r="AC104" s="74"/>
      <c r="AD104" s="74"/>
    </row>
    <row r="105">
      <c r="A105" s="75"/>
      <c r="B105" s="76"/>
      <c r="C105" s="77"/>
      <c r="D105" s="76"/>
      <c r="E105" s="76"/>
      <c r="F105" s="76"/>
      <c r="G105" s="76"/>
      <c r="H105" s="76"/>
      <c r="I105" s="75"/>
      <c r="J105" s="78"/>
      <c r="K105" s="76"/>
      <c r="L105" s="79" t="b">
        <v>0</v>
      </c>
      <c r="M105" s="80" t="str">
        <f t="shared" si="1"/>
        <v/>
      </c>
      <c r="N105" s="79" t="b">
        <v>0</v>
      </c>
      <c r="O105" s="80" t="str">
        <f t="shared" si="2"/>
        <v/>
      </c>
      <c r="P105" s="76"/>
      <c r="Q105" s="76"/>
      <c r="R105" s="76" t="b">
        <v>0</v>
      </c>
      <c r="S105" s="82" t="b">
        <v>0</v>
      </c>
      <c r="T105" s="76"/>
      <c r="U105" s="79"/>
      <c r="V105" s="90"/>
      <c r="W105" s="74"/>
      <c r="X105" s="74"/>
      <c r="Y105" s="74"/>
      <c r="Z105" s="74"/>
      <c r="AA105" s="74"/>
      <c r="AB105" s="74"/>
      <c r="AC105" s="74"/>
      <c r="AD105" s="74"/>
    </row>
    <row r="106">
      <c r="A106" s="75"/>
      <c r="B106" s="76"/>
      <c r="C106" s="77"/>
      <c r="D106" s="76"/>
      <c r="E106" s="76"/>
      <c r="F106" s="76"/>
      <c r="G106" s="76"/>
      <c r="H106" s="76"/>
      <c r="I106" s="75"/>
      <c r="J106" s="78"/>
      <c r="K106" s="76"/>
      <c r="L106" s="79" t="b">
        <v>0</v>
      </c>
      <c r="M106" s="80" t="str">
        <f t="shared" si="1"/>
        <v/>
      </c>
      <c r="N106" s="79" t="b">
        <v>0</v>
      </c>
      <c r="O106" s="80" t="str">
        <f t="shared" si="2"/>
        <v/>
      </c>
      <c r="P106" s="76"/>
      <c r="Q106" s="76"/>
      <c r="R106" s="76" t="b">
        <v>0</v>
      </c>
      <c r="S106" s="82" t="b">
        <v>0</v>
      </c>
      <c r="T106" s="76"/>
      <c r="U106" s="79"/>
      <c r="V106" s="90"/>
      <c r="W106" s="74"/>
      <c r="X106" s="74"/>
      <c r="Y106" s="74"/>
      <c r="Z106" s="74"/>
      <c r="AA106" s="74"/>
      <c r="AB106" s="74"/>
      <c r="AC106" s="74"/>
      <c r="AD106" s="74"/>
    </row>
    <row r="107">
      <c r="A107" s="75"/>
      <c r="B107" s="76"/>
      <c r="C107" s="77"/>
      <c r="D107" s="76"/>
      <c r="E107" s="76"/>
      <c r="F107" s="76"/>
      <c r="G107" s="76"/>
      <c r="H107" s="76"/>
      <c r="I107" s="75"/>
      <c r="J107" s="78"/>
      <c r="K107" s="76"/>
      <c r="L107" s="79" t="b">
        <v>0</v>
      </c>
      <c r="M107" s="80" t="str">
        <f t="shared" si="1"/>
        <v/>
      </c>
      <c r="N107" s="79" t="b">
        <v>0</v>
      </c>
      <c r="O107" s="80" t="str">
        <f t="shared" si="2"/>
        <v/>
      </c>
      <c r="P107" s="76"/>
      <c r="Q107" s="76"/>
      <c r="R107" s="76" t="b">
        <v>0</v>
      </c>
      <c r="S107" s="82" t="b">
        <v>0</v>
      </c>
      <c r="T107" s="76"/>
      <c r="U107" s="79"/>
      <c r="V107" s="90"/>
      <c r="W107" s="74"/>
      <c r="X107" s="74"/>
      <c r="Y107" s="74"/>
      <c r="Z107" s="74"/>
      <c r="AA107" s="74"/>
      <c r="AB107" s="74"/>
      <c r="AC107" s="74"/>
      <c r="AD107" s="74"/>
    </row>
    <row r="108">
      <c r="A108" s="75"/>
      <c r="B108" s="76"/>
      <c r="C108" s="77"/>
      <c r="D108" s="76"/>
      <c r="E108" s="76"/>
      <c r="F108" s="76"/>
      <c r="G108" s="76"/>
      <c r="H108" s="76"/>
      <c r="I108" s="75"/>
      <c r="J108" s="78"/>
      <c r="K108" s="76"/>
      <c r="L108" s="79" t="b">
        <v>0</v>
      </c>
      <c r="M108" s="80" t="str">
        <f t="shared" si="1"/>
        <v/>
      </c>
      <c r="N108" s="79" t="b">
        <v>0</v>
      </c>
      <c r="O108" s="80" t="str">
        <f t="shared" si="2"/>
        <v/>
      </c>
      <c r="P108" s="76"/>
      <c r="Q108" s="76"/>
      <c r="R108" s="76" t="b">
        <v>0</v>
      </c>
      <c r="S108" s="82" t="b">
        <v>0</v>
      </c>
      <c r="T108" s="76"/>
      <c r="U108" s="79"/>
      <c r="V108" s="90"/>
      <c r="W108" s="74"/>
      <c r="X108" s="74"/>
      <c r="Y108" s="74"/>
      <c r="Z108" s="74"/>
      <c r="AA108" s="74"/>
      <c r="AB108" s="74"/>
      <c r="AC108" s="74"/>
      <c r="AD108" s="74"/>
    </row>
    <row r="109">
      <c r="A109" s="75"/>
      <c r="B109" s="76"/>
      <c r="C109" s="77"/>
      <c r="D109" s="76"/>
      <c r="E109" s="76"/>
      <c r="F109" s="76"/>
      <c r="G109" s="76"/>
      <c r="H109" s="76"/>
      <c r="I109" s="75"/>
      <c r="J109" s="78"/>
      <c r="K109" s="76"/>
      <c r="L109" s="79" t="b">
        <v>0</v>
      </c>
      <c r="M109" s="80" t="str">
        <f t="shared" si="1"/>
        <v/>
      </c>
      <c r="N109" s="79" t="b">
        <v>0</v>
      </c>
      <c r="O109" s="80" t="str">
        <f t="shared" si="2"/>
        <v/>
      </c>
      <c r="P109" s="76"/>
      <c r="Q109" s="76"/>
      <c r="R109" s="76" t="b">
        <v>0</v>
      </c>
      <c r="S109" s="82" t="b">
        <v>0</v>
      </c>
      <c r="T109" s="76"/>
      <c r="U109" s="79"/>
      <c r="V109" s="90"/>
      <c r="W109" s="74"/>
      <c r="X109" s="74"/>
      <c r="Y109" s="74"/>
      <c r="Z109" s="74"/>
      <c r="AA109" s="74"/>
      <c r="AB109" s="74"/>
      <c r="AC109" s="74"/>
      <c r="AD109" s="74"/>
    </row>
    <row r="110">
      <c r="A110" s="75"/>
      <c r="B110" s="76"/>
      <c r="C110" s="77"/>
      <c r="D110" s="76"/>
      <c r="E110" s="76"/>
      <c r="F110" s="76"/>
      <c r="G110" s="76"/>
      <c r="H110" s="76"/>
      <c r="I110" s="75"/>
      <c r="J110" s="78"/>
      <c r="K110" s="76"/>
      <c r="L110" s="79" t="b">
        <v>0</v>
      </c>
      <c r="M110" s="80" t="str">
        <f t="shared" si="1"/>
        <v/>
      </c>
      <c r="N110" s="79" t="b">
        <v>0</v>
      </c>
      <c r="O110" s="80" t="str">
        <f t="shared" si="2"/>
        <v/>
      </c>
      <c r="P110" s="76"/>
      <c r="Q110" s="76"/>
      <c r="R110" s="76" t="b">
        <v>0</v>
      </c>
      <c r="S110" s="82" t="b">
        <v>0</v>
      </c>
      <c r="T110" s="76"/>
      <c r="U110" s="79"/>
      <c r="V110" s="90"/>
      <c r="W110" s="74"/>
      <c r="X110" s="74"/>
      <c r="Y110" s="74"/>
      <c r="Z110" s="74"/>
      <c r="AA110" s="74"/>
      <c r="AB110" s="74"/>
      <c r="AC110" s="74"/>
      <c r="AD110" s="74"/>
    </row>
    <row r="111">
      <c r="A111" s="75"/>
      <c r="B111" s="76"/>
      <c r="C111" s="77"/>
      <c r="D111" s="76"/>
      <c r="E111" s="76"/>
      <c r="F111" s="76"/>
      <c r="G111" s="76"/>
      <c r="H111" s="76"/>
      <c r="I111" s="75"/>
      <c r="J111" s="78"/>
      <c r="K111" s="76"/>
      <c r="L111" s="79" t="b">
        <v>0</v>
      </c>
      <c r="M111" s="80" t="str">
        <f t="shared" si="1"/>
        <v/>
      </c>
      <c r="N111" s="79" t="b">
        <v>0</v>
      </c>
      <c r="O111" s="80" t="str">
        <f t="shared" si="2"/>
        <v/>
      </c>
      <c r="P111" s="76"/>
      <c r="Q111" s="76"/>
      <c r="R111" s="76" t="b">
        <v>0</v>
      </c>
      <c r="S111" s="82" t="b">
        <v>0</v>
      </c>
      <c r="T111" s="76"/>
      <c r="U111" s="79"/>
      <c r="V111" s="90"/>
      <c r="W111" s="74"/>
      <c r="X111" s="74"/>
      <c r="Y111" s="74"/>
      <c r="Z111" s="74"/>
      <c r="AA111" s="74"/>
      <c r="AB111" s="74"/>
      <c r="AC111" s="74"/>
      <c r="AD111" s="74"/>
    </row>
    <row r="112">
      <c r="A112" s="75"/>
      <c r="B112" s="76"/>
      <c r="C112" s="77"/>
      <c r="D112" s="76"/>
      <c r="E112" s="76"/>
      <c r="F112" s="76"/>
      <c r="G112" s="76"/>
      <c r="H112" s="76"/>
      <c r="I112" s="75"/>
      <c r="J112" s="78"/>
      <c r="K112" s="76"/>
      <c r="L112" s="79" t="b">
        <v>0</v>
      </c>
      <c r="M112" s="80" t="str">
        <f t="shared" si="1"/>
        <v/>
      </c>
      <c r="N112" s="79" t="b">
        <v>0</v>
      </c>
      <c r="O112" s="80" t="str">
        <f t="shared" si="2"/>
        <v/>
      </c>
      <c r="P112" s="76"/>
      <c r="Q112" s="76"/>
      <c r="R112" s="76" t="b">
        <v>0</v>
      </c>
      <c r="S112" s="82" t="b">
        <v>0</v>
      </c>
      <c r="T112" s="76"/>
      <c r="U112" s="79"/>
      <c r="V112" s="90"/>
      <c r="W112" s="74"/>
      <c r="X112" s="74"/>
      <c r="Y112" s="74"/>
      <c r="Z112" s="74"/>
      <c r="AA112" s="74"/>
      <c r="AB112" s="74"/>
      <c r="AC112" s="74"/>
      <c r="AD112" s="74"/>
    </row>
    <row r="113">
      <c r="A113" s="75"/>
      <c r="B113" s="76"/>
      <c r="C113" s="77"/>
      <c r="D113" s="76"/>
      <c r="E113" s="76"/>
      <c r="F113" s="76"/>
      <c r="G113" s="76"/>
      <c r="H113" s="76"/>
      <c r="I113" s="75"/>
      <c r="J113" s="78"/>
      <c r="K113" s="76"/>
      <c r="L113" s="79" t="b">
        <v>0</v>
      </c>
      <c r="M113" s="80" t="str">
        <f t="shared" si="1"/>
        <v/>
      </c>
      <c r="N113" s="79" t="b">
        <v>0</v>
      </c>
      <c r="O113" s="80" t="str">
        <f t="shared" si="2"/>
        <v/>
      </c>
      <c r="P113" s="76"/>
      <c r="Q113" s="76"/>
      <c r="R113" s="76" t="b">
        <v>0</v>
      </c>
      <c r="S113" s="82" t="b">
        <v>0</v>
      </c>
      <c r="T113" s="76"/>
      <c r="U113" s="79"/>
      <c r="V113" s="90"/>
      <c r="W113" s="74"/>
      <c r="X113" s="74"/>
      <c r="Y113" s="74"/>
      <c r="Z113" s="74"/>
      <c r="AA113" s="74"/>
      <c r="AB113" s="74"/>
      <c r="AC113" s="74"/>
      <c r="AD113" s="74"/>
    </row>
    <row r="114">
      <c r="A114" s="75"/>
      <c r="B114" s="91"/>
      <c r="C114" s="92"/>
      <c r="D114" s="136"/>
      <c r="E114" s="94"/>
      <c r="F114" s="136"/>
      <c r="G114" s="137"/>
      <c r="H114" s="91"/>
      <c r="I114" s="75"/>
      <c r="J114" s="78"/>
      <c r="K114" s="76"/>
      <c r="L114" s="79" t="b">
        <v>0</v>
      </c>
      <c r="M114" s="80" t="str">
        <f t="shared" si="1"/>
        <v/>
      </c>
      <c r="N114" s="79" t="b">
        <v>0</v>
      </c>
      <c r="O114" s="80" t="str">
        <f t="shared" si="2"/>
        <v/>
      </c>
      <c r="P114" s="76"/>
      <c r="Q114" s="76"/>
      <c r="R114" s="76" t="b">
        <v>0</v>
      </c>
      <c r="S114" s="82" t="b">
        <v>0</v>
      </c>
      <c r="T114" s="76"/>
      <c r="U114" s="79"/>
      <c r="V114" s="90"/>
      <c r="W114" s="74"/>
      <c r="X114" s="74"/>
      <c r="Y114" s="74"/>
      <c r="Z114" s="74"/>
      <c r="AA114" s="74"/>
      <c r="AB114" s="74"/>
      <c r="AC114" s="74"/>
      <c r="AD114" s="74"/>
    </row>
    <row r="115">
      <c r="A115" s="75"/>
      <c r="B115" s="76"/>
      <c r="C115" s="77"/>
      <c r="D115" s="76"/>
      <c r="E115" s="76"/>
      <c r="F115" s="76"/>
      <c r="G115" s="76"/>
      <c r="H115" s="76"/>
      <c r="I115" s="75"/>
      <c r="J115" s="78"/>
      <c r="K115" s="76"/>
      <c r="L115" s="79" t="b">
        <v>0</v>
      </c>
      <c r="M115" s="80" t="str">
        <f t="shared" si="1"/>
        <v/>
      </c>
      <c r="N115" s="79" t="b">
        <v>0</v>
      </c>
      <c r="O115" s="80" t="str">
        <f t="shared" si="2"/>
        <v/>
      </c>
      <c r="P115" s="76"/>
      <c r="Q115" s="76"/>
      <c r="R115" s="76" t="b">
        <v>0</v>
      </c>
      <c r="S115" s="82" t="b">
        <v>0</v>
      </c>
      <c r="T115" s="76"/>
      <c r="U115" s="79"/>
      <c r="V115" s="90"/>
      <c r="W115" s="74"/>
      <c r="X115" s="74"/>
      <c r="Y115" s="74"/>
      <c r="Z115" s="74"/>
      <c r="AA115" s="74"/>
      <c r="AB115" s="74"/>
      <c r="AC115" s="74"/>
      <c r="AD115" s="74"/>
    </row>
    <row r="116">
      <c r="A116" s="75"/>
      <c r="B116" s="76"/>
      <c r="C116" s="77"/>
      <c r="D116" s="76"/>
      <c r="E116" s="76"/>
      <c r="F116" s="76"/>
      <c r="G116" s="76"/>
      <c r="H116" s="76"/>
      <c r="I116" s="75"/>
      <c r="J116" s="78"/>
      <c r="K116" s="76"/>
      <c r="L116" s="79" t="b">
        <v>0</v>
      </c>
      <c r="M116" s="80" t="str">
        <f t="shared" si="1"/>
        <v/>
      </c>
      <c r="N116" s="79" t="b">
        <v>0</v>
      </c>
      <c r="O116" s="80" t="str">
        <f t="shared" si="2"/>
        <v/>
      </c>
      <c r="P116" s="76"/>
      <c r="Q116" s="76"/>
      <c r="R116" s="76" t="b">
        <v>0</v>
      </c>
      <c r="S116" s="82" t="b">
        <v>0</v>
      </c>
      <c r="T116" s="76"/>
      <c r="U116" s="79"/>
      <c r="V116" s="90"/>
      <c r="W116" s="74"/>
      <c r="X116" s="74"/>
      <c r="Y116" s="74"/>
      <c r="Z116" s="74"/>
      <c r="AA116" s="74"/>
      <c r="AB116" s="74"/>
      <c r="AC116" s="74"/>
      <c r="AD116" s="74"/>
    </row>
    <row r="117">
      <c r="A117" s="75"/>
      <c r="B117" s="76"/>
      <c r="C117" s="77"/>
      <c r="D117" s="76"/>
      <c r="E117" s="76"/>
      <c r="F117" s="76"/>
      <c r="G117" s="76"/>
      <c r="H117" s="76"/>
      <c r="I117" s="75"/>
      <c r="J117" s="78"/>
      <c r="K117" s="76"/>
      <c r="L117" s="79" t="b">
        <v>0</v>
      </c>
      <c r="M117" s="80" t="str">
        <f t="shared" si="1"/>
        <v/>
      </c>
      <c r="N117" s="79" t="b">
        <v>0</v>
      </c>
      <c r="O117" s="80" t="str">
        <f t="shared" si="2"/>
        <v/>
      </c>
      <c r="P117" s="76"/>
      <c r="Q117" s="76"/>
      <c r="R117" s="76" t="b">
        <v>0</v>
      </c>
      <c r="S117" s="82" t="b">
        <v>0</v>
      </c>
      <c r="T117" s="76"/>
      <c r="U117" s="79"/>
      <c r="V117" s="90"/>
      <c r="W117" s="74"/>
      <c r="X117" s="74"/>
      <c r="Y117" s="74"/>
      <c r="Z117" s="74"/>
      <c r="AA117" s="74"/>
      <c r="AB117" s="74"/>
      <c r="AC117" s="74"/>
      <c r="AD117" s="74"/>
    </row>
    <row r="118">
      <c r="A118" s="75"/>
      <c r="B118" s="76"/>
      <c r="C118" s="77"/>
      <c r="D118" s="76"/>
      <c r="E118" s="76"/>
      <c r="F118" s="76"/>
      <c r="G118" s="76"/>
      <c r="H118" s="76"/>
      <c r="I118" s="75"/>
      <c r="J118" s="78"/>
      <c r="K118" s="76"/>
      <c r="L118" s="79" t="b">
        <v>0</v>
      </c>
      <c r="M118" s="80" t="str">
        <f t="shared" si="1"/>
        <v/>
      </c>
      <c r="N118" s="79" t="b">
        <v>0</v>
      </c>
      <c r="O118" s="80" t="str">
        <f t="shared" si="2"/>
        <v/>
      </c>
      <c r="P118" s="76"/>
      <c r="Q118" s="76"/>
      <c r="R118" s="76" t="b">
        <v>0</v>
      </c>
      <c r="S118" s="82" t="b">
        <v>0</v>
      </c>
      <c r="T118" s="76"/>
      <c r="U118" s="79"/>
      <c r="V118" s="90"/>
      <c r="W118" s="74"/>
      <c r="X118" s="74"/>
      <c r="Y118" s="74"/>
      <c r="Z118" s="74"/>
      <c r="AA118" s="74"/>
      <c r="AB118" s="74"/>
      <c r="AC118" s="74"/>
      <c r="AD118" s="74"/>
    </row>
    <row r="119">
      <c r="A119" s="75"/>
      <c r="B119" s="76"/>
      <c r="C119" s="77"/>
      <c r="D119" s="76"/>
      <c r="E119" s="76"/>
      <c r="F119" s="76"/>
      <c r="G119" s="76"/>
      <c r="H119" s="76"/>
      <c r="I119" s="75"/>
      <c r="J119" s="78"/>
      <c r="K119" s="76"/>
      <c r="L119" s="79" t="b">
        <v>0</v>
      </c>
      <c r="M119" s="80" t="str">
        <f t="shared" si="1"/>
        <v/>
      </c>
      <c r="N119" s="79" t="b">
        <v>0</v>
      </c>
      <c r="O119" s="80" t="str">
        <f t="shared" si="2"/>
        <v/>
      </c>
      <c r="P119" s="76"/>
      <c r="Q119" s="76"/>
      <c r="R119" s="76" t="b">
        <v>0</v>
      </c>
      <c r="S119" s="82" t="b">
        <v>0</v>
      </c>
      <c r="T119" s="76"/>
      <c r="U119" s="79"/>
      <c r="V119" s="90"/>
      <c r="W119" s="74"/>
      <c r="X119" s="74"/>
      <c r="Y119" s="74"/>
      <c r="Z119" s="74"/>
      <c r="AA119" s="74"/>
      <c r="AB119" s="74"/>
      <c r="AC119" s="74"/>
      <c r="AD119" s="74"/>
    </row>
    <row r="120">
      <c r="A120" s="75"/>
      <c r="B120" s="76"/>
      <c r="C120" s="77"/>
      <c r="D120" s="76"/>
      <c r="E120" s="76"/>
      <c r="F120" s="76"/>
      <c r="G120" s="76"/>
      <c r="H120" s="76"/>
      <c r="I120" s="75"/>
      <c r="J120" s="78"/>
      <c r="K120" s="76"/>
      <c r="L120" s="79" t="b">
        <v>0</v>
      </c>
      <c r="M120" s="80" t="str">
        <f t="shared" si="1"/>
        <v/>
      </c>
      <c r="N120" s="79" t="b">
        <v>0</v>
      </c>
      <c r="O120" s="80" t="str">
        <f t="shared" si="2"/>
        <v/>
      </c>
      <c r="P120" s="76"/>
      <c r="Q120" s="76"/>
      <c r="R120" s="76" t="b">
        <v>0</v>
      </c>
      <c r="S120" s="82" t="b">
        <v>0</v>
      </c>
      <c r="T120" s="76"/>
      <c r="U120" s="79"/>
      <c r="V120" s="90"/>
      <c r="W120" s="74"/>
      <c r="X120" s="74"/>
      <c r="Y120" s="74"/>
      <c r="Z120" s="74"/>
      <c r="AA120" s="74"/>
      <c r="AB120" s="74"/>
      <c r="AC120" s="74"/>
      <c r="AD120" s="74"/>
    </row>
    <row r="121">
      <c r="A121" s="75"/>
      <c r="B121" s="76"/>
      <c r="C121" s="77"/>
      <c r="D121" s="76"/>
      <c r="E121" s="76"/>
      <c r="F121" s="76"/>
      <c r="G121" s="76"/>
      <c r="H121" s="76"/>
      <c r="I121" s="75"/>
      <c r="J121" s="78"/>
      <c r="K121" s="76"/>
      <c r="L121" s="79" t="b">
        <v>0</v>
      </c>
      <c r="M121" s="80" t="str">
        <f t="shared" si="1"/>
        <v/>
      </c>
      <c r="N121" s="79" t="b">
        <v>0</v>
      </c>
      <c r="O121" s="80" t="str">
        <f t="shared" si="2"/>
        <v/>
      </c>
      <c r="P121" s="76"/>
      <c r="Q121" s="76"/>
      <c r="R121" s="76" t="b">
        <v>0</v>
      </c>
      <c r="S121" s="82" t="b">
        <v>0</v>
      </c>
      <c r="T121" s="76"/>
      <c r="U121" s="79"/>
      <c r="V121" s="90"/>
      <c r="W121" s="74"/>
      <c r="X121" s="74"/>
      <c r="Y121" s="74"/>
      <c r="Z121" s="74"/>
      <c r="AA121" s="74"/>
      <c r="AB121" s="74"/>
      <c r="AC121" s="74"/>
      <c r="AD121" s="74"/>
    </row>
    <row r="122">
      <c r="A122" s="75"/>
      <c r="B122" s="76"/>
      <c r="C122" s="77"/>
      <c r="D122" s="76"/>
      <c r="E122" s="76"/>
      <c r="F122" s="76"/>
      <c r="G122" s="76"/>
      <c r="H122" s="76"/>
      <c r="I122" s="75"/>
      <c r="J122" s="78"/>
      <c r="K122" s="76"/>
      <c r="L122" s="79" t="b">
        <v>0</v>
      </c>
      <c r="M122" s="80" t="str">
        <f t="shared" si="1"/>
        <v/>
      </c>
      <c r="N122" s="79" t="b">
        <v>0</v>
      </c>
      <c r="O122" s="80" t="str">
        <f t="shared" si="2"/>
        <v/>
      </c>
      <c r="P122" s="76"/>
      <c r="Q122" s="76"/>
      <c r="R122" s="76" t="b">
        <v>0</v>
      </c>
      <c r="S122" s="82" t="b">
        <v>0</v>
      </c>
      <c r="T122" s="76"/>
      <c r="U122" s="79"/>
      <c r="V122" s="90"/>
      <c r="W122" s="74"/>
      <c r="X122" s="74"/>
      <c r="Y122" s="74"/>
      <c r="Z122" s="74"/>
      <c r="AA122" s="74"/>
      <c r="AB122" s="74"/>
      <c r="AC122" s="74"/>
      <c r="AD122" s="74"/>
    </row>
    <row r="123">
      <c r="A123" s="75"/>
      <c r="B123" s="76"/>
      <c r="C123" s="77"/>
      <c r="D123" s="76"/>
      <c r="E123" s="76"/>
      <c r="F123" s="76"/>
      <c r="G123" s="76"/>
      <c r="H123" s="76"/>
      <c r="I123" s="75"/>
      <c r="J123" s="78"/>
      <c r="K123" s="76"/>
      <c r="L123" s="79" t="b">
        <v>0</v>
      </c>
      <c r="M123" s="80" t="str">
        <f t="shared" si="1"/>
        <v/>
      </c>
      <c r="N123" s="79" t="b">
        <v>0</v>
      </c>
      <c r="O123" s="80" t="str">
        <f t="shared" si="2"/>
        <v/>
      </c>
      <c r="P123" s="76"/>
      <c r="Q123" s="76"/>
      <c r="R123" s="76" t="b">
        <v>0</v>
      </c>
      <c r="S123" s="82" t="b">
        <v>0</v>
      </c>
      <c r="T123" s="76"/>
      <c r="U123" s="79"/>
      <c r="V123" s="90"/>
      <c r="W123" s="74"/>
      <c r="X123" s="74"/>
      <c r="Y123" s="74"/>
      <c r="Z123" s="74"/>
      <c r="AA123" s="74"/>
      <c r="AB123" s="74"/>
      <c r="AC123" s="74"/>
      <c r="AD123" s="74"/>
    </row>
    <row r="124">
      <c r="A124" s="75"/>
      <c r="B124" s="76"/>
      <c r="C124" s="77"/>
      <c r="D124" s="76"/>
      <c r="E124" s="76"/>
      <c r="F124" s="76"/>
      <c r="G124" s="76"/>
      <c r="H124" s="76"/>
      <c r="I124" s="75"/>
      <c r="J124" s="78"/>
      <c r="K124" s="76"/>
      <c r="L124" s="79" t="b">
        <v>0</v>
      </c>
      <c r="M124" s="80" t="str">
        <f t="shared" si="1"/>
        <v/>
      </c>
      <c r="N124" s="79" t="b">
        <v>0</v>
      </c>
      <c r="O124" s="80" t="str">
        <f t="shared" si="2"/>
        <v/>
      </c>
      <c r="P124" s="76"/>
      <c r="Q124" s="76"/>
      <c r="R124" s="76" t="b">
        <v>0</v>
      </c>
      <c r="S124" s="82" t="b">
        <v>0</v>
      </c>
      <c r="T124" s="76"/>
      <c r="U124" s="79"/>
      <c r="V124" s="90"/>
      <c r="W124" s="74"/>
      <c r="X124" s="74"/>
      <c r="Y124" s="74"/>
      <c r="Z124" s="74"/>
      <c r="AA124" s="74"/>
      <c r="AB124" s="74"/>
      <c r="AC124" s="74"/>
      <c r="AD124" s="74"/>
    </row>
    <row r="125">
      <c r="A125" s="75"/>
      <c r="B125" s="76"/>
      <c r="C125" s="77"/>
      <c r="D125" s="76"/>
      <c r="E125" s="76"/>
      <c r="F125" s="76"/>
      <c r="G125" s="76"/>
      <c r="H125" s="76"/>
      <c r="I125" s="75"/>
      <c r="J125" s="78"/>
      <c r="K125" s="76"/>
      <c r="L125" s="79" t="b">
        <v>0</v>
      </c>
      <c r="M125" s="80" t="str">
        <f t="shared" si="1"/>
        <v/>
      </c>
      <c r="N125" s="79" t="b">
        <v>0</v>
      </c>
      <c r="O125" s="80" t="str">
        <f t="shared" si="2"/>
        <v/>
      </c>
      <c r="P125" s="76"/>
      <c r="Q125" s="76"/>
      <c r="R125" s="76" t="b">
        <v>0</v>
      </c>
      <c r="S125" s="82" t="b">
        <v>0</v>
      </c>
      <c r="T125" s="76"/>
      <c r="U125" s="79"/>
      <c r="V125" s="90"/>
      <c r="W125" s="74"/>
      <c r="X125" s="74"/>
      <c r="Y125" s="74"/>
      <c r="Z125" s="74"/>
      <c r="AA125" s="74"/>
      <c r="AB125" s="74"/>
      <c r="AC125" s="74"/>
      <c r="AD125" s="74"/>
    </row>
    <row r="126">
      <c r="A126" s="75"/>
      <c r="B126" s="76"/>
      <c r="C126" s="77"/>
      <c r="D126" s="76"/>
      <c r="E126" s="76"/>
      <c r="F126" s="76"/>
      <c r="G126" s="76"/>
      <c r="H126" s="76"/>
      <c r="I126" s="75"/>
      <c r="J126" s="78"/>
      <c r="K126" s="76"/>
      <c r="L126" s="79" t="b">
        <v>0</v>
      </c>
      <c r="M126" s="80" t="str">
        <f t="shared" si="1"/>
        <v/>
      </c>
      <c r="N126" s="79" t="b">
        <v>0</v>
      </c>
      <c r="O126" s="80" t="str">
        <f t="shared" si="2"/>
        <v/>
      </c>
      <c r="P126" s="76"/>
      <c r="Q126" s="76"/>
      <c r="R126" s="76" t="b">
        <v>0</v>
      </c>
      <c r="S126" s="82" t="b">
        <v>0</v>
      </c>
      <c r="T126" s="76"/>
      <c r="U126" s="79"/>
      <c r="V126" s="90"/>
      <c r="W126" s="74"/>
      <c r="X126" s="74"/>
      <c r="Y126" s="74"/>
      <c r="Z126" s="74"/>
      <c r="AA126" s="74"/>
      <c r="AB126" s="74"/>
      <c r="AC126" s="74"/>
      <c r="AD126" s="74"/>
    </row>
    <row r="127">
      <c r="A127" s="75"/>
      <c r="B127" s="76"/>
      <c r="C127" s="77"/>
      <c r="D127" s="76"/>
      <c r="E127" s="76"/>
      <c r="F127" s="76"/>
      <c r="G127" s="76"/>
      <c r="H127" s="76"/>
      <c r="I127" s="75"/>
      <c r="J127" s="78"/>
      <c r="K127" s="76"/>
      <c r="L127" s="79" t="b">
        <v>0</v>
      </c>
      <c r="M127" s="80" t="str">
        <f t="shared" si="1"/>
        <v/>
      </c>
      <c r="N127" s="79" t="b">
        <v>0</v>
      </c>
      <c r="O127" s="80" t="str">
        <f t="shared" si="2"/>
        <v/>
      </c>
      <c r="P127" s="76"/>
      <c r="Q127" s="76"/>
      <c r="R127" s="76" t="b">
        <v>0</v>
      </c>
      <c r="S127" s="82" t="b">
        <v>0</v>
      </c>
      <c r="T127" s="76"/>
      <c r="U127" s="79"/>
      <c r="V127" s="90"/>
      <c r="W127" s="74"/>
      <c r="X127" s="74"/>
      <c r="Y127" s="74"/>
      <c r="Z127" s="74"/>
      <c r="AA127" s="74"/>
      <c r="AB127" s="74"/>
      <c r="AC127" s="74"/>
      <c r="AD127" s="74"/>
    </row>
    <row r="128">
      <c r="A128" s="75"/>
      <c r="B128" s="76"/>
      <c r="C128" s="77"/>
      <c r="D128" s="76"/>
      <c r="E128" s="76"/>
      <c r="F128" s="76"/>
      <c r="G128" s="76"/>
      <c r="H128" s="76"/>
      <c r="I128" s="75"/>
      <c r="J128" s="78"/>
      <c r="K128" s="76"/>
      <c r="L128" s="79" t="b">
        <v>0</v>
      </c>
      <c r="M128" s="80" t="str">
        <f t="shared" si="1"/>
        <v/>
      </c>
      <c r="N128" s="79" t="b">
        <v>0</v>
      </c>
      <c r="O128" s="80" t="str">
        <f t="shared" si="2"/>
        <v/>
      </c>
      <c r="P128" s="76"/>
      <c r="Q128" s="76"/>
      <c r="R128" s="76" t="b">
        <v>0</v>
      </c>
      <c r="S128" s="82" t="b">
        <v>0</v>
      </c>
      <c r="T128" s="76"/>
      <c r="U128" s="79"/>
      <c r="V128" s="90"/>
      <c r="W128" s="74"/>
      <c r="X128" s="74"/>
      <c r="Y128" s="74"/>
      <c r="Z128" s="74"/>
      <c r="AA128" s="74"/>
      <c r="AB128" s="74"/>
      <c r="AC128" s="74"/>
      <c r="AD128" s="74"/>
    </row>
    <row r="129">
      <c r="A129" s="75"/>
      <c r="B129" s="76"/>
      <c r="C129" s="77"/>
      <c r="D129" s="76"/>
      <c r="E129" s="76"/>
      <c r="F129" s="76"/>
      <c r="G129" s="76"/>
      <c r="H129" s="76"/>
      <c r="I129" s="75"/>
      <c r="J129" s="78"/>
      <c r="K129" s="76"/>
      <c r="L129" s="79" t="b">
        <v>0</v>
      </c>
      <c r="M129" s="80" t="str">
        <f t="shared" si="1"/>
        <v/>
      </c>
      <c r="N129" s="79" t="b">
        <v>0</v>
      </c>
      <c r="O129" s="80" t="str">
        <f t="shared" si="2"/>
        <v/>
      </c>
      <c r="P129" s="76"/>
      <c r="Q129" s="76"/>
      <c r="R129" s="76" t="b">
        <v>0</v>
      </c>
      <c r="S129" s="82" t="b">
        <v>0</v>
      </c>
      <c r="T129" s="76"/>
      <c r="U129" s="79"/>
      <c r="V129" s="90"/>
      <c r="W129" s="74"/>
      <c r="X129" s="74"/>
      <c r="Y129" s="74"/>
      <c r="Z129" s="74"/>
      <c r="AA129" s="74"/>
      <c r="AB129" s="74"/>
      <c r="AC129" s="74"/>
      <c r="AD129" s="74"/>
    </row>
    <row r="130">
      <c r="A130" s="75"/>
      <c r="B130" s="76"/>
      <c r="C130" s="77"/>
      <c r="D130" s="76"/>
      <c r="E130" s="76"/>
      <c r="F130" s="76"/>
      <c r="G130" s="76"/>
      <c r="H130" s="76"/>
      <c r="I130" s="75"/>
      <c r="J130" s="78"/>
      <c r="K130" s="76"/>
      <c r="L130" s="79" t="b">
        <v>0</v>
      </c>
      <c r="M130" s="80" t="str">
        <f t="shared" si="1"/>
        <v/>
      </c>
      <c r="N130" s="79" t="b">
        <v>0</v>
      </c>
      <c r="O130" s="80" t="str">
        <f t="shared" si="2"/>
        <v/>
      </c>
      <c r="P130" s="76"/>
      <c r="Q130" s="76"/>
      <c r="R130" s="76" t="b">
        <v>0</v>
      </c>
      <c r="S130" s="82" t="b">
        <v>0</v>
      </c>
      <c r="T130" s="76"/>
      <c r="U130" s="79"/>
      <c r="V130" s="90"/>
      <c r="W130" s="74"/>
      <c r="X130" s="74"/>
      <c r="Y130" s="74"/>
      <c r="Z130" s="74"/>
      <c r="AA130" s="74"/>
      <c r="AB130" s="74"/>
      <c r="AC130" s="74"/>
      <c r="AD130" s="74"/>
    </row>
    <row r="131">
      <c r="A131" s="75"/>
      <c r="B131" s="76"/>
      <c r="C131" s="77"/>
      <c r="D131" s="76"/>
      <c r="E131" s="76"/>
      <c r="F131" s="76"/>
      <c r="G131" s="76"/>
      <c r="H131" s="76"/>
      <c r="I131" s="75"/>
      <c r="J131" s="78"/>
      <c r="K131" s="76"/>
      <c r="L131" s="79" t="b">
        <v>0</v>
      </c>
      <c r="M131" s="80" t="str">
        <f t="shared" si="1"/>
        <v/>
      </c>
      <c r="N131" s="79" t="b">
        <v>0</v>
      </c>
      <c r="O131" s="80" t="str">
        <f t="shared" si="2"/>
        <v/>
      </c>
      <c r="P131" s="76"/>
      <c r="Q131" s="76"/>
      <c r="R131" s="76" t="b">
        <v>0</v>
      </c>
      <c r="S131" s="82" t="b">
        <v>0</v>
      </c>
      <c r="T131" s="76"/>
      <c r="U131" s="79"/>
      <c r="V131" s="90"/>
      <c r="W131" s="74"/>
      <c r="X131" s="74"/>
      <c r="Y131" s="74"/>
      <c r="Z131" s="74"/>
      <c r="AA131" s="74"/>
      <c r="AB131" s="74"/>
      <c r="AC131" s="74"/>
      <c r="AD131" s="74"/>
    </row>
    <row r="132">
      <c r="A132" s="75"/>
      <c r="B132" s="76"/>
      <c r="C132" s="77"/>
      <c r="D132" s="76"/>
      <c r="E132" s="76"/>
      <c r="F132" s="76"/>
      <c r="G132" s="76"/>
      <c r="H132" s="76"/>
      <c r="I132" s="75"/>
      <c r="J132" s="78"/>
      <c r="K132" s="76"/>
      <c r="L132" s="79" t="b">
        <v>0</v>
      </c>
      <c r="M132" s="80" t="str">
        <f t="shared" si="1"/>
        <v/>
      </c>
      <c r="N132" s="79" t="b">
        <v>0</v>
      </c>
      <c r="O132" s="80" t="str">
        <f t="shared" si="2"/>
        <v/>
      </c>
      <c r="P132" s="76"/>
      <c r="Q132" s="76"/>
      <c r="R132" s="76" t="b">
        <v>0</v>
      </c>
      <c r="S132" s="82" t="b">
        <v>0</v>
      </c>
      <c r="T132" s="76"/>
      <c r="U132" s="79"/>
      <c r="V132" s="90"/>
      <c r="W132" s="74"/>
      <c r="X132" s="74"/>
      <c r="Y132" s="74"/>
      <c r="Z132" s="74"/>
      <c r="AA132" s="74"/>
      <c r="AB132" s="74"/>
      <c r="AC132" s="74"/>
      <c r="AD132" s="74"/>
    </row>
    <row r="133">
      <c r="A133" s="75"/>
      <c r="B133" s="76"/>
      <c r="C133" s="77"/>
      <c r="D133" s="76"/>
      <c r="E133" s="76"/>
      <c r="F133" s="76"/>
      <c r="G133" s="76"/>
      <c r="H133" s="76"/>
      <c r="I133" s="75"/>
      <c r="J133" s="78"/>
      <c r="K133" s="76"/>
      <c r="L133" s="79" t="b">
        <v>0</v>
      </c>
      <c r="M133" s="80" t="str">
        <f t="shared" si="1"/>
        <v/>
      </c>
      <c r="N133" s="79" t="b">
        <v>0</v>
      </c>
      <c r="O133" s="80" t="str">
        <f t="shared" si="2"/>
        <v/>
      </c>
      <c r="P133" s="76"/>
      <c r="Q133" s="76"/>
      <c r="R133" s="76" t="b">
        <v>0</v>
      </c>
      <c r="S133" s="82" t="b">
        <v>0</v>
      </c>
      <c r="T133" s="76"/>
      <c r="U133" s="79"/>
      <c r="V133" s="90"/>
      <c r="W133" s="74"/>
      <c r="X133" s="74"/>
      <c r="Y133" s="74"/>
      <c r="Z133" s="74"/>
      <c r="AA133" s="74"/>
      <c r="AB133" s="74"/>
      <c r="AC133" s="74"/>
      <c r="AD133" s="74"/>
    </row>
    <row r="134">
      <c r="A134" s="75"/>
      <c r="B134" s="76"/>
      <c r="C134" s="77"/>
      <c r="D134" s="76"/>
      <c r="E134" s="76"/>
      <c r="F134" s="76"/>
      <c r="G134" s="76"/>
      <c r="H134" s="76"/>
      <c r="I134" s="75"/>
      <c r="J134" s="78"/>
      <c r="K134" s="76"/>
      <c r="L134" s="79" t="b">
        <v>0</v>
      </c>
      <c r="M134" s="80" t="str">
        <f t="shared" si="1"/>
        <v/>
      </c>
      <c r="N134" s="79" t="b">
        <v>0</v>
      </c>
      <c r="O134" s="80" t="str">
        <f t="shared" si="2"/>
        <v/>
      </c>
      <c r="P134" s="76"/>
      <c r="Q134" s="76"/>
      <c r="R134" s="76" t="b">
        <v>0</v>
      </c>
      <c r="S134" s="82" t="b">
        <v>0</v>
      </c>
      <c r="T134" s="76"/>
      <c r="U134" s="79"/>
      <c r="V134" s="90"/>
      <c r="W134" s="74"/>
      <c r="X134" s="74"/>
      <c r="Y134" s="74"/>
      <c r="Z134" s="74"/>
      <c r="AA134" s="74"/>
      <c r="AB134" s="74"/>
      <c r="AC134" s="74"/>
      <c r="AD134" s="74"/>
    </row>
    <row r="135">
      <c r="A135" s="75"/>
      <c r="B135" s="76"/>
      <c r="C135" s="77"/>
      <c r="D135" s="76"/>
      <c r="E135" s="76"/>
      <c r="F135" s="76"/>
      <c r="G135" s="76"/>
      <c r="H135" s="76"/>
      <c r="I135" s="75"/>
      <c r="J135" s="78"/>
      <c r="K135" s="76"/>
      <c r="L135" s="79" t="b">
        <v>0</v>
      </c>
      <c r="M135" s="80" t="str">
        <f t="shared" si="1"/>
        <v/>
      </c>
      <c r="N135" s="79" t="b">
        <v>0</v>
      </c>
      <c r="O135" s="80" t="str">
        <f t="shared" si="2"/>
        <v/>
      </c>
      <c r="P135" s="76"/>
      <c r="Q135" s="76"/>
      <c r="R135" s="76" t="b">
        <v>0</v>
      </c>
      <c r="S135" s="82" t="b">
        <v>0</v>
      </c>
      <c r="T135" s="76"/>
      <c r="U135" s="79"/>
      <c r="V135" s="90"/>
      <c r="W135" s="74"/>
      <c r="X135" s="74"/>
      <c r="Y135" s="74"/>
      <c r="Z135" s="74"/>
      <c r="AA135" s="74"/>
      <c r="AB135" s="74"/>
      <c r="AC135" s="74"/>
      <c r="AD135" s="74"/>
    </row>
    <row r="136">
      <c r="A136" s="75"/>
      <c r="B136" s="76"/>
      <c r="C136" s="77"/>
      <c r="D136" s="76"/>
      <c r="E136" s="76"/>
      <c r="F136" s="76"/>
      <c r="G136" s="76"/>
      <c r="H136" s="76"/>
      <c r="I136" s="75"/>
      <c r="J136" s="78"/>
      <c r="K136" s="76"/>
      <c r="L136" s="79" t="b">
        <v>0</v>
      </c>
      <c r="M136" s="80" t="str">
        <f t="shared" si="1"/>
        <v/>
      </c>
      <c r="N136" s="79" t="b">
        <v>0</v>
      </c>
      <c r="O136" s="80" t="str">
        <f t="shared" si="2"/>
        <v/>
      </c>
      <c r="P136" s="76"/>
      <c r="Q136" s="76"/>
      <c r="R136" s="76" t="b">
        <v>0</v>
      </c>
      <c r="S136" s="82" t="b">
        <v>0</v>
      </c>
      <c r="T136" s="76"/>
      <c r="U136" s="79"/>
      <c r="V136" s="90"/>
      <c r="W136" s="74"/>
      <c r="X136" s="74"/>
      <c r="Y136" s="74"/>
      <c r="Z136" s="74"/>
      <c r="AA136" s="74"/>
      <c r="AB136" s="74"/>
      <c r="AC136" s="74"/>
      <c r="AD136" s="74"/>
    </row>
    <row r="137">
      <c r="A137" s="75"/>
      <c r="B137" s="76"/>
      <c r="C137" s="77"/>
      <c r="D137" s="76"/>
      <c r="E137" s="76"/>
      <c r="F137" s="76"/>
      <c r="G137" s="76"/>
      <c r="H137" s="76"/>
      <c r="I137" s="75"/>
      <c r="J137" s="78"/>
      <c r="K137" s="76"/>
      <c r="L137" s="79" t="b">
        <v>0</v>
      </c>
      <c r="M137" s="80" t="str">
        <f t="shared" si="1"/>
        <v/>
      </c>
      <c r="N137" s="79" t="b">
        <v>0</v>
      </c>
      <c r="O137" s="80" t="str">
        <f t="shared" si="2"/>
        <v/>
      </c>
      <c r="P137" s="76"/>
      <c r="Q137" s="76"/>
      <c r="R137" s="76" t="b">
        <v>0</v>
      </c>
      <c r="S137" s="82" t="b">
        <v>0</v>
      </c>
      <c r="T137" s="76"/>
      <c r="U137" s="79"/>
      <c r="V137" s="90"/>
      <c r="W137" s="74"/>
      <c r="X137" s="74"/>
      <c r="Y137" s="74"/>
      <c r="Z137" s="74"/>
      <c r="AA137" s="74"/>
      <c r="AB137" s="74"/>
      <c r="AC137" s="74"/>
      <c r="AD137" s="74"/>
    </row>
    <row r="138">
      <c r="A138" s="75"/>
      <c r="B138" s="76"/>
      <c r="C138" s="77"/>
      <c r="D138" s="76"/>
      <c r="E138" s="76"/>
      <c r="F138" s="76"/>
      <c r="G138" s="76"/>
      <c r="H138" s="76"/>
      <c r="I138" s="75"/>
      <c r="J138" s="78"/>
      <c r="K138" s="76"/>
      <c r="L138" s="79" t="b">
        <v>0</v>
      </c>
      <c r="M138" s="80" t="str">
        <f t="shared" si="1"/>
        <v/>
      </c>
      <c r="N138" s="79" t="b">
        <v>0</v>
      </c>
      <c r="O138" s="80" t="str">
        <f t="shared" si="2"/>
        <v/>
      </c>
      <c r="P138" s="76"/>
      <c r="Q138" s="76"/>
      <c r="R138" s="76" t="b">
        <v>0</v>
      </c>
      <c r="S138" s="82" t="b">
        <v>0</v>
      </c>
      <c r="T138" s="76"/>
      <c r="U138" s="79"/>
      <c r="V138" s="90"/>
      <c r="W138" s="118"/>
      <c r="X138" s="74"/>
      <c r="Y138" s="74"/>
      <c r="Z138" s="74"/>
      <c r="AA138" s="74"/>
      <c r="AB138" s="74"/>
      <c r="AC138" s="74"/>
      <c r="AD138" s="74"/>
    </row>
    <row r="139">
      <c r="A139" s="75"/>
      <c r="B139" s="76"/>
      <c r="C139" s="77"/>
      <c r="D139" s="76"/>
      <c r="E139" s="76"/>
      <c r="F139" s="76"/>
      <c r="G139" s="76"/>
      <c r="H139" s="76"/>
      <c r="I139" s="75"/>
      <c r="J139" s="78"/>
      <c r="K139" s="76"/>
      <c r="L139" s="79" t="b">
        <v>0</v>
      </c>
      <c r="M139" s="80" t="str">
        <f t="shared" si="1"/>
        <v/>
      </c>
      <c r="N139" s="79" t="b">
        <v>0</v>
      </c>
      <c r="O139" s="80" t="str">
        <f t="shared" si="2"/>
        <v/>
      </c>
      <c r="P139" s="76"/>
      <c r="Q139" s="76"/>
      <c r="R139" s="76" t="b">
        <v>0</v>
      </c>
      <c r="S139" s="82" t="b">
        <v>0</v>
      </c>
      <c r="T139" s="76"/>
      <c r="U139" s="79"/>
      <c r="V139" s="90"/>
      <c r="W139" s="74"/>
      <c r="X139" s="74"/>
      <c r="Y139" s="74"/>
      <c r="Z139" s="74"/>
      <c r="AA139" s="74"/>
      <c r="AB139" s="74"/>
      <c r="AC139" s="74"/>
      <c r="AD139" s="74"/>
    </row>
    <row r="140">
      <c r="A140" s="75"/>
      <c r="B140" s="76"/>
      <c r="C140" s="77"/>
      <c r="D140" s="76"/>
      <c r="E140" s="76"/>
      <c r="F140" s="76"/>
      <c r="G140" s="76"/>
      <c r="H140" s="76"/>
      <c r="I140" s="75"/>
      <c r="J140" s="78"/>
      <c r="K140" s="76"/>
      <c r="L140" s="79" t="b">
        <v>0</v>
      </c>
      <c r="M140" s="80" t="str">
        <f t="shared" si="1"/>
        <v/>
      </c>
      <c r="N140" s="79" t="b">
        <v>0</v>
      </c>
      <c r="O140" s="80" t="str">
        <f t="shared" si="2"/>
        <v/>
      </c>
      <c r="P140" s="76"/>
      <c r="Q140" s="76"/>
      <c r="R140" s="76" t="b">
        <v>0</v>
      </c>
      <c r="S140" s="82" t="b">
        <v>0</v>
      </c>
      <c r="T140" s="76"/>
      <c r="U140" s="79"/>
      <c r="V140" s="90"/>
      <c r="W140" s="74"/>
      <c r="X140" s="74"/>
      <c r="Y140" s="74"/>
      <c r="Z140" s="74"/>
      <c r="AA140" s="74"/>
      <c r="AB140" s="74"/>
      <c r="AC140" s="74"/>
      <c r="AD140" s="74"/>
    </row>
    <row r="141">
      <c r="A141" s="75"/>
      <c r="B141" s="76"/>
      <c r="C141" s="77"/>
      <c r="D141" s="76"/>
      <c r="E141" s="76"/>
      <c r="F141" s="76"/>
      <c r="G141" s="76"/>
      <c r="H141" s="76"/>
      <c r="I141" s="75"/>
      <c r="J141" s="78"/>
      <c r="K141" s="76"/>
      <c r="L141" s="79" t="b">
        <v>0</v>
      </c>
      <c r="M141" s="80" t="str">
        <f t="shared" si="1"/>
        <v/>
      </c>
      <c r="N141" s="79" t="b">
        <v>0</v>
      </c>
      <c r="O141" s="80" t="str">
        <f t="shared" si="2"/>
        <v/>
      </c>
      <c r="P141" s="76"/>
      <c r="Q141" s="76"/>
      <c r="R141" s="76" t="b">
        <v>0</v>
      </c>
      <c r="S141" s="82" t="b">
        <v>0</v>
      </c>
      <c r="T141" s="76"/>
      <c r="U141" s="79"/>
      <c r="V141" s="90"/>
      <c r="W141" s="74"/>
      <c r="X141" s="74"/>
      <c r="Y141" s="74"/>
      <c r="Z141" s="74"/>
      <c r="AA141" s="74"/>
      <c r="AB141" s="74"/>
      <c r="AC141" s="74"/>
      <c r="AD141" s="74"/>
    </row>
    <row r="142">
      <c r="A142" s="75"/>
      <c r="B142" s="76"/>
      <c r="C142" s="77"/>
      <c r="D142" s="76"/>
      <c r="E142" s="76"/>
      <c r="F142" s="76"/>
      <c r="G142" s="76"/>
      <c r="H142" s="76"/>
      <c r="I142" s="75"/>
      <c r="J142" s="78"/>
      <c r="K142" s="76"/>
      <c r="L142" s="79" t="b">
        <v>0</v>
      </c>
      <c r="M142" s="80" t="str">
        <f t="shared" si="1"/>
        <v/>
      </c>
      <c r="N142" s="79" t="b">
        <v>0</v>
      </c>
      <c r="O142" s="80" t="str">
        <f t="shared" si="2"/>
        <v/>
      </c>
      <c r="P142" s="76"/>
      <c r="Q142" s="76"/>
      <c r="R142" s="76" t="b">
        <v>0</v>
      </c>
      <c r="S142" s="82" t="b">
        <v>0</v>
      </c>
      <c r="T142" s="76"/>
      <c r="U142" s="79"/>
      <c r="V142" s="90"/>
      <c r="W142" s="74"/>
      <c r="X142" s="74"/>
      <c r="Y142" s="74"/>
      <c r="Z142" s="74"/>
      <c r="AA142" s="74"/>
      <c r="AB142" s="74"/>
      <c r="AC142" s="74"/>
      <c r="AD142" s="74"/>
    </row>
    <row r="143">
      <c r="A143" s="75"/>
      <c r="B143" s="76"/>
      <c r="C143" s="77"/>
      <c r="D143" s="76"/>
      <c r="E143" s="76"/>
      <c r="F143" s="76"/>
      <c r="G143" s="76"/>
      <c r="H143" s="76"/>
      <c r="I143" s="75"/>
      <c r="J143" s="78"/>
      <c r="K143" s="76"/>
      <c r="L143" s="79" t="b">
        <v>0</v>
      </c>
      <c r="M143" s="80" t="str">
        <f t="shared" si="1"/>
        <v/>
      </c>
      <c r="N143" s="79" t="b">
        <v>0</v>
      </c>
      <c r="O143" s="80" t="str">
        <f t="shared" si="2"/>
        <v/>
      </c>
      <c r="P143" s="76"/>
      <c r="Q143" s="76"/>
      <c r="R143" s="76" t="b">
        <v>0</v>
      </c>
      <c r="S143" s="82" t="b">
        <v>0</v>
      </c>
      <c r="T143" s="76"/>
      <c r="U143" s="79"/>
      <c r="V143" s="90"/>
      <c r="W143" s="74"/>
      <c r="X143" s="74"/>
      <c r="Y143" s="74"/>
      <c r="Z143" s="74"/>
      <c r="AA143" s="74"/>
      <c r="AB143" s="74"/>
      <c r="AC143" s="74"/>
      <c r="AD143" s="74"/>
    </row>
    <row r="144">
      <c r="A144" s="75"/>
      <c r="B144" s="76"/>
      <c r="C144" s="77"/>
      <c r="D144" s="76"/>
      <c r="E144" s="76"/>
      <c r="F144" s="76"/>
      <c r="G144" s="76"/>
      <c r="H144" s="76"/>
      <c r="I144" s="75"/>
      <c r="J144" s="78"/>
      <c r="K144" s="76"/>
      <c r="L144" s="79" t="b">
        <v>0</v>
      </c>
      <c r="M144" s="80" t="str">
        <f t="shared" si="1"/>
        <v/>
      </c>
      <c r="N144" s="79" t="b">
        <v>0</v>
      </c>
      <c r="O144" s="80" t="str">
        <f t="shared" si="2"/>
        <v/>
      </c>
      <c r="P144" s="76"/>
      <c r="Q144" s="76"/>
      <c r="R144" s="76" t="b">
        <v>0</v>
      </c>
      <c r="S144" s="82" t="b">
        <v>0</v>
      </c>
      <c r="T144" s="76"/>
      <c r="U144" s="79"/>
      <c r="V144" s="90"/>
      <c r="W144" s="74"/>
      <c r="X144" s="74"/>
      <c r="Y144" s="74"/>
      <c r="Z144" s="74"/>
      <c r="AA144" s="74"/>
      <c r="AB144" s="74"/>
      <c r="AC144" s="74"/>
      <c r="AD144" s="74"/>
    </row>
    <row r="145">
      <c r="A145" s="75"/>
      <c r="B145" s="76"/>
      <c r="C145" s="77"/>
      <c r="D145" s="76"/>
      <c r="E145" s="76"/>
      <c r="F145" s="76"/>
      <c r="G145" s="76"/>
      <c r="H145" s="76"/>
      <c r="I145" s="75"/>
      <c r="J145" s="78"/>
      <c r="K145" s="76"/>
      <c r="L145" s="79" t="b">
        <v>0</v>
      </c>
      <c r="M145" s="80" t="str">
        <f t="shared" si="1"/>
        <v/>
      </c>
      <c r="N145" s="79" t="b">
        <v>0</v>
      </c>
      <c r="O145" s="80" t="str">
        <f t="shared" si="2"/>
        <v/>
      </c>
      <c r="P145" s="76"/>
      <c r="Q145" s="76"/>
      <c r="R145" s="76" t="b">
        <v>0</v>
      </c>
      <c r="S145" s="82" t="b">
        <v>0</v>
      </c>
      <c r="T145" s="76"/>
      <c r="U145" s="79"/>
      <c r="V145" s="90"/>
      <c r="W145" s="74"/>
      <c r="X145" s="74"/>
      <c r="Y145" s="74"/>
      <c r="Z145" s="74"/>
      <c r="AA145" s="74"/>
      <c r="AB145" s="74"/>
      <c r="AC145" s="74"/>
      <c r="AD145" s="74"/>
    </row>
    <row r="146">
      <c r="A146" s="75"/>
      <c r="B146" s="76"/>
      <c r="C146" s="77"/>
      <c r="D146" s="76"/>
      <c r="E146" s="76"/>
      <c r="F146" s="76"/>
      <c r="G146" s="76"/>
      <c r="H146" s="76"/>
      <c r="I146" s="75"/>
      <c r="J146" s="78"/>
      <c r="K146" s="76"/>
      <c r="L146" s="79" t="b">
        <v>0</v>
      </c>
      <c r="M146" s="80" t="str">
        <f t="shared" si="1"/>
        <v/>
      </c>
      <c r="N146" s="79" t="b">
        <v>0</v>
      </c>
      <c r="O146" s="80" t="str">
        <f t="shared" si="2"/>
        <v/>
      </c>
      <c r="P146" s="76"/>
      <c r="Q146" s="76"/>
      <c r="R146" s="76" t="b">
        <v>0</v>
      </c>
      <c r="S146" s="82" t="b">
        <v>0</v>
      </c>
      <c r="T146" s="76"/>
      <c r="U146" s="79"/>
      <c r="V146" s="90"/>
      <c r="W146" s="74"/>
      <c r="X146" s="74"/>
      <c r="Y146" s="74"/>
      <c r="Z146" s="74"/>
      <c r="AA146" s="74"/>
      <c r="AB146" s="74"/>
      <c r="AC146" s="74"/>
      <c r="AD146" s="74"/>
    </row>
    <row r="147">
      <c r="A147" s="75"/>
      <c r="B147" s="76"/>
      <c r="C147" s="77"/>
      <c r="D147" s="76"/>
      <c r="E147" s="76"/>
      <c r="F147" s="76"/>
      <c r="G147" s="76"/>
      <c r="H147" s="76"/>
      <c r="I147" s="75"/>
      <c r="J147" s="78"/>
      <c r="K147" s="76"/>
      <c r="L147" s="79" t="b">
        <v>0</v>
      </c>
      <c r="M147" s="80" t="str">
        <f t="shared" si="1"/>
        <v/>
      </c>
      <c r="N147" s="79" t="b">
        <v>0</v>
      </c>
      <c r="O147" s="80" t="str">
        <f t="shared" si="2"/>
        <v/>
      </c>
      <c r="P147" s="76"/>
      <c r="Q147" s="76"/>
      <c r="R147" s="76" t="b">
        <v>0</v>
      </c>
      <c r="S147" s="82" t="b">
        <v>0</v>
      </c>
      <c r="T147" s="76"/>
      <c r="U147" s="79"/>
      <c r="V147" s="90"/>
      <c r="W147" s="74"/>
      <c r="X147" s="74"/>
      <c r="Y147" s="74"/>
      <c r="Z147" s="74"/>
      <c r="AA147" s="74"/>
      <c r="AB147" s="74"/>
      <c r="AC147" s="74"/>
      <c r="AD147" s="74"/>
    </row>
    <row r="148">
      <c r="A148" s="75"/>
      <c r="B148" s="76"/>
      <c r="C148" s="77"/>
      <c r="D148" s="76"/>
      <c r="E148" s="76"/>
      <c r="F148" s="76"/>
      <c r="G148" s="76"/>
      <c r="H148" s="76"/>
      <c r="I148" s="75"/>
      <c r="J148" s="78"/>
      <c r="K148" s="76"/>
      <c r="L148" s="79" t="b">
        <v>0</v>
      </c>
      <c r="M148" s="80" t="str">
        <f t="shared" si="1"/>
        <v/>
      </c>
      <c r="N148" s="79" t="b">
        <v>0</v>
      </c>
      <c r="O148" s="80" t="str">
        <f t="shared" si="2"/>
        <v/>
      </c>
      <c r="P148" s="76"/>
      <c r="Q148" s="76"/>
      <c r="R148" s="76" t="b">
        <v>0</v>
      </c>
      <c r="S148" s="82" t="b">
        <v>0</v>
      </c>
      <c r="T148" s="76"/>
      <c r="U148" s="79"/>
      <c r="V148" s="90"/>
      <c r="W148" s="74"/>
      <c r="X148" s="74"/>
      <c r="Y148" s="74"/>
      <c r="Z148" s="74"/>
      <c r="AA148" s="74"/>
      <c r="AB148" s="74"/>
      <c r="AC148" s="74"/>
      <c r="AD148" s="74"/>
    </row>
    <row r="149">
      <c r="A149" s="75"/>
      <c r="B149" s="76"/>
      <c r="C149" s="77"/>
      <c r="D149" s="76"/>
      <c r="E149" s="76"/>
      <c r="F149" s="76"/>
      <c r="G149" s="76"/>
      <c r="H149" s="76"/>
      <c r="I149" s="75"/>
      <c r="J149" s="78"/>
      <c r="K149" s="76"/>
      <c r="L149" s="79" t="b">
        <v>0</v>
      </c>
      <c r="M149" s="80" t="str">
        <f t="shared" si="1"/>
        <v/>
      </c>
      <c r="N149" s="79" t="b">
        <v>0</v>
      </c>
      <c r="O149" s="80" t="str">
        <f t="shared" si="2"/>
        <v/>
      </c>
      <c r="P149" s="76"/>
      <c r="Q149" s="76"/>
      <c r="R149" s="76" t="b">
        <v>0</v>
      </c>
      <c r="S149" s="82" t="b">
        <v>0</v>
      </c>
      <c r="T149" s="76"/>
      <c r="U149" s="79"/>
      <c r="V149" s="90"/>
      <c r="W149" s="74"/>
      <c r="X149" s="74"/>
      <c r="Y149" s="74"/>
      <c r="Z149" s="74"/>
      <c r="AA149" s="74"/>
      <c r="AB149" s="74"/>
      <c r="AC149" s="74"/>
      <c r="AD149" s="74"/>
    </row>
    <row r="150">
      <c r="A150" s="75"/>
      <c r="B150" s="76"/>
      <c r="C150" s="77"/>
      <c r="D150" s="76"/>
      <c r="E150" s="76"/>
      <c r="F150" s="76"/>
      <c r="G150" s="76"/>
      <c r="H150" s="76"/>
      <c r="I150" s="75"/>
      <c r="J150" s="78"/>
      <c r="K150" s="76"/>
      <c r="L150" s="79" t="b">
        <v>0</v>
      </c>
      <c r="M150" s="80" t="str">
        <f t="shared" si="1"/>
        <v/>
      </c>
      <c r="N150" s="79" t="b">
        <v>0</v>
      </c>
      <c r="O150" s="80" t="str">
        <f t="shared" si="2"/>
        <v/>
      </c>
      <c r="P150" s="76"/>
      <c r="Q150" s="76"/>
      <c r="R150" s="76" t="b">
        <v>0</v>
      </c>
      <c r="S150" s="82" t="b">
        <v>0</v>
      </c>
      <c r="T150" s="76"/>
      <c r="U150" s="79"/>
      <c r="V150" s="90"/>
      <c r="W150" s="74"/>
      <c r="X150" s="74"/>
      <c r="Y150" s="74"/>
      <c r="Z150" s="74"/>
      <c r="AA150" s="74"/>
      <c r="AB150" s="74"/>
      <c r="AC150" s="74"/>
      <c r="AD150" s="74"/>
    </row>
    <row r="151">
      <c r="A151" s="75"/>
      <c r="B151" s="76"/>
      <c r="C151" s="77"/>
      <c r="D151" s="76"/>
      <c r="E151" s="76"/>
      <c r="F151" s="76"/>
      <c r="G151" s="76"/>
      <c r="H151" s="76"/>
      <c r="I151" s="75"/>
      <c r="J151" s="78"/>
      <c r="K151" s="76"/>
      <c r="L151" s="79" t="b">
        <v>0</v>
      </c>
      <c r="M151" s="80" t="str">
        <f t="shared" si="1"/>
        <v/>
      </c>
      <c r="N151" s="79" t="b">
        <v>0</v>
      </c>
      <c r="O151" s="80" t="str">
        <f t="shared" si="2"/>
        <v/>
      </c>
      <c r="P151" s="76"/>
      <c r="Q151" s="76"/>
      <c r="R151" s="76" t="b">
        <v>0</v>
      </c>
      <c r="S151" s="82" t="b">
        <v>0</v>
      </c>
      <c r="T151" s="76"/>
      <c r="U151" s="79"/>
      <c r="V151" s="90"/>
      <c r="W151" s="74"/>
      <c r="X151" s="74"/>
      <c r="Y151" s="74"/>
      <c r="Z151" s="74"/>
      <c r="AA151" s="74"/>
      <c r="AB151" s="74"/>
      <c r="AC151" s="74"/>
      <c r="AD151" s="74"/>
    </row>
    <row r="152">
      <c r="A152" s="75"/>
      <c r="B152" s="76"/>
      <c r="C152" s="77"/>
      <c r="D152" s="76"/>
      <c r="E152" s="76"/>
      <c r="F152" s="76"/>
      <c r="G152" s="76"/>
      <c r="H152" s="76"/>
      <c r="I152" s="75"/>
      <c r="J152" s="78"/>
      <c r="K152" s="76"/>
      <c r="L152" s="79" t="b">
        <v>0</v>
      </c>
      <c r="M152" s="80" t="str">
        <f t="shared" si="1"/>
        <v/>
      </c>
      <c r="N152" s="79" t="b">
        <v>0</v>
      </c>
      <c r="O152" s="80" t="str">
        <f t="shared" si="2"/>
        <v/>
      </c>
      <c r="P152" s="76"/>
      <c r="Q152" s="76"/>
      <c r="R152" s="76" t="b">
        <v>0</v>
      </c>
      <c r="S152" s="82" t="b">
        <v>0</v>
      </c>
      <c r="T152" s="76"/>
      <c r="U152" s="79"/>
      <c r="V152" s="90"/>
      <c r="W152" s="74"/>
      <c r="X152" s="74"/>
      <c r="Y152" s="74"/>
      <c r="Z152" s="74"/>
      <c r="AA152" s="74"/>
      <c r="AB152" s="74"/>
      <c r="AC152" s="74"/>
      <c r="AD152" s="74"/>
    </row>
    <row r="153">
      <c r="A153" s="75"/>
      <c r="B153" s="76"/>
      <c r="C153" s="77"/>
      <c r="D153" s="76"/>
      <c r="E153" s="76"/>
      <c r="F153" s="76"/>
      <c r="G153" s="76"/>
      <c r="H153" s="76"/>
      <c r="I153" s="75"/>
      <c r="J153" s="78"/>
      <c r="K153" s="76"/>
      <c r="L153" s="79" t="b">
        <v>0</v>
      </c>
      <c r="M153" s="80" t="str">
        <f t="shared" si="1"/>
        <v/>
      </c>
      <c r="N153" s="79" t="b">
        <v>0</v>
      </c>
      <c r="O153" s="80" t="str">
        <f t="shared" si="2"/>
        <v/>
      </c>
      <c r="P153" s="76"/>
      <c r="Q153" s="76"/>
      <c r="R153" s="76" t="b">
        <v>0</v>
      </c>
      <c r="S153" s="82" t="b">
        <v>0</v>
      </c>
      <c r="T153" s="76"/>
      <c r="U153" s="79"/>
      <c r="V153" s="90"/>
      <c r="W153" s="74"/>
      <c r="X153" s="74"/>
      <c r="Y153" s="74"/>
      <c r="Z153" s="74"/>
      <c r="AA153" s="74"/>
      <c r="AB153" s="74"/>
      <c r="AC153" s="74"/>
      <c r="AD153" s="74"/>
    </row>
    <row r="154">
      <c r="A154" s="75"/>
      <c r="B154" s="76"/>
      <c r="C154" s="77"/>
      <c r="D154" s="76"/>
      <c r="E154" s="76"/>
      <c r="F154" s="76"/>
      <c r="G154" s="76"/>
      <c r="H154" s="76"/>
      <c r="I154" s="75"/>
      <c r="J154" s="78"/>
      <c r="K154" s="76"/>
      <c r="L154" s="79" t="b">
        <v>0</v>
      </c>
      <c r="M154" s="80" t="str">
        <f t="shared" si="1"/>
        <v/>
      </c>
      <c r="N154" s="79" t="b">
        <v>0</v>
      </c>
      <c r="O154" s="80" t="str">
        <f t="shared" si="2"/>
        <v/>
      </c>
      <c r="P154" s="76"/>
      <c r="Q154" s="76"/>
      <c r="R154" s="76" t="b">
        <v>0</v>
      </c>
      <c r="S154" s="82" t="b">
        <v>0</v>
      </c>
      <c r="T154" s="76"/>
      <c r="U154" s="79"/>
      <c r="V154" s="90"/>
      <c r="W154" s="74"/>
      <c r="X154" s="74"/>
      <c r="Y154" s="74"/>
      <c r="Z154" s="74"/>
      <c r="AA154" s="74"/>
      <c r="AB154" s="74"/>
      <c r="AC154" s="74"/>
      <c r="AD154" s="74"/>
    </row>
    <row r="155">
      <c r="A155" s="75"/>
      <c r="B155" s="76"/>
      <c r="C155" s="77"/>
      <c r="D155" s="76"/>
      <c r="E155" s="76"/>
      <c r="F155" s="76"/>
      <c r="G155" s="76"/>
      <c r="H155" s="76"/>
      <c r="I155" s="75"/>
      <c r="J155" s="78"/>
      <c r="K155" s="76"/>
      <c r="L155" s="79" t="b">
        <v>0</v>
      </c>
      <c r="M155" s="80" t="str">
        <f t="shared" si="1"/>
        <v/>
      </c>
      <c r="N155" s="79" t="b">
        <v>0</v>
      </c>
      <c r="O155" s="80" t="str">
        <f t="shared" si="2"/>
        <v/>
      </c>
      <c r="P155" s="76"/>
      <c r="Q155" s="76"/>
      <c r="R155" s="76" t="b">
        <v>0</v>
      </c>
      <c r="S155" s="82" t="b">
        <v>0</v>
      </c>
      <c r="T155" s="76"/>
      <c r="U155" s="79"/>
      <c r="V155" s="90"/>
      <c r="W155" s="74"/>
      <c r="X155" s="74"/>
      <c r="Y155" s="74"/>
      <c r="Z155" s="74"/>
      <c r="AA155" s="74"/>
      <c r="AB155" s="74"/>
      <c r="AC155" s="74"/>
      <c r="AD155" s="74"/>
    </row>
    <row r="156">
      <c r="A156" s="75"/>
      <c r="B156" s="76"/>
      <c r="C156" s="77"/>
      <c r="D156" s="76"/>
      <c r="E156" s="76"/>
      <c r="F156" s="76"/>
      <c r="G156" s="76"/>
      <c r="H156" s="76"/>
      <c r="I156" s="75"/>
      <c r="J156" s="78"/>
      <c r="K156" s="76"/>
      <c r="L156" s="79" t="b">
        <v>0</v>
      </c>
      <c r="M156" s="80" t="str">
        <f t="shared" si="1"/>
        <v/>
      </c>
      <c r="N156" s="79" t="b">
        <v>0</v>
      </c>
      <c r="O156" s="80" t="str">
        <f t="shared" si="2"/>
        <v/>
      </c>
      <c r="P156" s="76"/>
      <c r="Q156" s="76"/>
      <c r="R156" s="76" t="b">
        <v>0</v>
      </c>
      <c r="S156" s="82" t="b">
        <v>0</v>
      </c>
      <c r="T156" s="76"/>
      <c r="U156" s="79"/>
      <c r="V156" s="90"/>
      <c r="W156" s="74"/>
      <c r="X156" s="74"/>
      <c r="Y156" s="74"/>
      <c r="Z156" s="74"/>
      <c r="AA156" s="74"/>
      <c r="AB156" s="74"/>
      <c r="AC156" s="74"/>
      <c r="AD156" s="74"/>
    </row>
    <row r="157">
      <c r="A157" s="75"/>
      <c r="B157" s="76"/>
      <c r="C157" s="77"/>
      <c r="D157" s="76"/>
      <c r="E157" s="76"/>
      <c r="F157" s="76"/>
      <c r="G157" s="76"/>
      <c r="H157" s="76"/>
      <c r="I157" s="75"/>
      <c r="J157" s="78"/>
      <c r="K157" s="76"/>
      <c r="L157" s="79" t="b">
        <v>0</v>
      </c>
      <c r="M157" s="80" t="str">
        <f t="shared" si="1"/>
        <v/>
      </c>
      <c r="N157" s="79" t="b">
        <v>0</v>
      </c>
      <c r="O157" s="80" t="str">
        <f t="shared" si="2"/>
        <v/>
      </c>
      <c r="P157" s="76"/>
      <c r="Q157" s="76"/>
      <c r="R157" s="76" t="b">
        <v>0</v>
      </c>
      <c r="S157" s="82" t="b">
        <v>0</v>
      </c>
      <c r="T157" s="76"/>
      <c r="U157" s="79"/>
      <c r="V157" s="90"/>
      <c r="W157" s="74"/>
      <c r="X157" s="74"/>
      <c r="Y157" s="74"/>
      <c r="Z157" s="74"/>
      <c r="AA157" s="74"/>
      <c r="AB157" s="74"/>
      <c r="AC157" s="74"/>
      <c r="AD157" s="74"/>
    </row>
    <row r="158">
      <c r="A158" s="75"/>
      <c r="B158" s="76"/>
      <c r="C158" s="77"/>
      <c r="D158" s="76"/>
      <c r="E158" s="76"/>
      <c r="F158" s="76"/>
      <c r="G158" s="76"/>
      <c r="H158" s="76"/>
      <c r="I158" s="75"/>
      <c r="J158" s="78"/>
      <c r="K158" s="76"/>
      <c r="L158" s="79" t="b">
        <v>0</v>
      </c>
      <c r="M158" s="80" t="str">
        <f t="shared" si="1"/>
        <v/>
      </c>
      <c r="N158" s="79" t="b">
        <v>0</v>
      </c>
      <c r="O158" s="80" t="str">
        <f t="shared" si="2"/>
        <v/>
      </c>
      <c r="P158" s="76"/>
      <c r="Q158" s="76"/>
      <c r="R158" s="76" t="b">
        <v>0</v>
      </c>
      <c r="S158" s="82" t="b">
        <v>0</v>
      </c>
      <c r="T158" s="76"/>
      <c r="U158" s="79"/>
      <c r="V158" s="90"/>
      <c r="W158" s="74"/>
      <c r="X158" s="74"/>
      <c r="Y158" s="74"/>
      <c r="Z158" s="74"/>
      <c r="AA158" s="74"/>
      <c r="AB158" s="74"/>
      <c r="AC158" s="74"/>
      <c r="AD158" s="74"/>
    </row>
    <row r="159">
      <c r="A159" s="75"/>
      <c r="B159" s="76"/>
      <c r="C159" s="77"/>
      <c r="D159" s="76"/>
      <c r="E159" s="76"/>
      <c r="F159" s="76"/>
      <c r="G159" s="76"/>
      <c r="H159" s="76"/>
      <c r="I159" s="75"/>
      <c r="J159" s="78"/>
      <c r="K159" s="76"/>
      <c r="L159" s="79" t="b">
        <v>0</v>
      </c>
      <c r="M159" s="80" t="str">
        <f t="shared" si="1"/>
        <v/>
      </c>
      <c r="N159" s="79" t="b">
        <v>0</v>
      </c>
      <c r="O159" s="80" t="str">
        <f t="shared" si="2"/>
        <v/>
      </c>
      <c r="P159" s="76"/>
      <c r="Q159" s="76"/>
      <c r="R159" s="76" t="b">
        <v>0</v>
      </c>
      <c r="S159" s="82" t="b">
        <v>0</v>
      </c>
      <c r="T159" s="76"/>
      <c r="U159" s="79"/>
      <c r="V159" s="90"/>
      <c r="W159" s="74"/>
      <c r="X159" s="74"/>
      <c r="Y159" s="74"/>
      <c r="Z159" s="74"/>
      <c r="AA159" s="74"/>
      <c r="AB159" s="74"/>
      <c r="AC159" s="74"/>
      <c r="AD159" s="74"/>
    </row>
    <row r="160">
      <c r="A160" s="75"/>
      <c r="B160" s="76"/>
      <c r="C160" s="77"/>
      <c r="D160" s="76"/>
      <c r="E160" s="76"/>
      <c r="F160" s="76"/>
      <c r="G160" s="76"/>
      <c r="H160" s="76"/>
      <c r="I160" s="75"/>
      <c r="J160" s="78"/>
      <c r="K160" s="76"/>
      <c r="L160" s="79" t="b">
        <v>0</v>
      </c>
      <c r="M160" s="80" t="str">
        <f t="shared" si="1"/>
        <v/>
      </c>
      <c r="N160" s="79" t="b">
        <v>0</v>
      </c>
      <c r="O160" s="80" t="str">
        <f t="shared" si="2"/>
        <v/>
      </c>
      <c r="P160" s="76"/>
      <c r="Q160" s="76"/>
      <c r="R160" s="76" t="b">
        <v>0</v>
      </c>
      <c r="S160" s="82" t="b">
        <v>0</v>
      </c>
      <c r="T160" s="76"/>
      <c r="U160" s="79"/>
      <c r="V160" s="90"/>
      <c r="W160" s="74"/>
      <c r="X160" s="74"/>
      <c r="Y160" s="74"/>
      <c r="Z160" s="74"/>
      <c r="AA160" s="74"/>
      <c r="AB160" s="74"/>
      <c r="AC160" s="74"/>
      <c r="AD160" s="74"/>
    </row>
    <row r="161">
      <c r="A161" s="75"/>
      <c r="B161" s="76"/>
      <c r="C161" s="77"/>
      <c r="D161" s="76"/>
      <c r="E161" s="76"/>
      <c r="F161" s="76"/>
      <c r="G161" s="76"/>
      <c r="H161" s="76"/>
      <c r="I161" s="75"/>
      <c r="J161" s="78"/>
      <c r="K161" s="76"/>
      <c r="L161" s="79" t="b">
        <v>0</v>
      </c>
      <c r="M161" s="80" t="str">
        <f t="shared" si="1"/>
        <v/>
      </c>
      <c r="N161" s="79" t="b">
        <v>0</v>
      </c>
      <c r="O161" s="80" t="str">
        <f t="shared" si="2"/>
        <v/>
      </c>
      <c r="P161" s="76"/>
      <c r="Q161" s="76"/>
      <c r="R161" s="76" t="b">
        <v>0</v>
      </c>
      <c r="S161" s="82" t="b">
        <v>0</v>
      </c>
      <c r="T161" s="76"/>
      <c r="U161" s="79"/>
      <c r="V161" s="90"/>
      <c r="W161" s="74"/>
      <c r="X161" s="74"/>
      <c r="Y161" s="74"/>
      <c r="Z161" s="74"/>
      <c r="AA161" s="74"/>
      <c r="AB161" s="74"/>
      <c r="AC161" s="74"/>
      <c r="AD161" s="74"/>
    </row>
    <row r="162">
      <c r="A162" s="75"/>
      <c r="B162" s="76"/>
      <c r="C162" s="77"/>
      <c r="D162" s="76"/>
      <c r="E162" s="76"/>
      <c r="F162" s="76"/>
      <c r="G162" s="76"/>
      <c r="H162" s="76"/>
      <c r="I162" s="75"/>
      <c r="J162" s="78"/>
      <c r="K162" s="76"/>
      <c r="L162" s="79" t="b">
        <v>0</v>
      </c>
      <c r="M162" s="80" t="str">
        <f t="shared" si="1"/>
        <v/>
      </c>
      <c r="N162" s="79" t="b">
        <v>0</v>
      </c>
      <c r="O162" s="80" t="str">
        <f t="shared" si="2"/>
        <v/>
      </c>
      <c r="P162" s="76"/>
      <c r="Q162" s="76"/>
      <c r="R162" s="76" t="b">
        <v>0</v>
      </c>
      <c r="S162" s="82" t="b">
        <v>0</v>
      </c>
      <c r="T162" s="76"/>
      <c r="U162" s="79"/>
      <c r="V162" s="90"/>
      <c r="W162" s="74"/>
      <c r="X162" s="74"/>
      <c r="Y162" s="74"/>
      <c r="Z162" s="74"/>
      <c r="AA162" s="74"/>
      <c r="AB162" s="74"/>
      <c r="AC162" s="74"/>
      <c r="AD162" s="74"/>
    </row>
    <row r="163">
      <c r="A163" s="75"/>
      <c r="B163" s="76"/>
      <c r="C163" s="77"/>
      <c r="D163" s="76"/>
      <c r="E163" s="76"/>
      <c r="F163" s="76"/>
      <c r="G163" s="76"/>
      <c r="H163" s="76"/>
      <c r="I163" s="75"/>
      <c r="J163" s="78"/>
      <c r="K163" s="76"/>
      <c r="L163" s="79" t="b">
        <v>0</v>
      </c>
      <c r="M163" s="80" t="str">
        <f t="shared" si="1"/>
        <v/>
      </c>
      <c r="N163" s="79" t="b">
        <v>0</v>
      </c>
      <c r="O163" s="80" t="str">
        <f t="shared" si="2"/>
        <v/>
      </c>
      <c r="P163" s="76"/>
      <c r="Q163" s="76"/>
      <c r="R163" s="76" t="b">
        <v>0</v>
      </c>
      <c r="S163" s="76" t="b">
        <v>0</v>
      </c>
      <c r="T163" s="76"/>
      <c r="U163" s="79"/>
      <c r="V163" s="90"/>
      <c r="W163" s="74"/>
      <c r="X163" s="74"/>
      <c r="Y163" s="74"/>
      <c r="Z163" s="74"/>
      <c r="AA163" s="74"/>
      <c r="AB163" s="74"/>
      <c r="AC163" s="74"/>
      <c r="AD163" s="74"/>
    </row>
    <row r="164">
      <c r="A164" s="75"/>
      <c r="B164" s="76"/>
      <c r="C164" s="95"/>
      <c r="D164" s="76"/>
      <c r="E164" s="76"/>
      <c r="F164" s="76"/>
      <c r="G164" s="76"/>
      <c r="H164" s="76"/>
      <c r="I164" s="75"/>
      <c r="J164" s="78"/>
      <c r="K164" s="76"/>
      <c r="L164" s="79" t="b">
        <v>0</v>
      </c>
      <c r="M164" s="80" t="str">
        <f t="shared" si="1"/>
        <v/>
      </c>
      <c r="N164" s="79" t="b">
        <v>0</v>
      </c>
      <c r="O164" s="80" t="str">
        <f t="shared" si="2"/>
        <v/>
      </c>
      <c r="P164" s="76"/>
      <c r="Q164" s="76"/>
      <c r="R164" s="76" t="b">
        <v>0</v>
      </c>
      <c r="S164" s="76" t="b">
        <v>0</v>
      </c>
      <c r="T164" s="76"/>
      <c r="U164" s="79"/>
      <c r="V164" s="90"/>
      <c r="W164" s="74"/>
      <c r="X164" s="74"/>
      <c r="Y164" s="74"/>
      <c r="Z164" s="74"/>
      <c r="AA164" s="74"/>
      <c r="AB164" s="74"/>
      <c r="AC164" s="74"/>
      <c r="AD164" s="74"/>
    </row>
    <row r="165">
      <c r="A165" s="75"/>
      <c r="B165" s="76"/>
      <c r="C165" s="95"/>
      <c r="D165" s="76"/>
      <c r="E165" s="76"/>
      <c r="F165" s="76"/>
      <c r="G165" s="76"/>
      <c r="H165" s="76"/>
      <c r="I165" s="75"/>
      <c r="J165" s="78"/>
      <c r="K165" s="76"/>
      <c r="L165" s="79" t="b">
        <v>0</v>
      </c>
      <c r="M165" s="80" t="str">
        <f t="shared" si="1"/>
        <v/>
      </c>
      <c r="N165" s="79" t="b">
        <v>0</v>
      </c>
      <c r="O165" s="80" t="str">
        <f t="shared" si="2"/>
        <v/>
      </c>
      <c r="P165" s="76"/>
      <c r="Q165" s="76"/>
      <c r="R165" s="76" t="b">
        <v>0</v>
      </c>
      <c r="S165" s="76" t="b">
        <v>0</v>
      </c>
      <c r="T165" s="76"/>
      <c r="U165" s="79"/>
      <c r="V165" s="90"/>
      <c r="W165" s="74"/>
      <c r="X165" s="74"/>
      <c r="Y165" s="74"/>
      <c r="Z165" s="74"/>
      <c r="AA165" s="74"/>
      <c r="AB165" s="74"/>
      <c r="AC165" s="74"/>
      <c r="AD165" s="74"/>
    </row>
    <row r="166">
      <c r="A166" s="75"/>
      <c r="B166" s="76"/>
      <c r="C166" s="95"/>
      <c r="D166" s="76"/>
      <c r="E166" s="76"/>
      <c r="F166" s="76"/>
      <c r="G166" s="76"/>
      <c r="H166" s="76"/>
      <c r="I166" s="75"/>
      <c r="J166" s="78"/>
      <c r="K166" s="76"/>
      <c r="L166" s="79" t="b">
        <v>0</v>
      </c>
      <c r="M166" s="80" t="str">
        <f t="shared" si="1"/>
        <v/>
      </c>
      <c r="N166" s="79" t="b">
        <v>0</v>
      </c>
      <c r="O166" s="80" t="str">
        <f t="shared" si="2"/>
        <v/>
      </c>
      <c r="P166" s="76"/>
      <c r="Q166" s="76"/>
      <c r="R166" s="76" t="b">
        <v>0</v>
      </c>
      <c r="S166" s="76" t="b">
        <v>0</v>
      </c>
      <c r="T166" s="76"/>
      <c r="U166" s="79"/>
      <c r="V166" s="90"/>
      <c r="W166" s="74"/>
      <c r="X166" s="74"/>
      <c r="Y166" s="74"/>
      <c r="Z166" s="74"/>
      <c r="AA166" s="74"/>
      <c r="AB166" s="74"/>
      <c r="AC166" s="74"/>
      <c r="AD166" s="74"/>
    </row>
    <row r="167">
      <c r="A167" s="75"/>
      <c r="B167" s="76"/>
      <c r="C167" s="95"/>
      <c r="D167" s="76"/>
      <c r="E167" s="76"/>
      <c r="F167" s="76"/>
      <c r="G167" s="76"/>
      <c r="H167" s="76"/>
      <c r="I167" s="75"/>
      <c r="J167" s="78"/>
      <c r="K167" s="76"/>
      <c r="L167" s="79" t="b">
        <v>0</v>
      </c>
      <c r="M167" s="80" t="str">
        <f t="shared" si="1"/>
        <v/>
      </c>
      <c r="N167" s="79" t="b">
        <v>0</v>
      </c>
      <c r="O167" s="80" t="str">
        <f t="shared" si="2"/>
        <v/>
      </c>
      <c r="P167" s="76"/>
      <c r="Q167" s="76"/>
      <c r="R167" s="76" t="b">
        <v>0</v>
      </c>
      <c r="S167" s="76" t="b">
        <v>0</v>
      </c>
      <c r="T167" s="76"/>
      <c r="U167" s="79"/>
      <c r="V167" s="90"/>
      <c r="W167" s="74"/>
      <c r="X167" s="74"/>
      <c r="Y167" s="74"/>
      <c r="Z167" s="74"/>
      <c r="AA167" s="74"/>
      <c r="AB167" s="74"/>
      <c r="AC167" s="74"/>
      <c r="AD167" s="74"/>
    </row>
    <row r="168">
      <c r="A168" s="75"/>
      <c r="B168" s="76"/>
      <c r="C168" s="95"/>
      <c r="D168" s="76"/>
      <c r="E168" s="76"/>
      <c r="F168" s="76"/>
      <c r="G168" s="76"/>
      <c r="H168" s="76"/>
      <c r="I168" s="75"/>
      <c r="J168" s="78"/>
      <c r="K168" s="76"/>
      <c r="L168" s="79" t="b">
        <v>0</v>
      </c>
      <c r="M168" s="80" t="str">
        <f t="shared" si="1"/>
        <v/>
      </c>
      <c r="N168" s="79" t="b">
        <v>0</v>
      </c>
      <c r="O168" s="80" t="str">
        <f t="shared" si="2"/>
        <v/>
      </c>
      <c r="P168" s="76"/>
      <c r="Q168" s="76"/>
      <c r="R168" s="76" t="b">
        <v>0</v>
      </c>
      <c r="S168" s="76" t="b">
        <v>0</v>
      </c>
      <c r="T168" s="76"/>
      <c r="U168" s="79"/>
      <c r="V168" s="90"/>
      <c r="W168" s="74"/>
      <c r="X168" s="74"/>
      <c r="Y168" s="74"/>
      <c r="Z168" s="74"/>
      <c r="AA168" s="74"/>
      <c r="AB168" s="74"/>
      <c r="AC168" s="74"/>
      <c r="AD168" s="74"/>
    </row>
    <row r="169">
      <c r="A169" s="75"/>
      <c r="B169" s="76"/>
      <c r="C169" s="95"/>
      <c r="D169" s="76"/>
      <c r="E169" s="76"/>
      <c r="F169" s="76"/>
      <c r="G169" s="76"/>
      <c r="H169" s="76"/>
      <c r="I169" s="75"/>
      <c r="J169" s="78"/>
      <c r="K169" s="76"/>
      <c r="L169" s="79" t="b">
        <v>0</v>
      </c>
      <c r="M169" s="80" t="str">
        <f t="shared" si="1"/>
        <v/>
      </c>
      <c r="N169" s="79" t="b">
        <v>0</v>
      </c>
      <c r="O169" s="80" t="str">
        <f t="shared" si="2"/>
        <v/>
      </c>
      <c r="P169" s="76"/>
      <c r="Q169" s="76"/>
      <c r="R169" s="76" t="b">
        <v>0</v>
      </c>
      <c r="S169" s="76" t="b">
        <v>0</v>
      </c>
      <c r="T169" s="76"/>
      <c r="U169" s="79"/>
      <c r="V169" s="90"/>
      <c r="W169" s="74"/>
      <c r="X169" s="74"/>
      <c r="Y169" s="74"/>
      <c r="Z169" s="74"/>
      <c r="AA169" s="74"/>
      <c r="AB169" s="74"/>
      <c r="AC169" s="74"/>
      <c r="AD169" s="74"/>
    </row>
    <row r="170">
      <c r="A170" s="75"/>
      <c r="B170" s="76"/>
      <c r="C170" s="95"/>
      <c r="D170" s="76"/>
      <c r="E170" s="76"/>
      <c r="F170" s="76"/>
      <c r="G170" s="76"/>
      <c r="H170" s="76"/>
      <c r="I170" s="75"/>
      <c r="J170" s="78"/>
      <c r="K170" s="76"/>
      <c r="L170" s="79" t="b">
        <v>0</v>
      </c>
      <c r="M170" s="80" t="str">
        <f t="shared" si="1"/>
        <v/>
      </c>
      <c r="N170" s="79" t="b">
        <v>0</v>
      </c>
      <c r="O170" s="80" t="str">
        <f t="shared" si="2"/>
        <v/>
      </c>
      <c r="P170" s="76"/>
      <c r="Q170" s="76"/>
      <c r="R170" s="76" t="b">
        <v>0</v>
      </c>
      <c r="S170" s="76" t="b">
        <v>0</v>
      </c>
      <c r="T170" s="76"/>
      <c r="U170" s="79"/>
      <c r="V170" s="90"/>
      <c r="W170" s="74"/>
      <c r="X170" s="74"/>
      <c r="Y170" s="74"/>
      <c r="Z170" s="74"/>
      <c r="AA170" s="74"/>
      <c r="AB170" s="74"/>
      <c r="AC170" s="74"/>
      <c r="AD170" s="74"/>
    </row>
    <row r="171">
      <c r="A171" s="75"/>
      <c r="B171" s="76"/>
      <c r="C171" s="95"/>
      <c r="D171" s="76"/>
      <c r="E171" s="76"/>
      <c r="F171" s="76"/>
      <c r="G171" s="76"/>
      <c r="H171" s="76"/>
      <c r="I171" s="75"/>
      <c r="J171" s="78"/>
      <c r="K171" s="76"/>
      <c r="L171" s="79" t="b">
        <v>0</v>
      </c>
      <c r="M171" s="80" t="str">
        <f t="shared" si="1"/>
        <v/>
      </c>
      <c r="N171" s="79" t="b">
        <v>0</v>
      </c>
      <c r="O171" s="80" t="str">
        <f t="shared" si="2"/>
        <v/>
      </c>
      <c r="P171" s="76"/>
      <c r="Q171" s="76"/>
      <c r="R171" s="76" t="b">
        <v>0</v>
      </c>
      <c r="S171" s="76" t="b">
        <v>0</v>
      </c>
      <c r="T171" s="76"/>
      <c r="U171" s="79"/>
      <c r="V171" s="90"/>
      <c r="W171" s="74"/>
      <c r="X171" s="74"/>
      <c r="Y171" s="74"/>
      <c r="Z171" s="74"/>
      <c r="AA171" s="74"/>
      <c r="AB171" s="74"/>
      <c r="AC171" s="74"/>
      <c r="AD171" s="74"/>
    </row>
    <row r="172">
      <c r="A172" s="75"/>
      <c r="B172" s="76"/>
      <c r="C172" s="95"/>
      <c r="D172" s="76"/>
      <c r="E172" s="76"/>
      <c r="F172" s="76"/>
      <c r="G172" s="76"/>
      <c r="H172" s="76"/>
      <c r="I172" s="75"/>
      <c r="J172" s="78"/>
      <c r="K172" s="76"/>
      <c r="L172" s="79" t="b">
        <v>0</v>
      </c>
      <c r="M172" s="80" t="str">
        <f t="shared" si="1"/>
        <v/>
      </c>
      <c r="N172" s="79" t="b">
        <v>0</v>
      </c>
      <c r="O172" s="80" t="str">
        <f t="shared" si="2"/>
        <v/>
      </c>
      <c r="P172" s="76"/>
      <c r="Q172" s="76"/>
      <c r="R172" s="76" t="b">
        <v>0</v>
      </c>
      <c r="S172" s="76" t="b">
        <v>0</v>
      </c>
      <c r="T172" s="76"/>
      <c r="U172" s="79"/>
      <c r="V172" s="90"/>
      <c r="W172" s="74"/>
      <c r="X172" s="74"/>
      <c r="Y172" s="74"/>
      <c r="Z172" s="74"/>
      <c r="AA172" s="74"/>
      <c r="AB172" s="74"/>
      <c r="AC172" s="74"/>
      <c r="AD172" s="74"/>
    </row>
    <row r="173">
      <c r="A173" s="127"/>
      <c r="B173" s="76"/>
      <c r="C173" s="77"/>
      <c r="D173" s="76"/>
      <c r="E173" s="76"/>
      <c r="F173" s="76"/>
      <c r="G173" s="76"/>
      <c r="H173" s="76"/>
      <c r="I173" s="127"/>
      <c r="J173" s="78"/>
      <c r="K173" s="76"/>
      <c r="L173" s="79" t="b">
        <v>0</v>
      </c>
      <c r="M173" s="80" t="str">
        <f t="shared" si="1"/>
        <v/>
      </c>
      <c r="N173" s="79" t="b">
        <v>0</v>
      </c>
      <c r="O173" s="80" t="str">
        <f t="shared" si="2"/>
        <v/>
      </c>
      <c r="P173" s="76"/>
      <c r="Q173" s="76"/>
      <c r="R173" s="76" t="b">
        <v>0</v>
      </c>
      <c r="S173" s="76" t="b">
        <v>0</v>
      </c>
      <c r="T173" s="76"/>
      <c r="U173" s="79"/>
      <c r="V173" s="90"/>
      <c r="W173" s="74"/>
      <c r="X173" s="74"/>
      <c r="Y173" s="74"/>
      <c r="Z173" s="74"/>
      <c r="AA173" s="74"/>
      <c r="AB173" s="74"/>
      <c r="AC173" s="74"/>
      <c r="AD173" s="74"/>
    </row>
    <row r="174">
      <c r="A174" s="127"/>
      <c r="B174" s="76"/>
      <c r="C174" s="77"/>
      <c r="D174" s="76"/>
      <c r="E174" s="76"/>
      <c r="F174" s="76"/>
      <c r="G174" s="76"/>
      <c r="H174" s="76"/>
      <c r="I174" s="127"/>
      <c r="J174" s="78"/>
      <c r="K174" s="76"/>
      <c r="L174" s="79" t="b">
        <v>0</v>
      </c>
      <c r="M174" s="80" t="str">
        <f t="shared" si="1"/>
        <v/>
      </c>
      <c r="N174" s="79" t="b">
        <v>0</v>
      </c>
      <c r="O174" s="80" t="str">
        <f t="shared" si="2"/>
        <v/>
      </c>
      <c r="P174" s="76"/>
      <c r="Q174" s="76"/>
      <c r="R174" s="76" t="b">
        <v>0</v>
      </c>
      <c r="S174" s="76" t="b">
        <v>0</v>
      </c>
      <c r="T174" s="76"/>
      <c r="U174" s="79"/>
      <c r="V174" s="90"/>
      <c r="W174" s="74"/>
      <c r="X174" s="74"/>
      <c r="Y174" s="74"/>
      <c r="Z174" s="74"/>
      <c r="AA174" s="74"/>
      <c r="AB174" s="74"/>
      <c r="AC174" s="74"/>
      <c r="AD174" s="74"/>
    </row>
    <row r="175">
      <c r="A175" s="127"/>
      <c r="B175" s="76"/>
      <c r="C175" s="77"/>
      <c r="D175" s="76"/>
      <c r="E175" s="76"/>
      <c r="F175" s="76"/>
      <c r="G175" s="76"/>
      <c r="H175" s="76"/>
      <c r="I175" s="127"/>
      <c r="J175" s="78"/>
      <c r="K175" s="76"/>
      <c r="L175" s="79" t="b">
        <v>0</v>
      </c>
      <c r="M175" s="80" t="str">
        <f t="shared" si="1"/>
        <v/>
      </c>
      <c r="N175" s="79" t="b">
        <v>0</v>
      </c>
      <c r="O175" s="80" t="str">
        <f t="shared" si="2"/>
        <v/>
      </c>
      <c r="P175" s="76"/>
      <c r="Q175" s="76"/>
      <c r="R175" s="76" t="b">
        <v>0</v>
      </c>
      <c r="S175" s="76" t="b">
        <v>0</v>
      </c>
      <c r="T175" s="76"/>
      <c r="U175" s="79"/>
      <c r="V175" s="83"/>
      <c r="W175" s="74"/>
      <c r="X175" s="74"/>
      <c r="Y175" s="74"/>
      <c r="Z175" s="74"/>
      <c r="AA175" s="74"/>
      <c r="AB175" s="74"/>
      <c r="AC175" s="74"/>
      <c r="AD175" s="74"/>
    </row>
    <row r="176">
      <c r="A176" s="127"/>
      <c r="B176" s="76"/>
      <c r="C176" s="77"/>
      <c r="D176" s="76"/>
      <c r="E176" s="76"/>
      <c r="F176" s="76"/>
      <c r="G176" s="76"/>
      <c r="H176" s="76"/>
      <c r="I176" s="127"/>
      <c r="J176" s="78"/>
      <c r="K176" s="76"/>
      <c r="L176" s="79" t="b">
        <v>0</v>
      </c>
      <c r="M176" s="80" t="str">
        <f t="shared" si="1"/>
        <v/>
      </c>
      <c r="N176" s="79" t="b">
        <v>0</v>
      </c>
      <c r="O176" s="80" t="str">
        <f t="shared" si="2"/>
        <v/>
      </c>
      <c r="P176" s="76"/>
      <c r="Q176" s="76"/>
      <c r="R176" s="76" t="b">
        <v>0</v>
      </c>
      <c r="S176" s="76" t="b">
        <v>0</v>
      </c>
      <c r="T176" s="76"/>
      <c r="U176" s="79"/>
      <c r="V176" s="90"/>
      <c r="W176" s="74"/>
      <c r="X176" s="74"/>
      <c r="Y176" s="74"/>
      <c r="Z176" s="74"/>
      <c r="AA176" s="74"/>
      <c r="AB176" s="74"/>
      <c r="AC176" s="74"/>
      <c r="AD176" s="74"/>
    </row>
    <row r="177">
      <c r="A177" s="127"/>
      <c r="B177" s="76"/>
      <c r="C177" s="77"/>
      <c r="D177" s="76"/>
      <c r="E177" s="76"/>
      <c r="F177" s="76"/>
      <c r="G177" s="76"/>
      <c r="H177" s="76"/>
      <c r="I177" s="127"/>
      <c r="J177" s="78"/>
      <c r="K177" s="76"/>
      <c r="L177" s="79" t="b">
        <v>0</v>
      </c>
      <c r="M177" s="80" t="str">
        <f t="shared" si="1"/>
        <v/>
      </c>
      <c r="N177" s="79" t="b">
        <v>0</v>
      </c>
      <c r="O177" s="80" t="str">
        <f t="shared" si="2"/>
        <v/>
      </c>
      <c r="P177" s="76"/>
      <c r="Q177" s="76"/>
      <c r="R177" s="76" t="b">
        <v>0</v>
      </c>
      <c r="S177" s="76" t="b">
        <v>0</v>
      </c>
      <c r="T177" s="76"/>
      <c r="U177" s="79"/>
      <c r="V177" s="90"/>
      <c r="W177" s="74"/>
      <c r="X177" s="74"/>
      <c r="Y177" s="74"/>
      <c r="Z177" s="74"/>
      <c r="AA177" s="74"/>
      <c r="AB177" s="74"/>
      <c r="AC177" s="74"/>
      <c r="AD177" s="74"/>
    </row>
    <row r="178">
      <c r="A178" s="127"/>
      <c r="B178" s="76"/>
      <c r="C178" s="77"/>
      <c r="D178" s="76"/>
      <c r="E178" s="76"/>
      <c r="F178" s="76"/>
      <c r="G178" s="76"/>
      <c r="H178" s="76"/>
      <c r="I178" s="127"/>
      <c r="J178" s="78"/>
      <c r="K178" s="76"/>
      <c r="L178" s="79" t="b">
        <v>0</v>
      </c>
      <c r="M178" s="80" t="str">
        <f t="shared" si="1"/>
        <v/>
      </c>
      <c r="N178" s="79" t="b">
        <v>0</v>
      </c>
      <c r="O178" s="80" t="str">
        <f t="shared" si="2"/>
        <v/>
      </c>
      <c r="P178" s="76"/>
      <c r="Q178" s="76"/>
      <c r="R178" s="76" t="b">
        <v>0</v>
      </c>
      <c r="S178" s="76" t="b">
        <v>0</v>
      </c>
      <c r="T178" s="76"/>
      <c r="U178" s="79"/>
      <c r="V178" s="90"/>
      <c r="W178" s="74"/>
      <c r="X178" s="74"/>
      <c r="Y178" s="74"/>
      <c r="Z178" s="74"/>
      <c r="AA178" s="74"/>
      <c r="AB178" s="74"/>
      <c r="AC178" s="74"/>
      <c r="AD178" s="74"/>
    </row>
    <row r="179">
      <c r="A179" s="127"/>
      <c r="B179" s="76"/>
      <c r="C179" s="77"/>
      <c r="D179" s="76"/>
      <c r="E179" s="76"/>
      <c r="F179" s="76"/>
      <c r="G179" s="76"/>
      <c r="H179" s="76"/>
      <c r="I179" s="127"/>
      <c r="J179" s="78"/>
      <c r="K179" s="76"/>
      <c r="L179" s="79" t="b">
        <v>0</v>
      </c>
      <c r="M179" s="80" t="str">
        <f t="shared" si="1"/>
        <v/>
      </c>
      <c r="N179" s="79" t="b">
        <v>0</v>
      </c>
      <c r="O179" s="80" t="str">
        <f t="shared" si="2"/>
        <v/>
      </c>
      <c r="P179" s="76"/>
      <c r="Q179" s="76"/>
      <c r="R179" s="76" t="b">
        <v>0</v>
      </c>
      <c r="S179" s="76" t="b">
        <v>0</v>
      </c>
      <c r="T179" s="76"/>
      <c r="U179" s="79"/>
      <c r="V179" s="90"/>
      <c r="W179" s="74"/>
      <c r="X179" s="74"/>
      <c r="Y179" s="74"/>
      <c r="Z179" s="74"/>
      <c r="AA179" s="74"/>
      <c r="AB179" s="74"/>
      <c r="AC179" s="74"/>
      <c r="AD179" s="74"/>
    </row>
    <row r="180">
      <c r="A180" s="127"/>
      <c r="B180" s="76"/>
      <c r="C180" s="77"/>
      <c r="D180" s="76"/>
      <c r="E180" s="76"/>
      <c r="F180" s="76"/>
      <c r="G180" s="76"/>
      <c r="H180" s="76"/>
      <c r="I180" s="127"/>
      <c r="J180" s="78"/>
      <c r="K180" s="76"/>
      <c r="L180" s="79" t="b">
        <v>0</v>
      </c>
      <c r="M180" s="80" t="str">
        <f t="shared" si="1"/>
        <v/>
      </c>
      <c r="N180" s="79" t="b">
        <v>0</v>
      </c>
      <c r="O180" s="80" t="str">
        <f t="shared" si="2"/>
        <v/>
      </c>
      <c r="P180" s="76"/>
      <c r="Q180" s="76"/>
      <c r="R180" s="76" t="b">
        <v>0</v>
      </c>
      <c r="S180" s="76" t="b">
        <v>0</v>
      </c>
      <c r="T180" s="76"/>
      <c r="U180" s="79"/>
      <c r="V180" s="90"/>
      <c r="W180" s="74"/>
      <c r="X180" s="74"/>
      <c r="Y180" s="74"/>
      <c r="Z180" s="74"/>
      <c r="AA180" s="74"/>
      <c r="AB180" s="74"/>
      <c r="AC180" s="74"/>
      <c r="AD180" s="74"/>
    </row>
    <row r="181">
      <c r="A181" s="127"/>
      <c r="B181" s="76"/>
      <c r="C181" s="77"/>
      <c r="D181" s="76"/>
      <c r="E181" s="76"/>
      <c r="F181" s="76"/>
      <c r="G181" s="76"/>
      <c r="H181" s="76"/>
      <c r="I181" s="127"/>
      <c r="J181" s="78"/>
      <c r="K181" s="76"/>
      <c r="L181" s="79" t="b">
        <v>0</v>
      </c>
      <c r="M181" s="80" t="str">
        <f t="shared" si="1"/>
        <v/>
      </c>
      <c r="N181" s="79" t="b">
        <v>0</v>
      </c>
      <c r="O181" s="80" t="str">
        <f t="shared" si="2"/>
        <v/>
      </c>
      <c r="P181" s="76"/>
      <c r="Q181" s="76"/>
      <c r="R181" s="76" t="b">
        <v>0</v>
      </c>
      <c r="S181" s="76" t="b">
        <v>0</v>
      </c>
      <c r="T181" s="76"/>
      <c r="U181" s="79"/>
      <c r="V181" s="90"/>
      <c r="W181" s="74"/>
      <c r="X181" s="74"/>
      <c r="Y181" s="74"/>
      <c r="Z181" s="74"/>
      <c r="AA181" s="74"/>
      <c r="AB181" s="74"/>
      <c r="AC181" s="74"/>
      <c r="AD181" s="74"/>
    </row>
    <row r="182">
      <c r="A182" s="127"/>
      <c r="B182" s="76"/>
      <c r="C182" s="77"/>
      <c r="D182" s="76"/>
      <c r="E182" s="76"/>
      <c r="F182" s="76"/>
      <c r="G182" s="76"/>
      <c r="H182" s="76"/>
      <c r="I182" s="127"/>
      <c r="J182" s="78"/>
      <c r="K182" s="76"/>
      <c r="L182" s="79" t="b">
        <v>0</v>
      </c>
      <c r="M182" s="80" t="str">
        <f t="shared" si="1"/>
        <v/>
      </c>
      <c r="N182" s="79" t="b">
        <v>0</v>
      </c>
      <c r="O182" s="80" t="str">
        <f t="shared" si="2"/>
        <v/>
      </c>
      <c r="P182" s="76"/>
      <c r="Q182" s="76"/>
      <c r="R182" s="76" t="b">
        <v>0</v>
      </c>
      <c r="S182" s="76" t="b">
        <v>0</v>
      </c>
      <c r="T182" s="76"/>
      <c r="U182" s="79"/>
      <c r="V182" s="90"/>
      <c r="W182" s="74"/>
      <c r="X182" s="74"/>
      <c r="Y182" s="74"/>
      <c r="Z182" s="74"/>
      <c r="AA182" s="74"/>
      <c r="AB182" s="74"/>
      <c r="AC182" s="74"/>
      <c r="AD182" s="74"/>
    </row>
    <row r="183">
      <c r="A183" s="127"/>
      <c r="B183" s="76"/>
      <c r="C183" s="77"/>
      <c r="D183" s="76"/>
      <c r="E183" s="76"/>
      <c r="F183" s="76"/>
      <c r="G183" s="76"/>
      <c r="H183" s="76"/>
      <c r="I183" s="127"/>
      <c r="J183" s="78"/>
      <c r="K183" s="76"/>
      <c r="L183" s="79" t="b">
        <v>0</v>
      </c>
      <c r="M183" s="80" t="str">
        <f t="shared" si="1"/>
        <v/>
      </c>
      <c r="N183" s="79" t="b">
        <v>0</v>
      </c>
      <c r="O183" s="80" t="str">
        <f t="shared" si="2"/>
        <v/>
      </c>
      <c r="P183" s="76"/>
      <c r="Q183" s="76"/>
      <c r="R183" s="76" t="b">
        <v>0</v>
      </c>
      <c r="S183" s="76" t="b">
        <v>0</v>
      </c>
      <c r="T183" s="76"/>
      <c r="U183" s="79"/>
      <c r="V183" s="90"/>
      <c r="W183" s="74"/>
      <c r="X183" s="74"/>
      <c r="Y183" s="74"/>
      <c r="Z183" s="74"/>
      <c r="AA183" s="74"/>
      <c r="AB183" s="74"/>
      <c r="AC183" s="74"/>
      <c r="AD183" s="74"/>
    </row>
    <row r="184">
      <c r="A184" s="127"/>
      <c r="B184" s="76"/>
      <c r="C184" s="77"/>
      <c r="D184" s="76"/>
      <c r="E184" s="76"/>
      <c r="F184" s="76"/>
      <c r="G184" s="76"/>
      <c r="H184" s="76"/>
      <c r="I184" s="127"/>
      <c r="J184" s="78"/>
      <c r="K184" s="76"/>
      <c r="L184" s="79" t="b">
        <v>0</v>
      </c>
      <c r="M184" s="80" t="str">
        <f t="shared" si="1"/>
        <v/>
      </c>
      <c r="N184" s="79" t="b">
        <v>0</v>
      </c>
      <c r="O184" s="80" t="str">
        <f t="shared" si="2"/>
        <v/>
      </c>
      <c r="P184" s="76"/>
      <c r="Q184" s="76"/>
      <c r="R184" s="76" t="b">
        <v>0</v>
      </c>
      <c r="S184" s="76" t="b">
        <v>0</v>
      </c>
      <c r="T184" s="76"/>
      <c r="U184" s="79"/>
      <c r="V184" s="90"/>
      <c r="W184" s="74"/>
      <c r="X184" s="74"/>
      <c r="Y184" s="74"/>
      <c r="Z184" s="74"/>
      <c r="AA184" s="74"/>
      <c r="AB184" s="74"/>
      <c r="AC184" s="74"/>
      <c r="AD184" s="74"/>
    </row>
    <row r="185">
      <c r="A185" s="127"/>
      <c r="B185" s="76"/>
      <c r="C185" s="77"/>
      <c r="D185" s="76"/>
      <c r="E185" s="76"/>
      <c r="F185" s="76"/>
      <c r="G185" s="76"/>
      <c r="H185" s="76"/>
      <c r="I185" s="127"/>
      <c r="J185" s="78"/>
      <c r="K185" s="76"/>
      <c r="L185" s="79" t="b">
        <v>0</v>
      </c>
      <c r="M185" s="80" t="str">
        <f t="shared" si="1"/>
        <v/>
      </c>
      <c r="N185" s="79" t="b">
        <v>0</v>
      </c>
      <c r="O185" s="80" t="str">
        <f t="shared" si="2"/>
        <v/>
      </c>
      <c r="P185" s="76"/>
      <c r="Q185" s="76"/>
      <c r="R185" s="76" t="b">
        <v>0</v>
      </c>
      <c r="S185" s="76" t="b">
        <v>0</v>
      </c>
      <c r="T185" s="76"/>
      <c r="U185" s="79"/>
      <c r="V185" s="90"/>
      <c r="W185" s="74"/>
      <c r="X185" s="74"/>
      <c r="Y185" s="74"/>
      <c r="Z185" s="74"/>
      <c r="AA185" s="74"/>
      <c r="AB185" s="74"/>
      <c r="AC185" s="74"/>
      <c r="AD185" s="74"/>
    </row>
    <row r="186">
      <c r="A186" s="127"/>
      <c r="B186" s="76"/>
      <c r="C186" s="77"/>
      <c r="D186" s="76"/>
      <c r="E186" s="76"/>
      <c r="F186" s="76"/>
      <c r="G186" s="76"/>
      <c r="H186" s="76"/>
      <c r="I186" s="127"/>
      <c r="J186" s="78"/>
      <c r="K186" s="76"/>
      <c r="L186" s="79" t="b">
        <v>0</v>
      </c>
      <c r="M186" s="80" t="str">
        <f t="shared" si="1"/>
        <v/>
      </c>
      <c r="N186" s="79" t="b">
        <v>0</v>
      </c>
      <c r="O186" s="80" t="str">
        <f t="shared" si="2"/>
        <v/>
      </c>
      <c r="P186" s="76"/>
      <c r="Q186" s="76"/>
      <c r="R186" s="76" t="b">
        <v>0</v>
      </c>
      <c r="S186" s="76" t="b">
        <v>0</v>
      </c>
      <c r="T186" s="76"/>
      <c r="U186" s="79"/>
      <c r="V186" s="90"/>
      <c r="W186" s="74"/>
      <c r="X186" s="74"/>
      <c r="Y186" s="74"/>
      <c r="Z186" s="74"/>
      <c r="AA186" s="74"/>
      <c r="AB186" s="74"/>
      <c r="AC186" s="74"/>
      <c r="AD186" s="74"/>
    </row>
    <row r="187">
      <c r="A187" s="127"/>
      <c r="B187" s="76"/>
      <c r="C187" s="77"/>
      <c r="D187" s="76"/>
      <c r="E187" s="76"/>
      <c r="F187" s="76"/>
      <c r="G187" s="76"/>
      <c r="H187" s="76"/>
      <c r="I187" s="127"/>
      <c r="J187" s="78"/>
      <c r="K187" s="76"/>
      <c r="L187" s="79" t="b">
        <v>0</v>
      </c>
      <c r="M187" s="80" t="str">
        <f t="shared" si="1"/>
        <v/>
      </c>
      <c r="N187" s="79" t="b">
        <v>0</v>
      </c>
      <c r="O187" s="80" t="str">
        <f t="shared" si="2"/>
        <v/>
      </c>
      <c r="P187" s="76"/>
      <c r="Q187" s="76"/>
      <c r="R187" s="76" t="b">
        <v>0</v>
      </c>
      <c r="S187" s="76" t="b">
        <v>0</v>
      </c>
      <c r="T187" s="76"/>
      <c r="U187" s="79"/>
      <c r="V187" s="90"/>
      <c r="W187" s="74"/>
      <c r="X187" s="74"/>
      <c r="Y187" s="74"/>
      <c r="Z187" s="74"/>
      <c r="AA187" s="74"/>
      <c r="AB187" s="74"/>
      <c r="AC187" s="74"/>
      <c r="AD187" s="74"/>
    </row>
    <row r="188">
      <c r="A188" s="127"/>
      <c r="B188" s="76"/>
      <c r="C188" s="77"/>
      <c r="D188" s="76"/>
      <c r="E188" s="76"/>
      <c r="F188" s="76"/>
      <c r="G188" s="76"/>
      <c r="H188" s="76"/>
      <c r="I188" s="127"/>
      <c r="J188" s="78"/>
      <c r="K188" s="76"/>
      <c r="L188" s="79" t="b">
        <v>0</v>
      </c>
      <c r="M188" s="80" t="str">
        <f t="shared" si="1"/>
        <v/>
      </c>
      <c r="N188" s="79" t="b">
        <v>0</v>
      </c>
      <c r="O188" s="80" t="str">
        <f t="shared" si="2"/>
        <v/>
      </c>
      <c r="P188" s="76"/>
      <c r="Q188" s="76"/>
      <c r="R188" s="76" t="b">
        <v>0</v>
      </c>
      <c r="S188" s="76" t="b">
        <v>0</v>
      </c>
      <c r="T188" s="76"/>
      <c r="U188" s="79"/>
      <c r="V188" s="90"/>
      <c r="W188" s="74"/>
      <c r="X188" s="74"/>
      <c r="Y188" s="74"/>
      <c r="Z188" s="74"/>
      <c r="AA188" s="74"/>
      <c r="AB188" s="74"/>
      <c r="AC188" s="74"/>
      <c r="AD188" s="74"/>
    </row>
    <row r="189">
      <c r="A189" s="127"/>
      <c r="B189" s="76"/>
      <c r="C189" s="77"/>
      <c r="D189" s="76"/>
      <c r="E189" s="76"/>
      <c r="F189" s="76"/>
      <c r="G189" s="76"/>
      <c r="H189" s="76"/>
      <c r="I189" s="127"/>
      <c r="J189" s="78"/>
      <c r="K189" s="76"/>
      <c r="L189" s="79" t="b">
        <v>0</v>
      </c>
      <c r="M189" s="80" t="str">
        <f t="shared" si="1"/>
        <v/>
      </c>
      <c r="N189" s="79" t="b">
        <v>0</v>
      </c>
      <c r="O189" s="80" t="str">
        <f t="shared" si="2"/>
        <v/>
      </c>
      <c r="P189" s="76"/>
      <c r="Q189" s="76"/>
      <c r="R189" s="76" t="b">
        <v>0</v>
      </c>
      <c r="S189" s="76" t="b">
        <v>0</v>
      </c>
      <c r="T189" s="76"/>
      <c r="U189" s="79"/>
      <c r="V189" s="90"/>
      <c r="W189" s="74"/>
      <c r="X189" s="74"/>
      <c r="Y189" s="74"/>
      <c r="Z189" s="74"/>
      <c r="AA189" s="74"/>
      <c r="AB189" s="74"/>
      <c r="AC189" s="74"/>
      <c r="AD189" s="74"/>
    </row>
    <row r="190">
      <c r="A190" s="127"/>
      <c r="B190" s="76"/>
      <c r="C190" s="77"/>
      <c r="D190" s="76"/>
      <c r="E190" s="76"/>
      <c r="F190" s="76"/>
      <c r="G190" s="76"/>
      <c r="H190" s="76"/>
      <c r="I190" s="127"/>
      <c r="J190" s="78"/>
      <c r="K190" s="76"/>
      <c r="L190" s="79" t="b">
        <v>0</v>
      </c>
      <c r="M190" s="80" t="str">
        <f t="shared" si="1"/>
        <v/>
      </c>
      <c r="N190" s="79" t="b">
        <v>0</v>
      </c>
      <c r="O190" s="80" t="str">
        <f t="shared" si="2"/>
        <v/>
      </c>
      <c r="P190" s="76"/>
      <c r="Q190" s="76"/>
      <c r="R190" s="76" t="b">
        <v>0</v>
      </c>
      <c r="S190" s="76" t="b">
        <v>0</v>
      </c>
      <c r="T190" s="76"/>
      <c r="U190" s="79"/>
      <c r="V190" s="90"/>
      <c r="W190" s="74"/>
      <c r="X190" s="74"/>
      <c r="Y190" s="74"/>
      <c r="Z190" s="74"/>
      <c r="AA190" s="74"/>
      <c r="AB190" s="74"/>
      <c r="AC190" s="74"/>
      <c r="AD190" s="74"/>
    </row>
    <row r="191">
      <c r="A191" s="127"/>
      <c r="B191" s="76"/>
      <c r="C191" s="77"/>
      <c r="D191" s="76"/>
      <c r="E191" s="76"/>
      <c r="F191" s="76"/>
      <c r="G191" s="76"/>
      <c r="H191" s="76"/>
      <c r="I191" s="127"/>
      <c r="J191" s="78"/>
      <c r="K191" s="76"/>
      <c r="L191" s="79" t="b">
        <v>0</v>
      </c>
      <c r="M191" s="80" t="str">
        <f t="shared" si="1"/>
        <v/>
      </c>
      <c r="N191" s="79" t="b">
        <v>0</v>
      </c>
      <c r="O191" s="80" t="str">
        <f t="shared" si="2"/>
        <v/>
      </c>
      <c r="P191" s="76"/>
      <c r="Q191" s="76"/>
      <c r="R191" s="76" t="b">
        <v>0</v>
      </c>
      <c r="S191" s="76" t="b">
        <v>0</v>
      </c>
      <c r="T191" s="76"/>
      <c r="U191" s="79"/>
      <c r="V191" s="90"/>
      <c r="W191" s="74"/>
      <c r="X191" s="74"/>
      <c r="Y191" s="74"/>
      <c r="Z191" s="74"/>
      <c r="AA191" s="74"/>
      <c r="AB191" s="74"/>
      <c r="AC191" s="74"/>
      <c r="AD191" s="74"/>
    </row>
    <row r="192">
      <c r="A192" s="127"/>
      <c r="B192" s="76"/>
      <c r="C192" s="77"/>
      <c r="D192" s="76"/>
      <c r="E192" s="76"/>
      <c r="F192" s="76"/>
      <c r="G192" s="76"/>
      <c r="H192" s="76"/>
      <c r="I192" s="127"/>
      <c r="J192" s="78"/>
      <c r="K192" s="76"/>
      <c r="L192" s="79" t="b">
        <v>0</v>
      </c>
      <c r="M192" s="80" t="str">
        <f t="shared" si="1"/>
        <v/>
      </c>
      <c r="N192" s="79" t="b">
        <v>0</v>
      </c>
      <c r="O192" s="80" t="str">
        <f t="shared" si="2"/>
        <v/>
      </c>
      <c r="P192" s="76"/>
      <c r="Q192" s="76"/>
      <c r="R192" s="76" t="b">
        <v>0</v>
      </c>
      <c r="S192" s="76" t="b">
        <v>0</v>
      </c>
      <c r="T192" s="76"/>
      <c r="U192" s="79"/>
      <c r="V192" s="90"/>
      <c r="W192" s="74"/>
      <c r="X192" s="74"/>
      <c r="Y192" s="74"/>
      <c r="Z192" s="74"/>
      <c r="AA192" s="74"/>
      <c r="AB192" s="74"/>
      <c r="AC192" s="74"/>
      <c r="AD192" s="74"/>
    </row>
    <row r="193">
      <c r="A193" s="127"/>
      <c r="B193" s="76"/>
      <c r="C193" s="77"/>
      <c r="D193" s="76"/>
      <c r="E193" s="76"/>
      <c r="F193" s="76"/>
      <c r="G193" s="76"/>
      <c r="H193" s="76"/>
      <c r="I193" s="127"/>
      <c r="J193" s="78"/>
      <c r="K193" s="76"/>
      <c r="L193" s="79" t="b">
        <v>0</v>
      </c>
      <c r="M193" s="80" t="str">
        <f t="shared" si="1"/>
        <v/>
      </c>
      <c r="N193" s="79" t="b">
        <v>0</v>
      </c>
      <c r="O193" s="80" t="str">
        <f t="shared" si="2"/>
        <v/>
      </c>
      <c r="P193" s="76"/>
      <c r="Q193" s="76"/>
      <c r="R193" s="76" t="b">
        <v>0</v>
      </c>
      <c r="S193" s="76" t="b">
        <v>0</v>
      </c>
      <c r="T193" s="76"/>
      <c r="U193" s="79"/>
      <c r="V193" s="90"/>
      <c r="W193" s="74"/>
      <c r="X193" s="74"/>
      <c r="Y193" s="74"/>
      <c r="Z193" s="74"/>
      <c r="AA193" s="74"/>
      <c r="AB193" s="74"/>
      <c r="AC193" s="74"/>
      <c r="AD193" s="74"/>
    </row>
    <row r="194">
      <c r="A194" s="127"/>
      <c r="B194" s="76"/>
      <c r="C194" s="77"/>
      <c r="D194" s="76"/>
      <c r="E194" s="76"/>
      <c r="F194" s="76"/>
      <c r="G194" s="76"/>
      <c r="H194" s="76"/>
      <c r="I194" s="127"/>
      <c r="J194" s="78"/>
      <c r="K194" s="76"/>
      <c r="L194" s="79" t="b">
        <v>0</v>
      </c>
      <c r="M194" s="80" t="str">
        <f t="shared" si="1"/>
        <v/>
      </c>
      <c r="N194" s="79" t="b">
        <v>0</v>
      </c>
      <c r="O194" s="80" t="str">
        <f t="shared" si="2"/>
        <v/>
      </c>
      <c r="P194" s="76"/>
      <c r="Q194" s="76"/>
      <c r="R194" s="76" t="b">
        <v>0</v>
      </c>
      <c r="S194" s="76" t="b">
        <v>0</v>
      </c>
      <c r="T194" s="76"/>
      <c r="U194" s="79"/>
      <c r="V194" s="90"/>
      <c r="W194" s="74"/>
      <c r="X194" s="74"/>
      <c r="Y194" s="74"/>
      <c r="Z194" s="74"/>
      <c r="AA194" s="74"/>
      <c r="AB194" s="74"/>
      <c r="AC194" s="74"/>
      <c r="AD194" s="74"/>
    </row>
    <row r="195">
      <c r="A195" s="127"/>
      <c r="B195" s="76"/>
      <c r="C195" s="77"/>
      <c r="D195" s="76"/>
      <c r="E195" s="76"/>
      <c r="F195" s="76"/>
      <c r="G195" s="76"/>
      <c r="H195" s="76"/>
      <c r="I195" s="127"/>
      <c r="J195" s="78"/>
      <c r="K195" s="76"/>
      <c r="L195" s="79" t="b">
        <v>0</v>
      </c>
      <c r="M195" s="80" t="str">
        <f t="shared" si="1"/>
        <v/>
      </c>
      <c r="N195" s="79" t="b">
        <v>0</v>
      </c>
      <c r="O195" s="80" t="str">
        <f t="shared" si="2"/>
        <v/>
      </c>
      <c r="P195" s="76"/>
      <c r="Q195" s="76"/>
      <c r="R195" s="76" t="b">
        <v>0</v>
      </c>
      <c r="S195" s="76" t="b">
        <v>0</v>
      </c>
      <c r="T195" s="76"/>
      <c r="U195" s="79"/>
      <c r="V195" s="90"/>
      <c r="W195" s="74"/>
      <c r="X195" s="74"/>
      <c r="Y195" s="74"/>
      <c r="Z195" s="74"/>
      <c r="AA195" s="74"/>
      <c r="AB195" s="74"/>
      <c r="AC195" s="74"/>
      <c r="AD195" s="74"/>
    </row>
    <row r="196">
      <c r="A196" s="127"/>
      <c r="B196" s="76"/>
      <c r="C196" s="77"/>
      <c r="D196" s="76"/>
      <c r="E196" s="76"/>
      <c r="F196" s="76"/>
      <c r="G196" s="76"/>
      <c r="H196" s="76"/>
      <c r="I196" s="127"/>
      <c r="J196" s="78"/>
      <c r="K196" s="76"/>
      <c r="L196" s="79" t="b">
        <v>0</v>
      </c>
      <c r="M196" s="80" t="str">
        <f t="shared" si="1"/>
        <v/>
      </c>
      <c r="N196" s="79" t="b">
        <v>0</v>
      </c>
      <c r="O196" s="80" t="str">
        <f t="shared" si="2"/>
        <v/>
      </c>
      <c r="P196" s="76"/>
      <c r="Q196" s="76"/>
      <c r="R196" s="76" t="b">
        <v>0</v>
      </c>
      <c r="S196" s="76" t="b">
        <v>0</v>
      </c>
      <c r="T196" s="76"/>
      <c r="U196" s="79"/>
      <c r="V196" s="90"/>
      <c r="W196" s="74"/>
      <c r="X196" s="74"/>
      <c r="Y196" s="74"/>
      <c r="Z196" s="74"/>
      <c r="AA196" s="74"/>
      <c r="AB196" s="74"/>
      <c r="AC196" s="74"/>
      <c r="AD196" s="74"/>
    </row>
    <row r="197">
      <c r="A197" s="127"/>
      <c r="B197" s="76"/>
      <c r="C197" s="77"/>
      <c r="D197" s="76"/>
      <c r="E197" s="76"/>
      <c r="F197" s="76"/>
      <c r="G197" s="76"/>
      <c r="H197" s="76"/>
      <c r="I197" s="127"/>
      <c r="J197" s="78"/>
      <c r="K197" s="76"/>
      <c r="L197" s="79" t="b">
        <v>0</v>
      </c>
      <c r="M197" s="80" t="str">
        <f t="shared" si="1"/>
        <v/>
      </c>
      <c r="N197" s="79" t="b">
        <v>0</v>
      </c>
      <c r="O197" s="80" t="str">
        <f t="shared" si="2"/>
        <v/>
      </c>
      <c r="P197" s="76"/>
      <c r="Q197" s="76"/>
      <c r="R197" s="76" t="b">
        <v>0</v>
      </c>
      <c r="S197" s="76" t="b">
        <v>0</v>
      </c>
      <c r="T197" s="76"/>
      <c r="U197" s="79"/>
      <c r="V197" s="90"/>
      <c r="W197" s="74"/>
      <c r="X197" s="74"/>
      <c r="Y197" s="74"/>
      <c r="Z197" s="74"/>
      <c r="AA197" s="74"/>
      <c r="AB197" s="74"/>
      <c r="AC197" s="74"/>
      <c r="AD197" s="74"/>
    </row>
    <row r="198">
      <c r="A198" s="127"/>
      <c r="B198" s="76"/>
      <c r="C198" s="77"/>
      <c r="D198" s="76"/>
      <c r="E198" s="76"/>
      <c r="F198" s="76"/>
      <c r="G198" s="76"/>
      <c r="H198" s="76"/>
      <c r="I198" s="127"/>
      <c r="J198" s="78"/>
      <c r="K198" s="76"/>
      <c r="L198" s="79" t="b">
        <v>0</v>
      </c>
      <c r="M198" s="80" t="str">
        <f t="shared" si="1"/>
        <v/>
      </c>
      <c r="N198" s="79" t="b">
        <v>0</v>
      </c>
      <c r="O198" s="80" t="str">
        <f t="shared" si="2"/>
        <v/>
      </c>
      <c r="P198" s="76"/>
      <c r="Q198" s="76"/>
      <c r="R198" s="76" t="b">
        <v>0</v>
      </c>
      <c r="S198" s="76" t="b">
        <v>0</v>
      </c>
      <c r="T198" s="76"/>
      <c r="U198" s="79"/>
      <c r="V198" s="90"/>
      <c r="W198" s="74"/>
      <c r="X198" s="74"/>
      <c r="Y198" s="74"/>
      <c r="Z198" s="74"/>
      <c r="AA198" s="74"/>
      <c r="AB198" s="74"/>
      <c r="AC198" s="74"/>
      <c r="AD198" s="74"/>
    </row>
    <row r="199">
      <c r="A199" s="127"/>
      <c r="B199" s="76"/>
      <c r="C199" s="77"/>
      <c r="D199" s="76"/>
      <c r="E199" s="76"/>
      <c r="F199" s="76"/>
      <c r="G199" s="76"/>
      <c r="H199" s="76"/>
      <c r="I199" s="127"/>
      <c r="J199" s="78"/>
      <c r="K199" s="76"/>
      <c r="L199" s="79" t="b">
        <v>0</v>
      </c>
      <c r="M199" s="80" t="str">
        <f t="shared" si="1"/>
        <v/>
      </c>
      <c r="N199" s="79" t="b">
        <v>0</v>
      </c>
      <c r="O199" s="80" t="str">
        <f t="shared" si="2"/>
        <v/>
      </c>
      <c r="P199" s="76"/>
      <c r="Q199" s="76"/>
      <c r="R199" s="76" t="b">
        <v>0</v>
      </c>
      <c r="S199" s="76" t="b">
        <v>0</v>
      </c>
      <c r="T199" s="76"/>
      <c r="U199" s="79"/>
      <c r="V199" s="90"/>
      <c r="W199" s="74"/>
      <c r="X199" s="74"/>
      <c r="Y199" s="74"/>
      <c r="Z199" s="74"/>
      <c r="AA199" s="74"/>
      <c r="AB199" s="74"/>
      <c r="AC199" s="74"/>
      <c r="AD199" s="74"/>
    </row>
    <row r="200">
      <c r="A200" s="127"/>
      <c r="B200" s="76"/>
      <c r="C200" s="77"/>
      <c r="D200" s="76"/>
      <c r="E200" s="76"/>
      <c r="F200" s="76"/>
      <c r="G200" s="76"/>
      <c r="H200" s="76"/>
      <c r="I200" s="127"/>
      <c r="J200" s="78"/>
      <c r="K200" s="76"/>
      <c r="L200" s="79" t="b">
        <v>0</v>
      </c>
      <c r="M200" s="80" t="str">
        <f t="shared" si="1"/>
        <v/>
      </c>
      <c r="N200" s="79" t="b">
        <v>0</v>
      </c>
      <c r="O200" s="80" t="str">
        <f t="shared" si="2"/>
        <v/>
      </c>
      <c r="P200" s="76"/>
      <c r="Q200" s="76"/>
      <c r="R200" s="76" t="b">
        <v>0</v>
      </c>
      <c r="S200" s="76" t="b">
        <v>0</v>
      </c>
      <c r="T200" s="76"/>
      <c r="U200" s="79"/>
      <c r="V200" s="90"/>
      <c r="W200" s="74"/>
      <c r="X200" s="74"/>
      <c r="Y200" s="74"/>
      <c r="Z200" s="74"/>
      <c r="AA200" s="74"/>
      <c r="AB200" s="74"/>
      <c r="AC200" s="74"/>
      <c r="AD200" s="74"/>
    </row>
    <row r="201">
      <c r="A201" s="127"/>
      <c r="B201" s="76"/>
      <c r="C201" s="77"/>
      <c r="D201" s="76"/>
      <c r="E201" s="76"/>
      <c r="F201" s="76"/>
      <c r="G201" s="76"/>
      <c r="H201" s="76"/>
      <c r="I201" s="127"/>
      <c r="J201" s="78"/>
      <c r="K201" s="76"/>
      <c r="L201" s="79" t="b">
        <v>0</v>
      </c>
      <c r="M201" s="80" t="str">
        <f t="shared" si="1"/>
        <v/>
      </c>
      <c r="N201" s="79" t="b">
        <v>0</v>
      </c>
      <c r="O201" s="80" t="str">
        <f t="shared" si="2"/>
        <v/>
      </c>
      <c r="P201" s="76"/>
      <c r="Q201" s="76"/>
      <c r="R201" s="76" t="b">
        <v>0</v>
      </c>
      <c r="S201" s="76" t="b">
        <v>0</v>
      </c>
      <c r="T201" s="76"/>
      <c r="U201" s="79"/>
      <c r="V201" s="90"/>
      <c r="W201" s="74"/>
      <c r="X201" s="74"/>
      <c r="Y201" s="74"/>
      <c r="Z201" s="74"/>
      <c r="AA201" s="74"/>
      <c r="AB201" s="74"/>
      <c r="AC201" s="74"/>
      <c r="AD201" s="74"/>
    </row>
    <row r="202">
      <c r="A202" s="127"/>
      <c r="B202" s="76"/>
      <c r="C202" s="77"/>
      <c r="D202" s="76"/>
      <c r="E202" s="76"/>
      <c r="F202" s="76"/>
      <c r="G202" s="76"/>
      <c r="H202" s="76"/>
      <c r="I202" s="127"/>
      <c r="J202" s="78"/>
      <c r="K202" s="76"/>
      <c r="L202" s="79" t="b">
        <v>0</v>
      </c>
      <c r="M202" s="80" t="str">
        <f t="shared" si="1"/>
        <v/>
      </c>
      <c r="N202" s="79" t="b">
        <v>0</v>
      </c>
      <c r="O202" s="80" t="str">
        <f t="shared" si="2"/>
        <v/>
      </c>
      <c r="P202" s="76"/>
      <c r="Q202" s="76"/>
      <c r="R202" s="76" t="b">
        <v>0</v>
      </c>
      <c r="S202" s="76" t="b">
        <v>0</v>
      </c>
      <c r="T202" s="76"/>
      <c r="U202" s="79"/>
      <c r="V202" s="90"/>
      <c r="W202" s="74"/>
      <c r="X202" s="74"/>
      <c r="Y202" s="74"/>
      <c r="Z202" s="74"/>
      <c r="AA202" s="74"/>
      <c r="AB202" s="74"/>
      <c r="AC202" s="74"/>
      <c r="AD202" s="74"/>
    </row>
    <row r="203">
      <c r="A203" s="127"/>
      <c r="B203" s="76"/>
      <c r="C203" s="77"/>
      <c r="D203" s="76"/>
      <c r="E203" s="76"/>
      <c r="F203" s="76"/>
      <c r="G203" s="76"/>
      <c r="H203" s="76"/>
      <c r="I203" s="127"/>
      <c r="J203" s="78"/>
      <c r="K203" s="76"/>
      <c r="L203" s="79" t="b">
        <v>0</v>
      </c>
      <c r="M203" s="80" t="str">
        <f t="shared" si="1"/>
        <v/>
      </c>
      <c r="N203" s="79" t="b">
        <v>0</v>
      </c>
      <c r="O203" s="80" t="str">
        <f t="shared" si="2"/>
        <v/>
      </c>
      <c r="P203" s="76"/>
      <c r="Q203" s="76"/>
      <c r="R203" s="76" t="b">
        <v>0</v>
      </c>
      <c r="S203" s="76" t="b">
        <v>0</v>
      </c>
      <c r="T203" s="76"/>
      <c r="U203" s="79"/>
      <c r="V203" s="90"/>
      <c r="W203" s="74"/>
      <c r="X203" s="74"/>
      <c r="Y203" s="74"/>
      <c r="Z203" s="74"/>
      <c r="AA203" s="74"/>
      <c r="AB203" s="74"/>
      <c r="AC203" s="74"/>
      <c r="AD203" s="74"/>
    </row>
    <row r="204">
      <c r="A204" s="127"/>
      <c r="B204" s="76"/>
      <c r="C204" s="77"/>
      <c r="D204" s="76"/>
      <c r="E204" s="76"/>
      <c r="F204" s="76"/>
      <c r="G204" s="76"/>
      <c r="H204" s="76"/>
      <c r="I204" s="127"/>
      <c r="J204" s="78"/>
      <c r="K204" s="76"/>
      <c r="L204" s="79" t="b">
        <v>0</v>
      </c>
      <c r="M204" s="80" t="str">
        <f t="shared" si="1"/>
        <v/>
      </c>
      <c r="N204" s="79" t="b">
        <v>0</v>
      </c>
      <c r="O204" s="80" t="str">
        <f t="shared" si="2"/>
        <v/>
      </c>
      <c r="P204" s="76"/>
      <c r="Q204" s="76"/>
      <c r="R204" s="76" t="b">
        <v>0</v>
      </c>
      <c r="S204" s="76" t="b">
        <v>0</v>
      </c>
      <c r="T204" s="76"/>
      <c r="U204" s="79"/>
      <c r="V204" s="90"/>
      <c r="W204" s="74"/>
      <c r="X204" s="74"/>
      <c r="Y204" s="74"/>
      <c r="Z204" s="74"/>
      <c r="AA204" s="74"/>
      <c r="AB204" s="74"/>
      <c r="AC204" s="74"/>
      <c r="AD204" s="74"/>
    </row>
    <row r="205">
      <c r="A205" s="127"/>
      <c r="B205" s="76"/>
      <c r="C205" s="77"/>
      <c r="D205" s="76"/>
      <c r="E205" s="76"/>
      <c r="F205" s="76"/>
      <c r="G205" s="76"/>
      <c r="H205" s="76"/>
      <c r="I205" s="127"/>
      <c r="J205" s="78"/>
      <c r="K205" s="76"/>
      <c r="L205" s="79" t="b">
        <v>0</v>
      </c>
      <c r="M205" s="80" t="str">
        <f t="shared" si="1"/>
        <v/>
      </c>
      <c r="N205" s="79" t="b">
        <v>0</v>
      </c>
      <c r="O205" s="80" t="str">
        <f t="shared" si="2"/>
        <v/>
      </c>
      <c r="P205" s="76"/>
      <c r="Q205" s="76"/>
      <c r="R205" s="76" t="b">
        <v>0</v>
      </c>
      <c r="S205" s="76" t="b">
        <v>0</v>
      </c>
      <c r="T205" s="76"/>
      <c r="U205" s="79"/>
      <c r="V205" s="90"/>
      <c r="W205" s="74"/>
      <c r="X205" s="74"/>
      <c r="Y205" s="74"/>
      <c r="Z205" s="74"/>
      <c r="AA205" s="74"/>
      <c r="AB205" s="74"/>
      <c r="AC205" s="74"/>
      <c r="AD205" s="74"/>
    </row>
    <row r="206">
      <c r="A206" s="127"/>
      <c r="B206" s="76"/>
      <c r="C206" s="77"/>
      <c r="D206" s="76"/>
      <c r="E206" s="76"/>
      <c r="F206" s="76"/>
      <c r="G206" s="76"/>
      <c r="H206" s="76"/>
      <c r="I206" s="127"/>
      <c r="J206" s="78"/>
      <c r="K206" s="76"/>
      <c r="L206" s="79" t="b">
        <v>0</v>
      </c>
      <c r="M206" s="80" t="str">
        <f t="shared" si="1"/>
        <v/>
      </c>
      <c r="N206" s="79" t="b">
        <v>0</v>
      </c>
      <c r="O206" s="80" t="str">
        <f t="shared" si="2"/>
        <v/>
      </c>
      <c r="P206" s="76"/>
      <c r="Q206" s="76"/>
      <c r="R206" s="76" t="b">
        <v>0</v>
      </c>
      <c r="S206" s="76" t="b">
        <v>0</v>
      </c>
      <c r="T206" s="76"/>
      <c r="U206" s="79"/>
      <c r="V206" s="90"/>
      <c r="W206" s="74"/>
      <c r="X206" s="74"/>
      <c r="Y206" s="74"/>
      <c r="Z206" s="74"/>
      <c r="AA206" s="74"/>
      <c r="AB206" s="74"/>
      <c r="AC206" s="74"/>
      <c r="AD206" s="74"/>
    </row>
    <row r="207">
      <c r="A207" s="127"/>
      <c r="B207" s="76"/>
      <c r="C207" s="77"/>
      <c r="D207" s="76"/>
      <c r="E207" s="76"/>
      <c r="F207" s="76"/>
      <c r="G207" s="76"/>
      <c r="H207" s="76"/>
      <c r="I207" s="127"/>
      <c r="J207" s="78"/>
      <c r="K207" s="76"/>
      <c r="L207" s="79" t="b">
        <v>0</v>
      </c>
      <c r="M207" s="80" t="str">
        <f t="shared" si="1"/>
        <v/>
      </c>
      <c r="N207" s="79" t="b">
        <v>0</v>
      </c>
      <c r="O207" s="80" t="str">
        <f t="shared" si="2"/>
        <v/>
      </c>
      <c r="P207" s="76"/>
      <c r="Q207" s="76"/>
      <c r="R207" s="76" t="b">
        <v>0</v>
      </c>
      <c r="S207" s="76" t="b">
        <v>0</v>
      </c>
      <c r="T207" s="76"/>
      <c r="U207" s="79"/>
      <c r="V207" s="90"/>
      <c r="W207" s="74"/>
      <c r="X207" s="74"/>
      <c r="Y207" s="74"/>
      <c r="Z207" s="74"/>
      <c r="AA207" s="74"/>
      <c r="AB207" s="74"/>
      <c r="AC207" s="74"/>
      <c r="AD207" s="74"/>
    </row>
    <row r="208">
      <c r="A208" s="127"/>
      <c r="B208" s="76"/>
      <c r="C208" s="77"/>
      <c r="D208" s="76"/>
      <c r="E208" s="76"/>
      <c r="F208" s="76"/>
      <c r="G208" s="76"/>
      <c r="H208" s="76"/>
      <c r="I208" s="127"/>
      <c r="J208" s="78"/>
      <c r="K208" s="76"/>
      <c r="L208" s="79" t="b">
        <v>0</v>
      </c>
      <c r="M208" s="80" t="str">
        <f t="shared" si="1"/>
        <v/>
      </c>
      <c r="N208" s="79" t="b">
        <v>0</v>
      </c>
      <c r="O208" s="80" t="str">
        <f t="shared" si="2"/>
        <v/>
      </c>
      <c r="P208" s="76"/>
      <c r="Q208" s="76"/>
      <c r="R208" s="76" t="b">
        <v>0</v>
      </c>
      <c r="S208" s="76" t="b">
        <v>0</v>
      </c>
      <c r="T208" s="76"/>
      <c r="U208" s="79"/>
      <c r="V208" s="90"/>
      <c r="W208" s="74"/>
      <c r="X208" s="74"/>
      <c r="Y208" s="74"/>
      <c r="Z208" s="74"/>
      <c r="AA208" s="74"/>
      <c r="AB208" s="74"/>
      <c r="AC208" s="74"/>
      <c r="AD208" s="74"/>
    </row>
    <row r="209">
      <c r="A209" s="127"/>
      <c r="B209" s="76"/>
      <c r="C209" s="77"/>
      <c r="D209" s="76"/>
      <c r="E209" s="76"/>
      <c r="F209" s="76"/>
      <c r="G209" s="76"/>
      <c r="H209" s="76"/>
      <c r="I209" s="127"/>
      <c r="J209" s="78"/>
      <c r="K209" s="76"/>
      <c r="L209" s="79" t="b">
        <v>0</v>
      </c>
      <c r="M209" s="80" t="str">
        <f t="shared" si="1"/>
        <v/>
      </c>
      <c r="N209" s="79" t="b">
        <v>0</v>
      </c>
      <c r="O209" s="80" t="str">
        <f t="shared" si="2"/>
        <v/>
      </c>
      <c r="P209" s="76"/>
      <c r="Q209" s="76"/>
      <c r="R209" s="76" t="b">
        <v>0</v>
      </c>
      <c r="S209" s="76" t="b">
        <v>0</v>
      </c>
      <c r="T209" s="76"/>
      <c r="U209" s="79"/>
      <c r="V209" s="90"/>
      <c r="W209" s="74"/>
      <c r="X209" s="74"/>
      <c r="Y209" s="74"/>
      <c r="Z209" s="74"/>
      <c r="AA209" s="74"/>
      <c r="AB209" s="74"/>
      <c r="AC209" s="74"/>
      <c r="AD209" s="74"/>
    </row>
    <row r="210">
      <c r="A210" s="127"/>
      <c r="B210" s="76"/>
      <c r="C210" s="77"/>
      <c r="D210" s="76"/>
      <c r="E210" s="76"/>
      <c r="F210" s="76"/>
      <c r="G210" s="76"/>
      <c r="H210" s="76"/>
      <c r="I210" s="127"/>
      <c r="J210" s="78"/>
      <c r="K210" s="76"/>
      <c r="L210" s="79" t="b">
        <v>0</v>
      </c>
      <c r="M210" s="80" t="str">
        <f t="shared" si="1"/>
        <v/>
      </c>
      <c r="N210" s="79" t="b">
        <v>0</v>
      </c>
      <c r="O210" s="80" t="str">
        <f t="shared" si="2"/>
        <v/>
      </c>
      <c r="P210" s="76"/>
      <c r="Q210" s="76"/>
      <c r="R210" s="76" t="b">
        <v>0</v>
      </c>
      <c r="S210" s="76" t="b">
        <v>0</v>
      </c>
      <c r="T210" s="76"/>
      <c r="U210" s="79"/>
      <c r="V210" s="90"/>
      <c r="W210" s="74"/>
      <c r="X210" s="74"/>
      <c r="Y210" s="74"/>
      <c r="Z210" s="74"/>
      <c r="AA210" s="74"/>
      <c r="AB210" s="74"/>
      <c r="AC210" s="74"/>
      <c r="AD210" s="74"/>
    </row>
    <row r="211">
      <c r="A211" s="127"/>
      <c r="B211" s="76"/>
      <c r="C211" s="77"/>
      <c r="D211" s="76"/>
      <c r="E211" s="76"/>
      <c r="F211" s="76"/>
      <c r="G211" s="76"/>
      <c r="H211" s="76"/>
      <c r="I211" s="127"/>
      <c r="J211" s="78"/>
      <c r="K211" s="76"/>
      <c r="L211" s="79" t="b">
        <v>0</v>
      </c>
      <c r="M211" s="80" t="str">
        <f t="shared" si="1"/>
        <v/>
      </c>
      <c r="N211" s="79" t="b">
        <v>0</v>
      </c>
      <c r="O211" s="80" t="str">
        <f t="shared" si="2"/>
        <v/>
      </c>
      <c r="P211" s="76"/>
      <c r="Q211" s="76"/>
      <c r="R211" s="76" t="b">
        <v>0</v>
      </c>
      <c r="S211" s="76" t="b">
        <v>0</v>
      </c>
      <c r="T211" s="76"/>
      <c r="U211" s="79"/>
      <c r="V211" s="90"/>
      <c r="W211" s="74"/>
      <c r="X211" s="74"/>
      <c r="Y211" s="74"/>
      <c r="Z211" s="74"/>
      <c r="AA211" s="74"/>
      <c r="AB211" s="74"/>
      <c r="AC211" s="74"/>
      <c r="AD211" s="74"/>
    </row>
    <row r="212">
      <c r="A212" s="127"/>
      <c r="B212" s="76"/>
      <c r="C212" s="77"/>
      <c r="D212" s="76"/>
      <c r="E212" s="76"/>
      <c r="F212" s="76"/>
      <c r="G212" s="76"/>
      <c r="H212" s="76"/>
      <c r="I212" s="127"/>
      <c r="J212" s="78"/>
      <c r="K212" s="76"/>
      <c r="L212" s="79" t="b">
        <v>0</v>
      </c>
      <c r="M212" s="80" t="str">
        <f t="shared" si="1"/>
        <v/>
      </c>
      <c r="N212" s="79" t="b">
        <v>0</v>
      </c>
      <c r="O212" s="80" t="str">
        <f t="shared" si="2"/>
        <v/>
      </c>
      <c r="P212" s="76"/>
      <c r="Q212" s="76"/>
      <c r="R212" s="76" t="b">
        <v>0</v>
      </c>
      <c r="S212" s="76" t="b">
        <v>0</v>
      </c>
      <c r="T212" s="76"/>
      <c r="U212" s="79"/>
      <c r="V212" s="90"/>
      <c r="W212" s="74"/>
      <c r="X212" s="74"/>
      <c r="Y212" s="74"/>
      <c r="Z212" s="74"/>
      <c r="AA212" s="74"/>
      <c r="AB212" s="74"/>
      <c r="AC212" s="74"/>
      <c r="AD212" s="74"/>
    </row>
    <row r="213">
      <c r="A213" s="127"/>
      <c r="B213" s="76"/>
      <c r="C213" s="77"/>
      <c r="D213" s="76"/>
      <c r="E213" s="76"/>
      <c r="F213" s="76"/>
      <c r="G213" s="76"/>
      <c r="H213" s="76"/>
      <c r="I213" s="127"/>
      <c r="J213" s="78"/>
      <c r="K213" s="76"/>
      <c r="L213" s="79" t="b">
        <v>0</v>
      </c>
      <c r="M213" s="80" t="str">
        <f t="shared" si="1"/>
        <v/>
      </c>
      <c r="N213" s="79" t="b">
        <v>0</v>
      </c>
      <c r="O213" s="80" t="str">
        <f t="shared" si="2"/>
        <v/>
      </c>
      <c r="P213" s="76"/>
      <c r="Q213" s="76"/>
      <c r="R213" s="76" t="b">
        <v>0</v>
      </c>
      <c r="S213" s="76" t="b">
        <v>0</v>
      </c>
      <c r="T213" s="76"/>
      <c r="U213" s="79"/>
      <c r="V213" s="90"/>
      <c r="W213" s="74"/>
      <c r="X213" s="74"/>
      <c r="Y213" s="74"/>
      <c r="Z213" s="74"/>
      <c r="AA213" s="74"/>
      <c r="AB213" s="74"/>
      <c r="AC213" s="74"/>
      <c r="AD213" s="74"/>
    </row>
    <row r="214">
      <c r="A214" s="127"/>
      <c r="B214" s="76"/>
      <c r="C214" s="77"/>
      <c r="D214" s="76"/>
      <c r="E214" s="76"/>
      <c r="F214" s="76"/>
      <c r="G214" s="76"/>
      <c r="H214" s="76"/>
      <c r="I214" s="127"/>
      <c r="J214" s="78"/>
      <c r="K214" s="76"/>
      <c r="L214" s="79" t="b">
        <v>0</v>
      </c>
      <c r="M214" s="80" t="str">
        <f t="shared" si="1"/>
        <v/>
      </c>
      <c r="N214" s="79" t="b">
        <v>0</v>
      </c>
      <c r="O214" s="80" t="str">
        <f t="shared" si="2"/>
        <v/>
      </c>
      <c r="P214" s="76"/>
      <c r="Q214" s="76"/>
      <c r="R214" s="76" t="b">
        <v>0</v>
      </c>
      <c r="S214" s="76" t="b">
        <v>0</v>
      </c>
      <c r="T214" s="76"/>
      <c r="U214" s="79"/>
      <c r="V214" s="90"/>
      <c r="W214" s="74"/>
      <c r="X214" s="74"/>
      <c r="Y214" s="74"/>
      <c r="Z214" s="74"/>
      <c r="AA214" s="74"/>
      <c r="AB214" s="74"/>
      <c r="AC214" s="74"/>
      <c r="AD214" s="74"/>
    </row>
    <row r="215">
      <c r="A215" s="127"/>
      <c r="B215" s="76"/>
      <c r="C215" s="77"/>
      <c r="D215" s="76"/>
      <c r="E215" s="76"/>
      <c r="F215" s="76"/>
      <c r="G215" s="76"/>
      <c r="H215" s="76"/>
      <c r="I215" s="127"/>
      <c r="J215" s="78"/>
      <c r="K215" s="76"/>
      <c r="L215" s="79" t="b">
        <v>0</v>
      </c>
      <c r="M215" s="80" t="str">
        <f t="shared" si="1"/>
        <v/>
      </c>
      <c r="N215" s="79" t="b">
        <v>0</v>
      </c>
      <c r="O215" s="80" t="str">
        <f t="shared" si="2"/>
        <v/>
      </c>
      <c r="P215" s="76"/>
      <c r="Q215" s="76"/>
      <c r="R215" s="76" t="b">
        <v>0</v>
      </c>
      <c r="S215" s="76" t="b">
        <v>0</v>
      </c>
      <c r="T215" s="76"/>
      <c r="U215" s="79"/>
      <c r="V215" s="90"/>
      <c r="W215" s="74"/>
      <c r="X215" s="74"/>
      <c r="Y215" s="74"/>
      <c r="Z215" s="74"/>
      <c r="AA215" s="74"/>
      <c r="AB215" s="74"/>
      <c r="AC215" s="74"/>
      <c r="AD215" s="74"/>
    </row>
    <row r="216">
      <c r="A216" s="127"/>
      <c r="B216" s="76"/>
      <c r="C216" s="77"/>
      <c r="D216" s="76"/>
      <c r="E216" s="76"/>
      <c r="F216" s="76"/>
      <c r="G216" s="76"/>
      <c r="H216" s="76"/>
      <c r="I216" s="127"/>
      <c r="J216" s="78"/>
      <c r="K216" s="76"/>
      <c r="L216" s="79" t="b">
        <v>0</v>
      </c>
      <c r="M216" s="80" t="str">
        <f t="shared" si="1"/>
        <v/>
      </c>
      <c r="N216" s="79" t="b">
        <v>0</v>
      </c>
      <c r="O216" s="80" t="str">
        <f t="shared" si="2"/>
        <v/>
      </c>
      <c r="P216" s="76"/>
      <c r="Q216" s="76"/>
      <c r="R216" s="76" t="b">
        <v>0</v>
      </c>
      <c r="S216" s="76" t="b">
        <v>0</v>
      </c>
      <c r="T216" s="76"/>
      <c r="U216" s="79"/>
      <c r="V216" s="90"/>
      <c r="W216" s="74"/>
      <c r="X216" s="74"/>
      <c r="Y216" s="74"/>
      <c r="Z216" s="74"/>
      <c r="AA216" s="74"/>
      <c r="AB216" s="74"/>
      <c r="AC216" s="74"/>
      <c r="AD216" s="74"/>
    </row>
    <row r="217">
      <c r="A217" s="127"/>
      <c r="B217" s="76"/>
      <c r="C217" s="77"/>
      <c r="D217" s="76"/>
      <c r="E217" s="76"/>
      <c r="F217" s="76"/>
      <c r="G217" s="76"/>
      <c r="H217" s="76"/>
      <c r="I217" s="127"/>
      <c r="J217" s="78"/>
      <c r="K217" s="76"/>
      <c r="L217" s="79" t="b">
        <v>0</v>
      </c>
      <c r="M217" s="80" t="str">
        <f t="shared" si="1"/>
        <v/>
      </c>
      <c r="N217" s="79" t="b">
        <v>0</v>
      </c>
      <c r="O217" s="80" t="str">
        <f t="shared" si="2"/>
        <v/>
      </c>
      <c r="P217" s="76"/>
      <c r="Q217" s="76"/>
      <c r="R217" s="76" t="b">
        <v>0</v>
      </c>
      <c r="S217" s="76" t="b">
        <v>0</v>
      </c>
      <c r="T217" s="76"/>
      <c r="U217" s="79"/>
      <c r="V217" s="90"/>
      <c r="W217" s="74"/>
      <c r="X217" s="74"/>
      <c r="Y217" s="74"/>
      <c r="Z217" s="74"/>
      <c r="AA217" s="74"/>
      <c r="AB217" s="74"/>
      <c r="AC217" s="74"/>
      <c r="AD217" s="74"/>
    </row>
    <row r="218">
      <c r="A218" s="127"/>
      <c r="B218" s="76"/>
      <c r="C218" s="77"/>
      <c r="D218" s="76"/>
      <c r="E218" s="76"/>
      <c r="F218" s="76"/>
      <c r="G218" s="76"/>
      <c r="H218" s="76"/>
      <c r="I218" s="127"/>
      <c r="J218" s="78"/>
      <c r="K218" s="76"/>
      <c r="L218" s="79" t="b">
        <v>0</v>
      </c>
      <c r="M218" s="80" t="str">
        <f t="shared" si="1"/>
        <v/>
      </c>
      <c r="N218" s="79" t="b">
        <v>0</v>
      </c>
      <c r="O218" s="80" t="str">
        <f t="shared" si="2"/>
        <v/>
      </c>
      <c r="P218" s="76"/>
      <c r="Q218" s="76"/>
      <c r="R218" s="76" t="b">
        <v>0</v>
      </c>
      <c r="S218" s="76" t="b">
        <v>0</v>
      </c>
      <c r="T218" s="76"/>
      <c r="U218" s="79"/>
      <c r="V218" s="90"/>
      <c r="W218" s="74"/>
      <c r="X218" s="74"/>
      <c r="Y218" s="74"/>
      <c r="Z218" s="74"/>
      <c r="AA218" s="74"/>
      <c r="AB218" s="74"/>
      <c r="AC218" s="74"/>
      <c r="AD218" s="74"/>
    </row>
    <row r="219">
      <c r="A219" s="127"/>
      <c r="B219" s="76"/>
      <c r="C219" s="77"/>
      <c r="D219" s="76"/>
      <c r="E219" s="76"/>
      <c r="F219" s="76"/>
      <c r="G219" s="76"/>
      <c r="H219" s="76"/>
      <c r="I219" s="127"/>
      <c r="J219" s="78"/>
      <c r="K219" s="76"/>
      <c r="L219" s="79" t="b">
        <v>0</v>
      </c>
      <c r="M219" s="80" t="str">
        <f t="shared" si="1"/>
        <v/>
      </c>
      <c r="N219" s="79" t="b">
        <v>0</v>
      </c>
      <c r="O219" s="80" t="str">
        <f t="shared" si="2"/>
        <v/>
      </c>
      <c r="P219" s="76"/>
      <c r="Q219" s="76"/>
      <c r="R219" s="76" t="b">
        <v>0</v>
      </c>
      <c r="S219" s="76" t="b">
        <v>0</v>
      </c>
      <c r="T219" s="76"/>
      <c r="U219" s="79"/>
      <c r="V219" s="90"/>
      <c r="W219" s="74"/>
      <c r="X219" s="74"/>
      <c r="Y219" s="74"/>
      <c r="Z219" s="74"/>
      <c r="AA219" s="74"/>
      <c r="AB219" s="74"/>
      <c r="AC219" s="74"/>
      <c r="AD219" s="74"/>
    </row>
    <row r="220">
      <c r="A220" s="127"/>
      <c r="B220" s="76"/>
      <c r="C220" s="77"/>
      <c r="D220" s="76"/>
      <c r="E220" s="76"/>
      <c r="F220" s="76"/>
      <c r="G220" s="76"/>
      <c r="H220" s="76"/>
      <c r="I220" s="127"/>
      <c r="J220" s="78"/>
      <c r="K220" s="76"/>
      <c r="L220" s="79" t="b">
        <v>0</v>
      </c>
      <c r="M220" s="80" t="str">
        <f t="shared" si="1"/>
        <v/>
      </c>
      <c r="N220" s="79" t="b">
        <v>0</v>
      </c>
      <c r="O220" s="80" t="str">
        <f t="shared" si="2"/>
        <v/>
      </c>
      <c r="P220" s="76"/>
      <c r="Q220" s="76"/>
      <c r="R220" s="76" t="b">
        <v>0</v>
      </c>
      <c r="S220" s="76" t="b">
        <v>0</v>
      </c>
      <c r="T220" s="76"/>
      <c r="U220" s="79"/>
      <c r="V220" s="90"/>
      <c r="W220" s="74"/>
      <c r="X220" s="74"/>
      <c r="Y220" s="74"/>
      <c r="Z220" s="74"/>
      <c r="AA220" s="74"/>
      <c r="AB220" s="74"/>
      <c r="AC220" s="74"/>
      <c r="AD220" s="74"/>
    </row>
    <row r="221">
      <c r="A221" s="127"/>
      <c r="B221" s="76"/>
      <c r="C221" s="77"/>
      <c r="D221" s="76"/>
      <c r="E221" s="76"/>
      <c r="F221" s="76"/>
      <c r="G221" s="76"/>
      <c r="H221" s="76"/>
      <c r="I221" s="127"/>
      <c r="J221" s="78"/>
      <c r="K221" s="76"/>
      <c r="L221" s="79" t="b">
        <v>0</v>
      </c>
      <c r="M221" s="80" t="str">
        <f t="shared" si="1"/>
        <v/>
      </c>
      <c r="N221" s="79" t="b">
        <v>0</v>
      </c>
      <c r="O221" s="80" t="str">
        <f t="shared" si="2"/>
        <v/>
      </c>
      <c r="P221" s="76"/>
      <c r="Q221" s="76"/>
      <c r="R221" s="76" t="b">
        <v>0</v>
      </c>
      <c r="S221" s="76" t="b">
        <v>0</v>
      </c>
      <c r="T221" s="76"/>
      <c r="U221" s="79"/>
      <c r="V221" s="90"/>
      <c r="W221" s="74"/>
      <c r="X221" s="74"/>
      <c r="Y221" s="74"/>
      <c r="Z221" s="74"/>
      <c r="AA221" s="74"/>
      <c r="AB221" s="74"/>
      <c r="AC221" s="74"/>
      <c r="AD221" s="74"/>
    </row>
    <row r="222">
      <c r="A222" s="127"/>
      <c r="B222" s="76"/>
      <c r="C222" s="77"/>
      <c r="D222" s="76"/>
      <c r="E222" s="76"/>
      <c r="F222" s="76"/>
      <c r="G222" s="76"/>
      <c r="H222" s="76"/>
      <c r="I222" s="127"/>
      <c r="J222" s="78"/>
      <c r="K222" s="76"/>
      <c r="L222" s="79" t="b">
        <v>0</v>
      </c>
      <c r="M222" s="80" t="str">
        <f t="shared" si="1"/>
        <v/>
      </c>
      <c r="N222" s="79" t="b">
        <v>0</v>
      </c>
      <c r="O222" s="80" t="str">
        <f t="shared" si="2"/>
        <v/>
      </c>
      <c r="P222" s="76"/>
      <c r="Q222" s="76"/>
      <c r="R222" s="76" t="b">
        <v>0</v>
      </c>
      <c r="S222" s="76" t="b">
        <v>0</v>
      </c>
      <c r="T222" s="76"/>
      <c r="U222" s="79"/>
      <c r="V222" s="90"/>
      <c r="W222" s="74"/>
      <c r="X222" s="74"/>
      <c r="Y222" s="74"/>
      <c r="Z222" s="74"/>
      <c r="AA222" s="74"/>
      <c r="AB222" s="74"/>
      <c r="AC222" s="74"/>
      <c r="AD222" s="74"/>
    </row>
    <row r="223">
      <c r="A223" s="127"/>
      <c r="B223" s="76"/>
      <c r="C223" s="77"/>
      <c r="D223" s="76"/>
      <c r="E223" s="76"/>
      <c r="F223" s="76"/>
      <c r="G223" s="76"/>
      <c r="H223" s="76"/>
      <c r="I223" s="127"/>
      <c r="J223" s="78"/>
      <c r="K223" s="76"/>
      <c r="L223" s="79" t="b">
        <v>0</v>
      </c>
      <c r="M223" s="80" t="str">
        <f t="shared" si="1"/>
        <v/>
      </c>
      <c r="N223" s="79" t="b">
        <v>0</v>
      </c>
      <c r="O223" s="80" t="str">
        <f t="shared" si="2"/>
        <v/>
      </c>
      <c r="P223" s="76"/>
      <c r="Q223" s="76"/>
      <c r="R223" s="76" t="b">
        <v>0</v>
      </c>
      <c r="S223" s="76" t="b">
        <v>0</v>
      </c>
      <c r="T223" s="76"/>
      <c r="U223" s="79"/>
      <c r="V223" s="90"/>
      <c r="W223" s="74"/>
      <c r="X223" s="74"/>
      <c r="Y223" s="74"/>
      <c r="Z223" s="74"/>
      <c r="AA223" s="74"/>
      <c r="AB223" s="74"/>
      <c r="AC223" s="74"/>
      <c r="AD223" s="74"/>
    </row>
    <row r="224">
      <c r="A224" s="127"/>
      <c r="B224" s="76"/>
      <c r="C224" s="77"/>
      <c r="D224" s="76"/>
      <c r="E224" s="76"/>
      <c r="F224" s="76"/>
      <c r="G224" s="76"/>
      <c r="H224" s="76"/>
      <c r="I224" s="127"/>
      <c r="J224" s="78"/>
      <c r="K224" s="76"/>
      <c r="L224" s="79" t="b">
        <v>0</v>
      </c>
      <c r="M224" s="80" t="str">
        <f t="shared" si="1"/>
        <v/>
      </c>
      <c r="N224" s="79" t="b">
        <v>0</v>
      </c>
      <c r="O224" s="80" t="str">
        <f t="shared" si="2"/>
        <v/>
      </c>
      <c r="P224" s="76"/>
      <c r="Q224" s="76"/>
      <c r="R224" s="76" t="b">
        <v>0</v>
      </c>
      <c r="S224" s="76" t="b">
        <v>0</v>
      </c>
      <c r="T224" s="76"/>
      <c r="U224" s="79"/>
      <c r="V224" s="90"/>
      <c r="W224" s="74"/>
      <c r="X224" s="74"/>
      <c r="Y224" s="74"/>
      <c r="Z224" s="74"/>
      <c r="AA224" s="74"/>
      <c r="AB224" s="74"/>
      <c r="AC224" s="74"/>
      <c r="AD224" s="74"/>
    </row>
    <row r="225">
      <c r="A225" s="127"/>
      <c r="B225" s="76"/>
      <c r="C225" s="77"/>
      <c r="D225" s="76"/>
      <c r="E225" s="76"/>
      <c r="F225" s="76"/>
      <c r="G225" s="76"/>
      <c r="H225" s="76"/>
      <c r="I225" s="127"/>
      <c r="J225" s="78"/>
      <c r="K225" s="76"/>
      <c r="L225" s="79" t="b">
        <v>0</v>
      </c>
      <c r="M225" s="80" t="str">
        <f t="shared" si="1"/>
        <v/>
      </c>
      <c r="N225" s="79" t="b">
        <v>0</v>
      </c>
      <c r="O225" s="80" t="str">
        <f t="shared" si="2"/>
        <v/>
      </c>
      <c r="P225" s="76"/>
      <c r="Q225" s="76"/>
      <c r="R225" s="76" t="b">
        <v>0</v>
      </c>
      <c r="S225" s="76" t="b">
        <v>0</v>
      </c>
      <c r="T225" s="76"/>
      <c r="U225" s="79"/>
      <c r="V225" s="90"/>
      <c r="W225" s="74"/>
      <c r="X225" s="74"/>
      <c r="Y225" s="74"/>
      <c r="Z225" s="74"/>
      <c r="AA225" s="74"/>
      <c r="AB225" s="74"/>
      <c r="AC225" s="74"/>
      <c r="AD225" s="74"/>
    </row>
    <row r="226">
      <c r="A226" s="127"/>
      <c r="B226" s="76"/>
      <c r="C226" s="77"/>
      <c r="D226" s="76"/>
      <c r="E226" s="76"/>
      <c r="F226" s="76"/>
      <c r="G226" s="76"/>
      <c r="H226" s="76"/>
      <c r="I226" s="127"/>
      <c r="J226" s="78"/>
      <c r="K226" s="76"/>
      <c r="L226" s="79" t="b">
        <v>0</v>
      </c>
      <c r="M226" s="80" t="str">
        <f t="shared" si="1"/>
        <v/>
      </c>
      <c r="N226" s="79" t="b">
        <v>0</v>
      </c>
      <c r="O226" s="80" t="str">
        <f t="shared" si="2"/>
        <v/>
      </c>
      <c r="P226" s="76"/>
      <c r="Q226" s="76"/>
      <c r="R226" s="76" t="b">
        <v>0</v>
      </c>
      <c r="S226" s="76" t="b">
        <v>0</v>
      </c>
      <c r="T226" s="76"/>
      <c r="U226" s="79"/>
      <c r="V226" s="90"/>
      <c r="W226" s="74"/>
      <c r="X226" s="74"/>
      <c r="Y226" s="74"/>
      <c r="Z226" s="74"/>
      <c r="AA226" s="74"/>
      <c r="AB226" s="74"/>
      <c r="AC226" s="74"/>
      <c r="AD226" s="74"/>
    </row>
    <row r="227">
      <c r="A227" s="127"/>
      <c r="B227" s="76"/>
      <c r="C227" s="77"/>
      <c r="D227" s="76"/>
      <c r="E227" s="76"/>
      <c r="F227" s="76"/>
      <c r="G227" s="76"/>
      <c r="H227" s="76"/>
      <c r="I227" s="127"/>
      <c r="J227" s="78"/>
      <c r="K227" s="76"/>
      <c r="L227" s="79" t="b">
        <v>0</v>
      </c>
      <c r="M227" s="80" t="str">
        <f t="shared" si="1"/>
        <v/>
      </c>
      <c r="N227" s="79" t="b">
        <v>0</v>
      </c>
      <c r="O227" s="80" t="str">
        <f t="shared" si="2"/>
        <v/>
      </c>
      <c r="P227" s="76"/>
      <c r="Q227" s="76"/>
      <c r="R227" s="76" t="b">
        <v>0</v>
      </c>
      <c r="S227" s="76" t="b">
        <v>0</v>
      </c>
      <c r="T227" s="76"/>
      <c r="U227" s="79"/>
      <c r="V227" s="90"/>
      <c r="W227" s="74"/>
      <c r="X227" s="74"/>
      <c r="Y227" s="74"/>
      <c r="Z227" s="74"/>
      <c r="AA227" s="74"/>
      <c r="AB227" s="74"/>
      <c r="AC227" s="74"/>
      <c r="AD227" s="74"/>
    </row>
    <row r="228">
      <c r="A228" s="127"/>
      <c r="B228" s="76"/>
      <c r="C228" s="77"/>
      <c r="D228" s="76"/>
      <c r="E228" s="76"/>
      <c r="F228" s="76"/>
      <c r="G228" s="76"/>
      <c r="H228" s="76"/>
      <c r="I228" s="127"/>
      <c r="J228" s="78"/>
      <c r="K228" s="76"/>
      <c r="L228" s="79" t="b">
        <v>0</v>
      </c>
      <c r="M228" s="80" t="str">
        <f t="shared" si="1"/>
        <v/>
      </c>
      <c r="N228" s="79" t="b">
        <v>0</v>
      </c>
      <c r="O228" s="80" t="str">
        <f t="shared" si="2"/>
        <v/>
      </c>
      <c r="P228" s="76"/>
      <c r="Q228" s="76"/>
      <c r="R228" s="76" t="b">
        <v>0</v>
      </c>
      <c r="S228" s="76" t="b">
        <v>0</v>
      </c>
      <c r="T228" s="76"/>
      <c r="U228" s="79"/>
      <c r="V228" s="90"/>
      <c r="W228" s="74"/>
      <c r="X228" s="74"/>
      <c r="Y228" s="74"/>
      <c r="Z228" s="74"/>
      <c r="AA228" s="74"/>
      <c r="AB228" s="74"/>
      <c r="AC228" s="74"/>
      <c r="AD228" s="74"/>
    </row>
    <row r="229">
      <c r="A229" s="127"/>
      <c r="B229" s="76"/>
      <c r="C229" s="77"/>
      <c r="D229" s="76"/>
      <c r="E229" s="76"/>
      <c r="F229" s="76"/>
      <c r="G229" s="76"/>
      <c r="H229" s="76"/>
      <c r="I229" s="127"/>
      <c r="J229" s="78"/>
      <c r="K229" s="76"/>
      <c r="L229" s="79" t="b">
        <v>0</v>
      </c>
      <c r="M229" s="80" t="str">
        <f t="shared" si="1"/>
        <v/>
      </c>
      <c r="N229" s="79" t="b">
        <v>0</v>
      </c>
      <c r="O229" s="80" t="str">
        <f t="shared" si="2"/>
        <v/>
      </c>
      <c r="P229" s="76"/>
      <c r="Q229" s="76"/>
      <c r="R229" s="76" t="b">
        <v>0</v>
      </c>
      <c r="S229" s="76" t="b">
        <v>0</v>
      </c>
      <c r="T229" s="76"/>
      <c r="U229" s="79"/>
      <c r="V229" s="90"/>
      <c r="W229" s="74"/>
      <c r="X229" s="74"/>
      <c r="Y229" s="74"/>
      <c r="Z229" s="74"/>
      <c r="AA229" s="74"/>
      <c r="AB229" s="74"/>
      <c r="AC229" s="74"/>
      <c r="AD229" s="74"/>
    </row>
    <row r="230">
      <c r="A230" s="127"/>
      <c r="B230" s="76"/>
      <c r="C230" s="77"/>
      <c r="D230" s="76"/>
      <c r="E230" s="76"/>
      <c r="F230" s="76"/>
      <c r="G230" s="76"/>
      <c r="H230" s="76"/>
      <c r="I230" s="127"/>
      <c r="J230" s="78"/>
      <c r="K230" s="76"/>
      <c r="L230" s="79" t="b">
        <v>0</v>
      </c>
      <c r="M230" s="80" t="str">
        <f t="shared" si="1"/>
        <v/>
      </c>
      <c r="N230" s="79" t="b">
        <v>0</v>
      </c>
      <c r="O230" s="80" t="str">
        <f t="shared" si="2"/>
        <v/>
      </c>
      <c r="P230" s="76"/>
      <c r="Q230" s="76"/>
      <c r="R230" s="76" t="b">
        <v>0</v>
      </c>
      <c r="S230" s="76" t="b">
        <v>0</v>
      </c>
      <c r="T230" s="76"/>
      <c r="U230" s="79"/>
      <c r="V230" s="90"/>
      <c r="W230" s="74"/>
      <c r="X230" s="74"/>
      <c r="Y230" s="74"/>
      <c r="Z230" s="74"/>
      <c r="AA230" s="74"/>
      <c r="AB230" s="74"/>
      <c r="AC230" s="74"/>
      <c r="AD230" s="74"/>
    </row>
    <row r="231">
      <c r="A231" s="127"/>
      <c r="B231" s="76"/>
      <c r="C231" s="77"/>
      <c r="D231" s="76"/>
      <c r="E231" s="76"/>
      <c r="F231" s="76"/>
      <c r="G231" s="76"/>
      <c r="H231" s="76"/>
      <c r="I231" s="127"/>
      <c r="J231" s="78"/>
      <c r="K231" s="76"/>
      <c r="L231" s="79" t="b">
        <v>0</v>
      </c>
      <c r="M231" s="80" t="str">
        <f t="shared" si="1"/>
        <v/>
      </c>
      <c r="N231" s="79" t="b">
        <v>0</v>
      </c>
      <c r="O231" s="80" t="str">
        <f t="shared" si="2"/>
        <v/>
      </c>
      <c r="P231" s="76"/>
      <c r="Q231" s="76"/>
      <c r="R231" s="76" t="b">
        <v>0</v>
      </c>
      <c r="S231" s="76" t="b">
        <v>0</v>
      </c>
      <c r="T231" s="76"/>
      <c r="U231" s="79"/>
      <c r="V231" s="90"/>
      <c r="W231" s="74"/>
      <c r="X231" s="74"/>
      <c r="Y231" s="74"/>
      <c r="Z231" s="74"/>
      <c r="AA231" s="74"/>
      <c r="AB231" s="74"/>
      <c r="AC231" s="74"/>
      <c r="AD231" s="74"/>
    </row>
    <row r="232">
      <c r="A232" s="127"/>
      <c r="B232" s="76"/>
      <c r="C232" s="77"/>
      <c r="D232" s="76"/>
      <c r="E232" s="76"/>
      <c r="F232" s="76"/>
      <c r="G232" s="76"/>
      <c r="H232" s="76"/>
      <c r="I232" s="127"/>
      <c r="J232" s="78"/>
      <c r="K232" s="76"/>
      <c r="L232" s="79" t="b">
        <v>0</v>
      </c>
      <c r="M232" s="80" t="str">
        <f t="shared" si="1"/>
        <v/>
      </c>
      <c r="N232" s="79" t="b">
        <v>0</v>
      </c>
      <c r="O232" s="80" t="str">
        <f t="shared" si="2"/>
        <v/>
      </c>
      <c r="P232" s="76"/>
      <c r="Q232" s="76"/>
      <c r="R232" s="76" t="b">
        <v>0</v>
      </c>
      <c r="S232" s="76" t="b">
        <v>0</v>
      </c>
      <c r="T232" s="76"/>
      <c r="U232" s="79"/>
      <c r="V232" s="90"/>
      <c r="W232" s="74"/>
      <c r="X232" s="74"/>
      <c r="Y232" s="74"/>
      <c r="Z232" s="74"/>
      <c r="AA232" s="74"/>
      <c r="AB232" s="74"/>
      <c r="AC232" s="74"/>
      <c r="AD232" s="74"/>
    </row>
    <row r="233">
      <c r="A233" s="127"/>
      <c r="B233" s="76"/>
      <c r="C233" s="77"/>
      <c r="D233" s="76"/>
      <c r="E233" s="76"/>
      <c r="F233" s="76"/>
      <c r="G233" s="76"/>
      <c r="H233" s="76"/>
      <c r="I233" s="127"/>
      <c r="J233" s="78"/>
      <c r="K233" s="76"/>
      <c r="L233" s="79" t="b">
        <v>0</v>
      </c>
      <c r="M233" s="80" t="str">
        <f t="shared" si="1"/>
        <v/>
      </c>
      <c r="N233" s="79" t="b">
        <v>0</v>
      </c>
      <c r="O233" s="80" t="str">
        <f t="shared" si="2"/>
        <v/>
      </c>
      <c r="P233" s="76"/>
      <c r="Q233" s="76"/>
      <c r="R233" s="76" t="b">
        <v>0</v>
      </c>
      <c r="S233" s="76" t="b">
        <v>0</v>
      </c>
      <c r="T233" s="76"/>
      <c r="U233" s="79"/>
      <c r="V233" s="90"/>
      <c r="W233" s="74"/>
      <c r="X233" s="74"/>
      <c r="Y233" s="74"/>
      <c r="Z233" s="74"/>
      <c r="AA233" s="74"/>
      <c r="AB233" s="74"/>
      <c r="AC233" s="74"/>
      <c r="AD233" s="74"/>
    </row>
    <row r="234">
      <c r="A234" s="127"/>
      <c r="B234" s="76"/>
      <c r="C234" s="77"/>
      <c r="D234" s="76"/>
      <c r="E234" s="76"/>
      <c r="F234" s="76"/>
      <c r="G234" s="76"/>
      <c r="H234" s="76"/>
      <c r="I234" s="127"/>
      <c r="J234" s="78"/>
      <c r="K234" s="76"/>
      <c r="L234" s="79" t="b">
        <v>0</v>
      </c>
      <c r="M234" s="80" t="str">
        <f t="shared" si="1"/>
        <v/>
      </c>
      <c r="N234" s="79" t="b">
        <v>0</v>
      </c>
      <c r="O234" s="80" t="str">
        <f t="shared" si="2"/>
        <v/>
      </c>
      <c r="P234" s="76"/>
      <c r="Q234" s="76"/>
      <c r="R234" s="76" t="b">
        <v>0</v>
      </c>
      <c r="S234" s="76" t="b">
        <v>0</v>
      </c>
      <c r="T234" s="76"/>
      <c r="U234" s="79"/>
      <c r="V234" s="90"/>
      <c r="W234" s="74"/>
      <c r="X234" s="74"/>
      <c r="Y234" s="74"/>
      <c r="Z234" s="74"/>
      <c r="AA234" s="74"/>
      <c r="AB234" s="74"/>
      <c r="AC234" s="74"/>
      <c r="AD234" s="74"/>
    </row>
    <row r="235">
      <c r="A235" s="127"/>
      <c r="B235" s="76"/>
      <c r="C235" s="77"/>
      <c r="D235" s="76"/>
      <c r="E235" s="76"/>
      <c r="F235" s="76"/>
      <c r="G235" s="76"/>
      <c r="H235" s="76"/>
      <c r="I235" s="127"/>
      <c r="J235" s="78"/>
      <c r="K235" s="76"/>
      <c r="L235" s="79" t="b">
        <v>0</v>
      </c>
      <c r="M235" s="80" t="str">
        <f t="shared" si="1"/>
        <v/>
      </c>
      <c r="N235" s="79" t="b">
        <v>0</v>
      </c>
      <c r="O235" s="80" t="str">
        <f t="shared" si="2"/>
        <v/>
      </c>
      <c r="P235" s="76"/>
      <c r="Q235" s="76"/>
      <c r="R235" s="76" t="b">
        <v>0</v>
      </c>
      <c r="S235" s="76" t="b">
        <v>0</v>
      </c>
      <c r="T235" s="76"/>
      <c r="U235" s="79"/>
      <c r="V235" s="90"/>
      <c r="W235" s="74"/>
      <c r="X235" s="74"/>
      <c r="Y235" s="74"/>
      <c r="Z235" s="74"/>
      <c r="AA235" s="74"/>
      <c r="AB235" s="74"/>
      <c r="AC235" s="74"/>
      <c r="AD235" s="74"/>
    </row>
    <row r="236">
      <c r="A236" s="127"/>
      <c r="B236" s="76"/>
      <c r="C236" s="77"/>
      <c r="D236" s="76"/>
      <c r="E236" s="76"/>
      <c r="F236" s="76"/>
      <c r="G236" s="76"/>
      <c r="H236" s="76"/>
      <c r="I236" s="127"/>
      <c r="J236" s="78"/>
      <c r="K236" s="76"/>
      <c r="L236" s="79" t="b">
        <v>0</v>
      </c>
      <c r="M236" s="80" t="str">
        <f t="shared" si="1"/>
        <v/>
      </c>
      <c r="N236" s="79" t="b">
        <v>0</v>
      </c>
      <c r="O236" s="80" t="str">
        <f t="shared" si="2"/>
        <v/>
      </c>
      <c r="P236" s="76"/>
      <c r="Q236" s="76"/>
      <c r="R236" s="76" t="b">
        <v>0</v>
      </c>
      <c r="S236" s="76" t="b">
        <v>0</v>
      </c>
      <c r="T236" s="76"/>
      <c r="U236" s="79"/>
      <c r="V236" s="90"/>
      <c r="W236" s="74"/>
      <c r="X236" s="74"/>
      <c r="Y236" s="74"/>
      <c r="Z236" s="74"/>
      <c r="AA236" s="74"/>
      <c r="AB236" s="74"/>
      <c r="AC236" s="74"/>
      <c r="AD236" s="74"/>
    </row>
    <row r="237">
      <c r="A237" s="127"/>
      <c r="B237" s="76"/>
      <c r="C237" s="77"/>
      <c r="D237" s="76"/>
      <c r="E237" s="76"/>
      <c r="F237" s="76"/>
      <c r="G237" s="76"/>
      <c r="H237" s="76"/>
      <c r="I237" s="127"/>
      <c r="J237" s="78"/>
      <c r="K237" s="76"/>
      <c r="L237" s="79" t="b">
        <v>0</v>
      </c>
      <c r="M237" s="80" t="str">
        <f t="shared" si="1"/>
        <v/>
      </c>
      <c r="N237" s="79" t="b">
        <v>0</v>
      </c>
      <c r="O237" s="80" t="str">
        <f t="shared" si="2"/>
        <v/>
      </c>
      <c r="P237" s="76"/>
      <c r="Q237" s="76"/>
      <c r="R237" s="76" t="b">
        <v>0</v>
      </c>
      <c r="S237" s="76" t="b">
        <v>0</v>
      </c>
      <c r="T237" s="76"/>
      <c r="U237" s="79"/>
      <c r="V237" s="90"/>
      <c r="W237" s="74"/>
      <c r="X237" s="74"/>
      <c r="Y237" s="74"/>
      <c r="Z237" s="74"/>
      <c r="AA237" s="74"/>
      <c r="AB237" s="74"/>
      <c r="AC237" s="74"/>
      <c r="AD237" s="74"/>
    </row>
    <row r="238">
      <c r="A238" s="127"/>
      <c r="B238" s="76"/>
      <c r="C238" s="77"/>
      <c r="D238" s="76"/>
      <c r="E238" s="76"/>
      <c r="F238" s="76"/>
      <c r="G238" s="76"/>
      <c r="H238" s="76"/>
      <c r="I238" s="127"/>
      <c r="J238" s="78"/>
      <c r="K238" s="76"/>
      <c r="L238" s="79" t="b">
        <v>0</v>
      </c>
      <c r="M238" s="80" t="str">
        <f t="shared" si="1"/>
        <v/>
      </c>
      <c r="N238" s="79" t="b">
        <v>0</v>
      </c>
      <c r="O238" s="80" t="str">
        <f t="shared" si="2"/>
        <v/>
      </c>
      <c r="P238" s="76"/>
      <c r="Q238" s="76"/>
      <c r="R238" s="76" t="b">
        <v>0</v>
      </c>
      <c r="S238" s="76" t="b">
        <v>0</v>
      </c>
      <c r="T238" s="76"/>
      <c r="U238" s="79"/>
      <c r="V238" s="90"/>
      <c r="W238" s="74"/>
      <c r="X238" s="74"/>
      <c r="Y238" s="74"/>
      <c r="Z238" s="74"/>
      <c r="AA238" s="74"/>
      <c r="AB238" s="74"/>
      <c r="AC238" s="74"/>
      <c r="AD238" s="74"/>
    </row>
    <row r="239">
      <c r="A239" s="127"/>
      <c r="B239" s="76"/>
      <c r="C239" s="77"/>
      <c r="D239" s="76"/>
      <c r="E239" s="76"/>
      <c r="F239" s="76"/>
      <c r="G239" s="76"/>
      <c r="H239" s="76"/>
      <c r="I239" s="127"/>
      <c r="J239" s="78"/>
      <c r="K239" s="76"/>
      <c r="L239" s="79" t="b">
        <v>0</v>
      </c>
      <c r="M239" s="80" t="str">
        <f t="shared" si="1"/>
        <v/>
      </c>
      <c r="N239" s="79" t="b">
        <v>0</v>
      </c>
      <c r="O239" s="80" t="str">
        <f t="shared" si="2"/>
        <v/>
      </c>
      <c r="P239" s="76"/>
      <c r="Q239" s="76"/>
      <c r="R239" s="76" t="b">
        <v>0</v>
      </c>
      <c r="S239" s="76" t="b">
        <v>0</v>
      </c>
      <c r="T239" s="76"/>
      <c r="U239" s="79"/>
      <c r="V239" s="90"/>
      <c r="W239" s="74"/>
      <c r="X239" s="74"/>
      <c r="Y239" s="74"/>
      <c r="Z239" s="74"/>
      <c r="AA239" s="74"/>
      <c r="AB239" s="74"/>
      <c r="AC239" s="74"/>
      <c r="AD239" s="74"/>
    </row>
    <row r="240">
      <c r="A240" s="127"/>
      <c r="B240" s="76"/>
      <c r="C240" s="77"/>
      <c r="D240" s="76"/>
      <c r="E240" s="76"/>
      <c r="F240" s="76"/>
      <c r="G240" s="76"/>
      <c r="H240" s="76"/>
      <c r="I240" s="127"/>
      <c r="J240" s="78"/>
      <c r="K240" s="76"/>
      <c r="L240" s="79" t="b">
        <v>0</v>
      </c>
      <c r="M240" s="80" t="str">
        <f t="shared" si="1"/>
        <v/>
      </c>
      <c r="N240" s="79" t="b">
        <v>0</v>
      </c>
      <c r="O240" s="80" t="str">
        <f t="shared" si="2"/>
        <v/>
      </c>
      <c r="P240" s="76"/>
      <c r="Q240" s="76"/>
      <c r="R240" s="76" t="b">
        <v>0</v>
      </c>
      <c r="S240" s="76" t="b">
        <v>0</v>
      </c>
      <c r="T240" s="76"/>
      <c r="U240" s="79"/>
      <c r="V240" s="90"/>
      <c r="W240" s="74"/>
      <c r="X240" s="74"/>
      <c r="Y240" s="74"/>
      <c r="Z240" s="74"/>
      <c r="AA240" s="74"/>
      <c r="AB240" s="74"/>
      <c r="AC240" s="74"/>
      <c r="AD240" s="74"/>
    </row>
    <row r="241">
      <c r="A241" s="127"/>
      <c r="B241" s="76"/>
      <c r="C241" s="77"/>
      <c r="D241" s="76"/>
      <c r="E241" s="76"/>
      <c r="F241" s="76"/>
      <c r="G241" s="76"/>
      <c r="H241" s="76"/>
      <c r="I241" s="127"/>
      <c r="J241" s="78"/>
      <c r="K241" s="76"/>
      <c r="L241" s="79" t="b">
        <v>0</v>
      </c>
      <c r="M241" s="80" t="str">
        <f t="shared" si="1"/>
        <v/>
      </c>
      <c r="N241" s="79" t="b">
        <v>0</v>
      </c>
      <c r="O241" s="80" t="str">
        <f t="shared" si="2"/>
        <v/>
      </c>
      <c r="P241" s="76"/>
      <c r="Q241" s="76"/>
      <c r="R241" s="76" t="b">
        <v>0</v>
      </c>
      <c r="S241" s="76" t="b">
        <v>0</v>
      </c>
      <c r="T241" s="76"/>
      <c r="U241" s="79"/>
      <c r="V241" s="90"/>
      <c r="W241" s="74"/>
      <c r="X241" s="74"/>
      <c r="Y241" s="74"/>
      <c r="Z241" s="74"/>
      <c r="AA241" s="74"/>
      <c r="AB241" s="74"/>
      <c r="AC241" s="74"/>
      <c r="AD241" s="74"/>
    </row>
    <row r="242">
      <c r="A242" s="127"/>
      <c r="B242" s="76"/>
      <c r="C242" s="77"/>
      <c r="D242" s="76"/>
      <c r="E242" s="76"/>
      <c r="F242" s="76"/>
      <c r="G242" s="76"/>
      <c r="H242" s="76"/>
      <c r="I242" s="127"/>
      <c r="J242" s="78"/>
      <c r="K242" s="76"/>
      <c r="L242" s="79" t="b">
        <v>0</v>
      </c>
      <c r="M242" s="80" t="str">
        <f t="shared" si="1"/>
        <v/>
      </c>
      <c r="N242" s="79" t="b">
        <v>0</v>
      </c>
      <c r="O242" s="80" t="str">
        <f t="shared" si="2"/>
        <v/>
      </c>
      <c r="P242" s="76"/>
      <c r="Q242" s="76"/>
      <c r="R242" s="76" t="b">
        <v>0</v>
      </c>
      <c r="S242" s="76" t="b">
        <v>0</v>
      </c>
      <c r="T242" s="76"/>
      <c r="U242" s="79"/>
      <c r="V242" s="90"/>
      <c r="W242" s="74"/>
      <c r="X242" s="74"/>
      <c r="Y242" s="74"/>
      <c r="Z242" s="74"/>
      <c r="AA242" s="74"/>
      <c r="AB242" s="74"/>
      <c r="AC242" s="74"/>
      <c r="AD242" s="74"/>
    </row>
    <row r="243">
      <c r="A243" s="127"/>
      <c r="B243" s="76"/>
      <c r="C243" s="77"/>
      <c r="D243" s="76"/>
      <c r="E243" s="76"/>
      <c r="F243" s="76"/>
      <c r="G243" s="76"/>
      <c r="H243" s="76"/>
      <c r="I243" s="127"/>
      <c r="J243" s="78"/>
      <c r="K243" s="76"/>
      <c r="L243" s="79" t="b">
        <v>0</v>
      </c>
      <c r="M243" s="80" t="str">
        <f t="shared" si="1"/>
        <v/>
      </c>
      <c r="N243" s="79" t="b">
        <v>0</v>
      </c>
      <c r="O243" s="80" t="str">
        <f t="shared" si="2"/>
        <v/>
      </c>
      <c r="P243" s="76"/>
      <c r="Q243" s="76"/>
      <c r="R243" s="76" t="b">
        <v>0</v>
      </c>
      <c r="S243" s="76" t="b">
        <v>0</v>
      </c>
      <c r="T243" s="76"/>
      <c r="U243" s="79"/>
      <c r="V243" s="90"/>
      <c r="W243" s="74"/>
      <c r="X243" s="74"/>
      <c r="Y243" s="74"/>
      <c r="Z243" s="74"/>
      <c r="AA243" s="74"/>
      <c r="AB243" s="74"/>
      <c r="AC243" s="74"/>
      <c r="AD243" s="74"/>
    </row>
    <row r="244">
      <c r="A244" s="127"/>
      <c r="B244" s="76"/>
      <c r="C244" s="77"/>
      <c r="D244" s="76"/>
      <c r="E244" s="76"/>
      <c r="F244" s="76"/>
      <c r="G244" s="76"/>
      <c r="H244" s="76"/>
      <c r="I244" s="127"/>
      <c r="J244" s="78"/>
      <c r="K244" s="76"/>
      <c r="L244" s="79" t="b">
        <v>0</v>
      </c>
      <c r="M244" s="80" t="str">
        <f t="shared" si="1"/>
        <v/>
      </c>
      <c r="N244" s="79" t="b">
        <v>0</v>
      </c>
      <c r="O244" s="80" t="str">
        <f t="shared" si="2"/>
        <v/>
      </c>
      <c r="P244" s="76"/>
      <c r="Q244" s="76"/>
      <c r="R244" s="76" t="b">
        <v>0</v>
      </c>
      <c r="S244" s="76" t="b">
        <v>0</v>
      </c>
      <c r="T244" s="76"/>
      <c r="U244" s="79"/>
      <c r="V244" s="90"/>
      <c r="W244" s="74"/>
      <c r="X244" s="74"/>
      <c r="Y244" s="74"/>
      <c r="Z244" s="74"/>
      <c r="AA244" s="74"/>
      <c r="AB244" s="74"/>
      <c r="AC244" s="74"/>
      <c r="AD244" s="74"/>
    </row>
    <row r="245">
      <c r="A245" s="127"/>
      <c r="B245" s="76"/>
      <c r="C245" s="77"/>
      <c r="D245" s="76"/>
      <c r="E245" s="76"/>
      <c r="F245" s="76"/>
      <c r="G245" s="76"/>
      <c r="H245" s="76"/>
      <c r="I245" s="127"/>
      <c r="J245" s="78"/>
      <c r="K245" s="76"/>
      <c r="L245" s="79" t="b">
        <v>0</v>
      </c>
      <c r="M245" s="80" t="str">
        <f t="shared" si="1"/>
        <v/>
      </c>
      <c r="N245" s="79" t="b">
        <v>0</v>
      </c>
      <c r="O245" s="80" t="str">
        <f t="shared" si="2"/>
        <v/>
      </c>
      <c r="P245" s="76"/>
      <c r="Q245" s="76"/>
      <c r="R245" s="76" t="b">
        <v>0</v>
      </c>
      <c r="S245" s="76" t="b">
        <v>0</v>
      </c>
      <c r="T245" s="76"/>
      <c r="U245" s="79"/>
      <c r="V245" s="90"/>
      <c r="W245" s="74"/>
      <c r="X245" s="74"/>
      <c r="Y245" s="74"/>
      <c r="Z245" s="74"/>
      <c r="AA245" s="74"/>
      <c r="AB245" s="74"/>
      <c r="AC245" s="74"/>
      <c r="AD245" s="74"/>
    </row>
    <row r="246">
      <c r="A246" s="127"/>
      <c r="B246" s="76"/>
      <c r="C246" s="77"/>
      <c r="D246" s="76"/>
      <c r="E246" s="76"/>
      <c r="F246" s="76"/>
      <c r="G246" s="76"/>
      <c r="H246" s="76"/>
      <c r="I246" s="127"/>
      <c r="J246" s="78"/>
      <c r="K246" s="76"/>
      <c r="L246" s="79" t="b">
        <v>0</v>
      </c>
      <c r="M246" s="80" t="str">
        <f t="shared" si="1"/>
        <v/>
      </c>
      <c r="N246" s="79" t="b">
        <v>0</v>
      </c>
      <c r="O246" s="80" t="str">
        <f t="shared" si="2"/>
        <v/>
      </c>
      <c r="P246" s="76"/>
      <c r="Q246" s="76"/>
      <c r="R246" s="76" t="b">
        <v>0</v>
      </c>
      <c r="S246" s="76" t="b">
        <v>0</v>
      </c>
      <c r="T246" s="76"/>
      <c r="U246" s="79"/>
      <c r="V246" s="90"/>
      <c r="W246" s="74"/>
      <c r="X246" s="74"/>
      <c r="Y246" s="74"/>
      <c r="Z246" s="74"/>
      <c r="AA246" s="74"/>
      <c r="AB246" s="74"/>
      <c r="AC246" s="74"/>
      <c r="AD246" s="74"/>
    </row>
    <row r="247">
      <c r="A247" s="127"/>
      <c r="B247" s="76"/>
      <c r="C247" s="77"/>
      <c r="D247" s="76"/>
      <c r="E247" s="76"/>
      <c r="F247" s="76"/>
      <c r="G247" s="76"/>
      <c r="H247" s="76"/>
      <c r="I247" s="127"/>
      <c r="J247" s="78"/>
      <c r="K247" s="76"/>
      <c r="L247" s="79" t="b">
        <v>0</v>
      </c>
      <c r="M247" s="80" t="str">
        <f t="shared" si="1"/>
        <v/>
      </c>
      <c r="N247" s="79" t="b">
        <v>0</v>
      </c>
      <c r="O247" s="80" t="str">
        <f t="shared" si="2"/>
        <v/>
      </c>
      <c r="P247" s="76"/>
      <c r="Q247" s="76"/>
      <c r="R247" s="76" t="b">
        <v>0</v>
      </c>
      <c r="S247" s="76" t="b">
        <v>0</v>
      </c>
      <c r="T247" s="76"/>
      <c r="U247" s="79"/>
      <c r="V247" s="90"/>
      <c r="W247" s="74"/>
      <c r="X247" s="74"/>
      <c r="Y247" s="74"/>
      <c r="Z247" s="74"/>
      <c r="AA247" s="74"/>
      <c r="AB247" s="74"/>
      <c r="AC247" s="74"/>
      <c r="AD247" s="74"/>
    </row>
    <row r="248">
      <c r="A248" s="127"/>
      <c r="B248" s="76"/>
      <c r="C248" s="77"/>
      <c r="D248" s="76"/>
      <c r="E248" s="76"/>
      <c r="F248" s="76"/>
      <c r="G248" s="76"/>
      <c r="H248" s="76"/>
      <c r="I248" s="127"/>
      <c r="J248" s="78"/>
      <c r="K248" s="76"/>
      <c r="L248" s="79" t="b">
        <v>0</v>
      </c>
      <c r="M248" s="80" t="str">
        <f t="shared" si="1"/>
        <v/>
      </c>
      <c r="N248" s="79" t="b">
        <v>0</v>
      </c>
      <c r="O248" s="80" t="str">
        <f t="shared" si="2"/>
        <v/>
      </c>
      <c r="P248" s="76"/>
      <c r="Q248" s="76"/>
      <c r="R248" s="76" t="b">
        <v>0</v>
      </c>
      <c r="S248" s="76" t="b">
        <v>0</v>
      </c>
      <c r="T248" s="76"/>
      <c r="U248" s="79"/>
      <c r="V248" s="90"/>
      <c r="W248" s="74"/>
      <c r="X248" s="74"/>
      <c r="Y248" s="74"/>
      <c r="Z248" s="74"/>
      <c r="AA248" s="74"/>
      <c r="AB248" s="74"/>
      <c r="AC248" s="74"/>
      <c r="AD248" s="74"/>
    </row>
    <row r="249">
      <c r="A249" s="127"/>
      <c r="B249" s="76"/>
      <c r="C249" s="77"/>
      <c r="D249" s="76"/>
      <c r="E249" s="76"/>
      <c r="F249" s="76"/>
      <c r="G249" s="76"/>
      <c r="H249" s="76"/>
      <c r="I249" s="127"/>
      <c r="J249" s="78"/>
      <c r="K249" s="76"/>
      <c r="L249" s="79" t="b">
        <v>0</v>
      </c>
      <c r="M249" s="80" t="str">
        <f t="shared" si="1"/>
        <v/>
      </c>
      <c r="N249" s="79" t="b">
        <v>0</v>
      </c>
      <c r="O249" s="80" t="str">
        <f t="shared" si="2"/>
        <v/>
      </c>
      <c r="P249" s="76"/>
      <c r="Q249" s="76"/>
      <c r="R249" s="76" t="b">
        <v>0</v>
      </c>
      <c r="S249" s="76" t="b">
        <v>0</v>
      </c>
      <c r="T249" s="76"/>
      <c r="U249" s="79"/>
      <c r="V249" s="90"/>
      <c r="W249" s="74"/>
      <c r="X249" s="74"/>
      <c r="Y249" s="74"/>
      <c r="Z249" s="74"/>
      <c r="AA249" s="74"/>
      <c r="AB249" s="74"/>
      <c r="AC249" s="74"/>
      <c r="AD249" s="74"/>
    </row>
    <row r="250">
      <c r="A250" s="127"/>
      <c r="B250" s="76"/>
      <c r="C250" s="77"/>
      <c r="D250" s="76"/>
      <c r="E250" s="76"/>
      <c r="F250" s="76"/>
      <c r="G250" s="76"/>
      <c r="H250" s="76"/>
      <c r="I250" s="127"/>
      <c r="J250" s="78"/>
      <c r="K250" s="76"/>
      <c r="L250" s="79" t="b">
        <v>0</v>
      </c>
      <c r="M250" s="80" t="str">
        <f t="shared" si="1"/>
        <v/>
      </c>
      <c r="N250" s="79" t="b">
        <v>0</v>
      </c>
      <c r="O250" s="80" t="str">
        <f t="shared" si="2"/>
        <v/>
      </c>
      <c r="P250" s="76"/>
      <c r="Q250" s="76"/>
      <c r="R250" s="76" t="b">
        <v>0</v>
      </c>
      <c r="S250" s="76" t="b">
        <v>0</v>
      </c>
      <c r="T250" s="76"/>
      <c r="U250" s="79"/>
      <c r="V250" s="90"/>
      <c r="W250" s="74"/>
      <c r="X250" s="74"/>
      <c r="Y250" s="74"/>
      <c r="Z250" s="74"/>
      <c r="AA250" s="74"/>
      <c r="AB250" s="74"/>
      <c r="AC250" s="74"/>
      <c r="AD250" s="74"/>
    </row>
    <row r="251">
      <c r="A251" s="127"/>
      <c r="B251" s="76"/>
      <c r="C251" s="77"/>
      <c r="D251" s="76"/>
      <c r="E251" s="76"/>
      <c r="F251" s="76"/>
      <c r="G251" s="76"/>
      <c r="H251" s="76"/>
      <c r="I251" s="127"/>
      <c r="J251" s="78"/>
      <c r="K251" s="76"/>
      <c r="L251" s="79" t="b">
        <v>0</v>
      </c>
      <c r="M251" s="80" t="str">
        <f t="shared" si="1"/>
        <v/>
      </c>
      <c r="N251" s="79" t="b">
        <v>0</v>
      </c>
      <c r="O251" s="80" t="str">
        <f t="shared" si="2"/>
        <v/>
      </c>
      <c r="P251" s="76"/>
      <c r="Q251" s="76"/>
      <c r="R251" s="76" t="b">
        <v>0</v>
      </c>
      <c r="S251" s="76" t="b">
        <v>0</v>
      </c>
      <c r="T251" s="76"/>
      <c r="U251" s="79"/>
      <c r="V251" s="90"/>
      <c r="W251" s="74"/>
      <c r="X251" s="74"/>
      <c r="Y251" s="74"/>
      <c r="Z251" s="74"/>
      <c r="AA251" s="74"/>
      <c r="AB251" s="74"/>
      <c r="AC251" s="74"/>
      <c r="AD251" s="74"/>
    </row>
    <row r="252">
      <c r="A252" s="127"/>
      <c r="B252" s="76"/>
      <c r="C252" s="77"/>
      <c r="D252" s="76"/>
      <c r="E252" s="76"/>
      <c r="F252" s="76"/>
      <c r="G252" s="76"/>
      <c r="H252" s="76"/>
      <c r="I252" s="127"/>
      <c r="J252" s="78"/>
      <c r="K252" s="76"/>
      <c r="L252" s="79" t="b">
        <v>0</v>
      </c>
      <c r="M252" s="80" t="str">
        <f t="shared" si="1"/>
        <v/>
      </c>
      <c r="N252" s="79" t="b">
        <v>0</v>
      </c>
      <c r="O252" s="80" t="str">
        <f t="shared" si="2"/>
        <v/>
      </c>
      <c r="P252" s="76"/>
      <c r="Q252" s="76"/>
      <c r="R252" s="76" t="b">
        <v>0</v>
      </c>
      <c r="S252" s="76" t="b">
        <v>0</v>
      </c>
      <c r="T252" s="76"/>
      <c r="U252" s="79"/>
      <c r="V252" s="90"/>
      <c r="W252" s="74"/>
      <c r="X252" s="74"/>
      <c r="Y252" s="74"/>
      <c r="Z252" s="74"/>
      <c r="AA252" s="74"/>
      <c r="AB252" s="74"/>
      <c r="AC252" s="74"/>
      <c r="AD252" s="74"/>
    </row>
    <row r="253">
      <c r="A253" s="127"/>
      <c r="B253" s="76"/>
      <c r="C253" s="77"/>
      <c r="D253" s="76"/>
      <c r="E253" s="76"/>
      <c r="F253" s="76"/>
      <c r="G253" s="76"/>
      <c r="H253" s="76"/>
      <c r="I253" s="127"/>
      <c r="J253" s="78"/>
      <c r="K253" s="76"/>
      <c r="L253" s="79" t="b">
        <v>0</v>
      </c>
      <c r="M253" s="80" t="str">
        <f t="shared" si="1"/>
        <v/>
      </c>
      <c r="N253" s="79" t="b">
        <v>0</v>
      </c>
      <c r="O253" s="80" t="str">
        <f t="shared" si="2"/>
        <v/>
      </c>
      <c r="P253" s="76"/>
      <c r="Q253" s="76"/>
      <c r="R253" s="76" t="b">
        <v>0</v>
      </c>
      <c r="S253" s="76" t="b">
        <v>0</v>
      </c>
      <c r="T253" s="76"/>
      <c r="U253" s="79"/>
      <c r="V253" s="90"/>
      <c r="W253" s="74"/>
      <c r="X253" s="74"/>
      <c r="Y253" s="74"/>
      <c r="Z253" s="74"/>
      <c r="AA253" s="74"/>
      <c r="AB253" s="74"/>
      <c r="AC253" s="74"/>
      <c r="AD253" s="74"/>
    </row>
    <row r="254">
      <c r="A254" s="127"/>
      <c r="B254" s="76"/>
      <c r="C254" s="77"/>
      <c r="D254" s="76"/>
      <c r="E254" s="76"/>
      <c r="F254" s="76"/>
      <c r="G254" s="76"/>
      <c r="H254" s="76"/>
      <c r="I254" s="127"/>
      <c r="J254" s="78"/>
      <c r="K254" s="76"/>
      <c r="L254" s="79" t="b">
        <v>0</v>
      </c>
      <c r="M254" s="80" t="str">
        <f t="shared" si="1"/>
        <v/>
      </c>
      <c r="N254" s="79" t="b">
        <v>0</v>
      </c>
      <c r="O254" s="80" t="str">
        <f t="shared" si="2"/>
        <v/>
      </c>
      <c r="P254" s="76"/>
      <c r="Q254" s="76"/>
      <c r="R254" s="76" t="b">
        <v>0</v>
      </c>
      <c r="S254" s="76" t="b">
        <v>0</v>
      </c>
      <c r="T254" s="76"/>
      <c r="U254" s="79"/>
      <c r="V254" s="90"/>
      <c r="W254" s="74"/>
      <c r="X254" s="74"/>
      <c r="Y254" s="74"/>
      <c r="Z254" s="74"/>
      <c r="AA254" s="74"/>
      <c r="AB254" s="74"/>
      <c r="AC254" s="74"/>
      <c r="AD254" s="74"/>
    </row>
    <row r="255">
      <c r="A255" s="127"/>
      <c r="B255" s="76"/>
      <c r="C255" s="77"/>
      <c r="D255" s="76"/>
      <c r="E255" s="76"/>
      <c r="F255" s="76"/>
      <c r="G255" s="76"/>
      <c r="H255" s="76"/>
      <c r="I255" s="127"/>
      <c r="J255" s="78"/>
      <c r="K255" s="76"/>
      <c r="L255" s="79" t="b">
        <v>0</v>
      </c>
      <c r="M255" s="80" t="str">
        <f t="shared" si="1"/>
        <v/>
      </c>
      <c r="N255" s="79" t="b">
        <v>0</v>
      </c>
      <c r="O255" s="80" t="str">
        <f t="shared" si="2"/>
        <v/>
      </c>
      <c r="P255" s="76"/>
      <c r="Q255" s="76"/>
      <c r="R255" s="76" t="b">
        <v>0</v>
      </c>
      <c r="S255" s="76" t="b">
        <v>0</v>
      </c>
      <c r="T255" s="76"/>
      <c r="U255" s="79"/>
      <c r="V255" s="90"/>
      <c r="W255" s="74"/>
      <c r="X255" s="74"/>
      <c r="Y255" s="74"/>
      <c r="Z255" s="74"/>
      <c r="AA255" s="74"/>
      <c r="AB255" s="74"/>
      <c r="AC255" s="74"/>
      <c r="AD255" s="74"/>
    </row>
    <row r="256">
      <c r="A256" s="127"/>
      <c r="B256" s="76"/>
      <c r="C256" s="77"/>
      <c r="D256" s="76"/>
      <c r="E256" s="76"/>
      <c r="F256" s="76"/>
      <c r="G256" s="76"/>
      <c r="H256" s="76"/>
      <c r="I256" s="127"/>
      <c r="J256" s="78"/>
      <c r="K256" s="76"/>
      <c r="L256" s="79" t="b">
        <v>0</v>
      </c>
      <c r="M256" s="80" t="str">
        <f t="shared" si="1"/>
        <v/>
      </c>
      <c r="N256" s="79" t="b">
        <v>0</v>
      </c>
      <c r="O256" s="80" t="str">
        <f t="shared" si="2"/>
        <v/>
      </c>
      <c r="P256" s="76"/>
      <c r="Q256" s="76"/>
      <c r="R256" s="76" t="b">
        <v>0</v>
      </c>
      <c r="S256" s="76" t="b">
        <v>0</v>
      </c>
      <c r="T256" s="76"/>
      <c r="U256" s="79"/>
      <c r="V256" s="90"/>
      <c r="W256" s="74"/>
      <c r="X256" s="74"/>
      <c r="Y256" s="74"/>
      <c r="Z256" s="74"/>
      <c r="AA256" s="74"/>
      <c r="AB256" s="74"/>
      <c r="AC256" s="74"/>
      <c r="AD256" s="74"/>
    </row>
    <row r="257">
      <c r="A257" s="127"/>
      <c r="B257" s="76"/>
      <c r="C257" s="77"/>
      <c r="D257" s="76"/>
      <c r="E257" s="76"/>
      <c r="F257" s="76"/>
      <c r="G257" s="76"/>
      <c r="H257" s="76"/>
      <c r="I257" s="127"/>
      <c r="J257" s="78"/>
      <c r="K257" s="76"/>
      <c r="L257" s="79" t="b">
        <v>0</v>
      </c>
      <c r="M257" s="80" t="str">
        <f t="shared" si="1"/>
        <v/>
      </c>
      <c r="N257" s="79" t="b">
        <v>0</v>
      </c>
      <c r="O257" s="80" t="str">
        <f t="shared" si="2"/>
        <v/>
      </c>
      <c r="P257" s="76"/>
      <c r="Q257" s="76"/>
      <c r="R257" s="76" t="b">
        <v>0</v>
      </c>
      <c r="S257" s="76" t="b">
        <v>0</v>
      </c>
      <c r="T257" s="76"/>
      <c r="U257" s="79"/>
      <c r="V257" s="90"/>
      <c r="W257" s="74"/>
      <c r="X257" s="74"/>
      <c r="Y257" s="74"/>
      <c r="Z257" s="74"/>
      <c r="AA257" s="74"/>
      <c r="AB257" s="74"/>
      <c r="AC257" s="74"/>
      <c r="AD257" s="74"/>
    </row>
    <row r="258">
      <c r="A258" s="127"/>
      <c r="B258" s="76"/>
      <c r="C258" s="77"/>
      <c r="D258" s="76"/>
      <c r="E258" s="76"/>
      <c r="F258" s="76"/>
      <c r="G258" s="76"/>
      <c r="H258" s="76"/>
      <c r="I258" s="127"/>
      <c r="J258" s="78"/>
      <c r="K258" s="76"/>
      <c r="L258" s="79" t="b">
        <v>0</v>
      </c>
      <c r="M258" s="80" t="str">
        <f t="shared" si="1"/>
        <v/>
      </c>
      <c r="N258" s="79" t="b">
        <v>0</v>
      </c>
      <c r="O258" s="80" t="str">
        <f t="shared" si="2"/>
        <v/>
      </c>
      <c r="P258" s="76"/>
      <c r="Q258" s="76"/>
      <c r="R258" s="76" t="b">
        <v>0</v>
      </c>
      <c r="S258" s="76" t="b">
        <v>0</v>
      </c>
      <c r="T258" s="76"/>
      <c r="U258" s="79"/>
      <c r="V258" s="90"/>
      <c r="W258" s="74"/>
      <c r="X258" s="74"/>
      <c r="Y258" s="74"/>
      <c r="Z258" s="74"/>
      <c r="AA258" s="74"/>
      <c r="AB258" s="74"/>
      <c r="AC258" s="74"/>
      <c r="AD258" s="74"/>
    </row>
    <row r="259">
      <c r="A259" s="127"/>
      <c r="B259" s="76"/>
      <c r="C259" s="77"/>
      <c r="D259" s="76"/>
      <c r="E259" s="76"/>
      <c r="F259" s="76"/>
      <c r="G259" s="76"/>
      <c r="H259" s="76"/>
      <c r="I259" s="127"/>
      <c r="J259" s="78"/>
      <c r="K259" s="76"/>
      <c r="L259" s="79" t="b">
        <v>0</v>
      </c>
      <c r="M259" s="80" t="str">
        <f t="shared" si="1"/>
        <v/>
      </c>
      <c r="N259" s="79" t="b">
        <v>0</v>
      </c>
      <c r="O259" s="80" t="str">
        <f t="shared" si="2"/>
        <v/>
      </c>
      <c r="P259" s="76"/>
      <c r="Q259" s="76"/>
      <c r="R259" s="76" t="b">
        <v>0</v>
      </c>
      <c r="S259" s="76" t="b">
        <v>0</v>
      </c>
      <c r="T259" s="76"/>
      <c r="U259" s="79"/>
      <c r="V259" s="90"/>
      <c r="W259" s="74"/>
      <c r="X259" s="74"/>
      <c r="Y259" s="74"/>
      <c r="Z259" s="74"/>
      <c r="AA259" s="74"/>
      <c r="AB259" s="74"/>
      <c r="AC259" s="74"/>
      <c r="AD259" s="74"/>
    </row>
    <row r="260">
      <c r="A260" s="127"/>
      <c r="B260" s="76"/>
      <c r="C260" s="77"/>
      <c r="D260" s="76"/>
      <c r="E260" s="76"/>
      <c r="F260" s="76"/>
      <c r="G260" s="76"/>
      <c r="H260" s="76"/>
      <c r="I260" s="127"/>
      <c r="J260" s="78"/>
      <c r="K260" s="76"/>
      <c r="L260" s="79" t="b">
        <v>0</v>
      </c>
      <c r="M260" s="80" t="str">
        <f t="shared" si="1"/>
        <v/>
      </c>
      <c r="N260" s="79" t="b">
        <v>0</v>
      </c>
      <c r="O260" s="80" t="str">
        <f t="shared" si="2"/>
        <v/>
      </c>
      <c r="P260" s="76"/>
      <c r="Q260" s="76"/>
      <c r="R260" s="76" t="b">
        <v>0</v>
      </c>
      <c r="S260" s="76" t="b">
        <v>0</v>
      </c>
      <c r="T260" s="76"/>
      <c r="U260" s="79"/>
      <c r="V260" s="90"/>
      <c r="W260" s="74"/>
      <c r="X260" s="74"/>
      <c r="Y260" s="74"/>
      <c r="Z260" s="74"/>
      <c r="AA260" s="74"/>
      <c r="AB260" s="74"/>
      <c r="AC260" s="74"/>
      <c r="AD260" s="74"/>
    </row>
    <row r="261">
      <c r="A261" s="127"/>
      <c r="B261" s="76"/>
      <c r="C261" s="77"/>
      <c r="D261" s="76"/>
      <c r="E261" s="76"/>
      <c r="F261" s="76"/>
      <c r="G261" s="76"/>
      <c r="H261" s="76"/>
      <c r="I261" s="127"/>
      <c r="J261" s="78"/>
      <c r="K261" s="76"/>
      <c r="L261" s="79" t="b">
        <v>0</v>
      </c>
      <c r="M261" s="80" t="str">
        <f t="shared" si="1"/>
        <v/>
      </c>
      <c r="N261" s="79" t="b">
        <v>0</v>
      </c>
      <c r="O261" s="80" t="str">
        <f t="shared" si="2"/>
        <v/>
      </c>
      <c r="P261" s="76"/>
      <c r="Q261" s="76"/>
      <c r="R261" s="76" t="b">
        <v>0</v>
      </c>
      <c r="S261" s="76" t="b">
        <v>0</v>
      </c>
      <c r="T261" s="76"/>
      <c r="U261" s="79"/>
      <c r="V261" s="90"/>
      <c r="W261" s="74"/>
      <c r="X261" s="74"/>
      <c r="Y261" s="74"/>
      <c r="Z261" s="74"/>
      <c r="AA261" s="74"/>
      <c r="AB261" s="74"/>
      <c r="AC261" s="74"/>
      <c r="AD261" s="74"/>
    </row>
    <row r="262">
      <c r="A262" s="127"/>
      <c r="B262" s="76"/>
      <c r="C262" s="77"/>
      <c r="D262" s="76"/>
      <c r="E262" s="76"/>
      <c r="F262" s="76"/>
      <c r="G262" s="76"/>
      <c r="H262" s="76"/>
      <c r="I262" s="127"/>
      <c r="J262" s="78"/>
      <c r="K262" s="76"/>
      <c r="L262" s="79" t="b">
        <v>0</v>
      </c>
      <c r="M262" s="80" t="str">
        <f t="shared" si="1"/>
        <v/>
      </c>
      <c r="N262" s="79" t="b">
        <v>0</v>
      </c>
      <c r="O262" s="80" t="str">
        <f t="shared" si="2"/>
        <v/>
      </c>
      <c r="P262" s="76"/>
      <c r="Q262" s="76"/>
      <c r="R262" s="76" t="b">
        <v>0</v>
      </c>
      <c r="S262" s="76" t="b">
        <v>0</v>
      </c>
      <c r="T262" s="76"/>
      <c r="U262" s="79"/>
      <c r="V262" s="90"/>
      <c r="W262" s="74"/>
      <c r="X262" s="74"/>
      <c r="Y262" s="74"/>
      <c r="Z262" s="74"/>
      <c r="AA262" s="74"/>
      <c r="AB262" s="74"/>
      <c r="AC262" s="74"/>
      <c r="AD262" s="74"/>
    </row>
    <row r="263">
      <c r="A263" s="127"/>
      <c r="B263" s="76"/>
      <c r="C263" s="77"/>
      <c r="D263" s="76"/>
      <c r="E263" s="76"/>
      <c r="F263" s="76"/>
      <c r="G263" s="76"/>
      <c r="H263" s="76"/>
      <c r="I263" s="127"/>
      <c r="J263" s="78"/>
      <c r="K263" s="76"/>
      <c r="L263" s="79" t="b">
        <v>0</v>
      </c>
      <c r="M263" s="80" t="str">
        <f t="shared" si="1"/>
        <v/>
      </c>
      <c r="N263" s="79" t="b">
        <v>0</v>
      </c>
      <c r="O263" s="80" t="str">
        <f t="shared" si="2"/>
        <v/>
      </c>
      <c r="P263" s="76"/>
      <c r="Q263" s="76"/>
      <c r="R263" s="76" t="b">
        <v>0</v>
      </c>
      <c r="S263" s="76" t="b">
        <v>0</v>
      </c>
      <c r="T263" s="76"/>
      <c r="U263" s="79"/>
      <c r="V263" s="90"/>
      <c r="W263" s="74"/>
      <c r="X263" s="74"/>
      <c r="Y263" s="74"/>
      <c r="Z263" s="74"/>
      <c r="AA263" s="74"/>
      <c r="AB263" s="74"/>
      <c r="AC263" s="74"/>
      <c r="AD263" s="74"/>
    </row>
    <row r="264">
      <c r="A264" s="127"/>
      <c r="B264" s="76"/>
      <c r="C264" s="77"/>
      <c r="D264" s="76"/>
      <c r="E264" s="76"/>
      <c r="F264" s="76"/>
      <c r="G264" s="76"/>
      <c r="H264" s="76"/>
      <c r="I264" s="127"/>
      <c r="J264" s="78"/>
      <c r="K264" s="76"/>
      <c r="L264" s="79" t="b">
        <v>0</v>
      </c>
      <c r="M264" s="80" t="str">
        <f t="shared" si="1"/>
        <v/>
      </c>
      <c r="N264" s="79" t="b">
        <v>0</v>
      </c>
      <c r="O264" s="80" t="str">
        <f t="shared" si="2"/>
        <v/>
      </c>
      <c r="P264" s="76"/>
      <c r="Q264" s="76"/>
      <c r="R264" s="76" t="b">
        <v>0</v>
      </c>
      <c r="S264" s="76" t="b">
        <v>0</v>
      </c>
      <c r="T264" s="76"/>
      <c r="U264" s="79"/>
      <c r="V264" s="90"/>
      <c r="W264" s="74"/>
      <c r="X264" s="74"/>
      <c r="Y264" s="74"/>
      <c r="Z264" s="74"/>
      <c r="AA264" s="74"/>
      <c r="AB264" s="74"/>
      <c r="AC264" s="74"/>
      <c r="AD264" s="74"/>
    </row>
    <row r="265">
      <c r="A265" s="127"/>
      <c r="B265" s="76"/>
      <c r="C265" s="77"/>
      <c r="D265" s="76"/>
      <c r="E265" s="76"/>
      <c r="F265" s="76"/>
      <c r="G265" s="76"/>
      <c r="H265" s="76"/>
      <c r="I265" s="127"/>
      <c r="J265" s="78"/>
      <c r="K265" s="76"/>
      <c r="L265" s="79" t="b">
        <v>0</v>
      </c>
      <c r="M265" s="80" t="str">
        <f t="shared" si="1"/>
        <v/>
      </c>
      <c r="N265" s="79" t="b">
        <v>0</v>
      </c>
      <c r="O265" s="80" t="str">
        <f t="shared" si="2"/>
        <v/>
      </c>
      <c r="P265" s="76"/>
      <c r="Q265" s="76"/>
      <c r="R265" s="76" t="b">
        <v>0</v>
      </c>
      <c r="S265" s="76" t="b">
        <v>0</v>
      </c>
      <c r="T265" s="76"/>
      <c r="U265" s="79"/>
      <c r="V265" s="90"/>
      <c r="W265" s="74"/>
      <c r="X265" s="74"/>
      <c r="Y265" s="74"/>
      <c r="Z265" s="74"/>
      <c r="AA265" s="74"/>
      <c r="AB265" s="74"/>
      <c r="AC265" s="74"/>
      <c r="AD265" s="74"/>
    </row>
    <row r="266">
      <c r="A266" s="127"/>
      <c r="B266" s="76"/>
      <c r="C266" s="77"/>
      <c r="D266" s="76"/>
      <c r="E266" s="76"/>
      <c r="F266" s="76"/>
      <c r="G266" s="76"/>
      <c r="H266" s="76"/>
      <c r="I266" s="127"/>
      <c r="J266" s="78"/>
      <c r="K266" s="76"/>
      <c r="L266" s="79" t="b">
        <v>0</v>
      </c>
      <c r="M266" s="80" t="str">
        <f t="shared" si="1"/>
        <v/>
      </c>
      <c r="N266" s="79" t="b">
        <v>0</v>
      </c>
      <c r="O266" s="80" t="str">
        <f t="shared" si="2"/>
        <v/>
      </c>
      <c r="P266" s="76"/>
      <c r="Q266" s="76"/>
      <c r="R266" s="76" t="b">
        <v>0</v>
      </c>
      <c r="S266" s="76" t="b">
        <v>0</v>
      </c>
      <c r="T266" s="76"/>
      <c r="U266" s="79"/>
      <c r="V266" s="90"/>
      <c r="W266" s="74"/>
      <c r="X266" s="74"/>
      <c r="Y266" s="74"/>
      <c r="Z266" s="74"/>
      <c r="AA266" s="74"/>
      <c r="AB266" s="74"/>
      <c r="AC266" s="74"/>
      <c r="AD266" s="74"/>
    </row>
    <row r="267">
      <c r="A267" s="127"/>
      <c r="B267" s="76"/>
      <c r="C267" s="77"/>
      <c r="D267" s="76"/>
      <c r="E267" s="76"/>
      <c r="F267" s="76"/>
      <c r="G267" s="76"/>
      <c r="H267" s="76"/>
      <c r="I267" s="127"/>
      <c r="J267" s="78"/>
      <c r="K267" s="76"/>
      <c r="L267" s="79" t="b">
        <v>0</v>
      </c>
      <c r="M267" s="80" t="str">
        <f t="shared" si="1"/>
        <v/>
      </c>
      <c r="N267" s="79" t="b">
        <v>0</v>
      </c>
      <c r="O267" s="80" t="str">
        <f t="shared" si="2"/>
        <v/>
      </c>
      <c r="P267" s="76"/>
      <c r="Q267" s="76"/>
      <c r="R267" s="76" t="b">
        <v>0</v>
      </c>
      <c r="S267" s="76" t="b">
        <v>0</v>
      </c>
      <c r="T267" s="76"/>
      <c r="U267" s="79"/>
      <c r="V267" s="90"/>
      <c r="W267" s="74"/>
      <c r="X267" s="74"/>
      <c r="Y267" s="74"/>
      <c r="Z267" s="74"/>
      <c r="AA267" s="74"/>
      <c r="AB267" s="74"/>
      <c r="AC267" s="74"/>
      <c r="AD267" s="74"/>
    </row>
    <row r="268">
      <c r="A268" s="127"/>
      <c r="B268" s="76"/>
      <c r="C268" s="77"/>
      <c r="D268" s="76"/>
      <c r="E268" s="76"/>
      <c r="F268" s="76"/>
      <c r="G268" s="76"/>
      <c r="H268" s="76"/>
      <c r="I268" s="127"/>
      <c r="J268" s="78"/>
      <c r="K268" s="76"/>
      <c r="L268" s="79" t="b">
        <v>0</v>
      </c>
      <c r="M268" s="80" t="str">
        <f t="shared" si="1"/>
        <v/>
      </c>
      <c r="N268" s="79" t="b">
        <v>0</v>
      </c>
      <c r="O268" s="80" t="str">
        <f t="shared" si="2"/>
        <v/>
      </c>
      <c r="P268" s="76"/>
      <c r="Q268" s="76"/>
      <c r="R268" s="76" t="b">
        <v>0</v>
      </c>
      <c r="S268" s="76" t="b">
        <v>0</v>
      </c>
      <c r="T268" s="76"/>
      <c r="U268" s="79"/>
      <c r="V268" s="90"/>
      <c r="W268" s="74"/>
      <c r="X268" s="74"/>
      <c r="Y268" s="74"/>
      <c r="Z268" s="74"/>
      <c r="AA268" s="74"/>
      <c r="AB268" s="74"/>
      <c r="AC268" s="74"/>
      <c r="AD268" s="74"/>
    </row>
    <row r="269">
      <c r="A269" s="127"/>
      <c r="B269" s="76"/>
      <c r="C269" s="77"/>
      <c r="D269" s="76"/>
      <c r="E269" s="76"/>
      <c r="F269" s="76"/>
      <c r="G269" s="76"/>
      <c r="H269" s="76"/>
      <c r="I269" s="127"/>
      <c r="J269" s="78"/>
      <c r="K269" s="76"/>
      <c r="L269" s="79" t="b">
        <v>0</v>
      </c>
      <c r="M269" s="80" t="str">
        <f t="shared" si="1"/>
        <v/>
      </c>
      <c r="N269" s="79" t="b">
        <v>0</v>
      </c>
      <c r="O269" s="80" t="str">
        <f t="shared" si="2"/>
        <v/>
      </c>
      <c r="P269" s="76"/>
      <c r="Q269" s="76"/>
      <c r="R269" s="76" t="b">
        <v>0</v>
      </c>
      <c r="S269" s="76" t="b">
        <v>0</v>
      </c>
      <c r="T269" s="76"/>
      <c r="U269" s="79"/>
      <c r="V269" s="90"/>
      <c r="W269" s="74"/>
      <c r="X269" s="74"/>
      <c r="Y269" s="74"/>
      <c r="Z269" s="74"/>
      <c r="AA269" s="74"/>
      <c r="AB269" s="74"/>
      <c r="AC269" s="74"/>
      <c r="AD269" s="74"/>
    </row>
    <row r="270">
      <c r="A270" s="127"/>
      <c r="B270" s="76"/>
      <c r="C270" s="77"/>
      <c r="D270" s="76"/>
      <c r="E270" s="76"/>
      <c r="F270" s="76"/>
      <c r="G270" s="76"/>
      <c r="H270" s="76"/>
      <c r="I270" s="127"/>
      <c r="J270" s="78"/>
      <c r="K270" s="76"/>
      <c r="L270" s="79" t="b">
        <v>0</v>
      </c>
      <c r="M270" s="80" t="str">
        <f t="shared" si="1"/>
        <v/>
      </c>
      <c r="N270" s="79" t="b">
        <v>0</v>
      </c>
      <c r="O270" s="80" t="str">
        <f t="shared" si="2"/>
        <v/>
      </c>
      <c r="P270" s="76"/>
      <c r="Q270" s="76"/>
      <c r="R270" s="76" t="b">
        <v>0</v>
      </c>
      <c r="S270" s="76" t="b">
        <v>0</v>
      </c>
      <c r="T270" s="76"/>
      <c r="U270" s="79"/>
      <c r="V270" s="90"/>
      <c r="W270" s="74"/>
      <c r="X270" s="74"/>
      <c r="Y270" s="74"/>
      <c r="Z270" s="74"/>
      <c r="AA270" s="74"/>
      <c r="AB270" s="74"/>
      <c r="AC270" s="74"/>
      <c r="AD270" s="74"/>
    </row>
    <row r="271">
      <c r="A271" s="127"/>
      <c r="B271" s="76"/>
      <c r="C271" s="77"/>
      <c r="D271" s="76"/>
      <c r="E271" s="76"/>
      <c r="F271" s="76"/>
      <c r="G271" s="76"/>
      <c r="H271" s="76"/>
      <c r="I271" s="127"/>
      <c r="J271" s="78"/>
      <c r="K271" s="76"/>
      <c r="L271" s="79" t="b">
        <v>0</v>
      </c>
      <c r="M271" s="80" t="str">
        <f t="shared" si="1"/>
        <v/>
      </c>
      <c r="N271" s="79" t="b">
        <v>0</v>
      </c>
      <c r="O271" s="80" t="str">
        <f t="shared" si="2"/>
        <v/>
      </c>
      <c r="P271" s="76"/>
      <c r="Q271" s="76"/>
      <c r="R271" s="76" t="b">
        <v>0</v>
      </c>
      <c r="S271" s="76" t="b">
        <v>0</v>
      </c>
      <c r="T271" s="76"/>
      <c r="U271" s="79"/>
      <c r="V271" s="90"/>
      <c r="W271" s="74"/>
      <c r="X271" s="74"/>
      <c r="Y271" s="74"/>
      <c r="Z271" s="74"/>
      <c r="AA271" s="74"/>
      <c r="AB271" s="74"/>
      <c r="AC271" s="74"/>
      <c r="AD271" s="74"/>
    </row>
    <row r="272">
      <c r="A272" s="127"/>
      <c r="B272" s="76"/>
      <c r="C272" s="77"/>
      <c r="D272" s="76"/>
      <c r="E272" s="76"/>
      <c r="F272" s="76"/>
      <c r="G272" s="76"/>
      <c r="H272" s="76"/>
      <c r="I272" s="127"/>
      <c r="J272" s="78"/>
      <c r="K272" s="76"/>
      <c r="L272" s="79" t="b">
        <v>0</v>
      </c>
      <c r="M272" s="80" t="str">
        <f t="shared" si="1"/>
        <v/>
      </c>
      <c r="N272" s="79" t="b">
        <v>0</v>
      </c>
      <c r="O272" s="80" t="str">
        <f t="shared" si="2"/>
        <v/>
      </c>
      <c r="P272" s="76"/>
      <c r="Q272" s="76"/>
      <c r="R272" s="76" t="b">
        <v>0</v>
      </c>
      <c r="S272" s="76" t="b">
        <v>0</v>
      </c>
      <c r="T272" s="76"/>
      <c r="U272" s="79"/>
      <c r="V272" s="90"/>
      <c r="W272" s="74"/>
      <c r="X272" s="74"/>
      <c r="Y272" s="74"/>
      <c r="Z272" s="74"/>
      <c r="AA272" s="74"/>
      <c r="AB272" s="74"/>
      <c r="AC272" s="74"/>
      <c r="AD272" s="74"/>
    </row>
    <row r="273">
      <c r="A273" s="127"/>
      <c r="B273" s="76"/>
      <c r="C273" s="77"/>
      <c r="D273" s="76"/>
      <c r="E273" s="76"/>
      <c r="F273" s="76"/>
      <c r="G273" s="76"/>
      <c r="H273" s="76"/>
      <c r="I273" s="127"/>
      <c r="J273" s="78"/>
      <c r="K273" s="76"/>
      <c r="L273" s="79" t="b">
        <v>0</v>
      </c>
      <c r="M273" s="80" t="str">
        <f t="shared" si="1"/>
        <v/>
      </c>
      <c r="N273" s="79" t="b">
        <v>0</v>
      </c>
      <c r="O273" s="80" t="str">
        <f t="shared" si="2"/>
        <v/>
      </c>
      <c r="P273" s="76"/>
      <c r="Q273" s="76"/>
      <c r="R273" s="76" t="b">
        <v>0</v>
      </c>
      <c r="S273" s="76" t="b">
        <v>0</v>
      </c>
      <c r="T273" s="76"/>
      <c r="U273" s="79"/>
      <c r="V273" s="90"/>
      <c r="W273" s="74"/>
      <c r="X273" s="74"/>
      <c r="Y273" s="74"/>
      <c r="Z273" s="74"/>
      <c r="AA273" s="74"/>
      <c r="AB273" s="74"/>
      <c r="AC273" s="74"/>
      <c r="AD273" s="74"/>
    </row>
    <row r="274">
      <c r="A274" s="127"/>
      <c r="B274" s="76"/>
      <c r="C274" s="77"/>
      <c r="D274" s="76"/>
      <c r="E274" s="76"/>
      <c r="F274" s="76"/>
      <c r="G274" s="76"/>
      <c r="H274" s="76"/>
      <c r="I274" s="127"/>
      <c r="J274" s="78"/>
      <c r="K274" s="76"/>
      <c r="L274" s="79" t="b">
        <v>0</v>
      </c>
      <c r="M274" s="80" t="str">
        <f t="shared" si="1"/>
        <v/>
      </c>
      <c r="N274" s="79" t="b">
        <v>0</v>
      </c>
      <c r="O274" s="80" t="str">
        <f t="shared" si="2"/>
        <v/>
      </c>
      <c r="P274" s="76"/>
      <c r="Q274" s="76"/>
      <c r="R274" s="76" t="b">
        <v>0</v>
      </c>
      <c r="S274" s="76" t="b">
        <v>0</v>
      </c>
      <c r="T274" s="76"/>
      <c r="U274" s="79"/>
      <c r="V274" s="90"/>
      <c r="W274" s="74"/>
      <c r="X274" s="74"/>
      <c r="Y274" s="74"/>
      <c r="Z274" s="74"/>
      <c r="AA274" s="74"/>
      <c r="AB274" s="74"/>
      <c r="AC274" s="74"/>
      <c r="AD274" s="74"/>
    </row>
    <row r="275">
      <c r="A275" s="127"/>
      <c r="B275" s="76"/>
      <c r="C275" s="77"/>
      <c r="D275" s="76"/>
      <c r="E275" s="76"/>
      <c r="F275" s="76"/>
      <c r="G275" s="76"/>
      <c r="H275" s="76"/>
      <c r="I275" s="127"/>
      <c r="J275" s="78"/>
      <c r="K275" s="76"/>
      <c r="L275" s="79" t="b">
        <v>0</v>
      </c>
      <c r="M275" s="80" t="str">
        <f t="shared" si="1"/>
        <v/>
      </c>
      <c r="N275" s="79" t="b">
        <v>0</v>
      </c>
      <c r="O275" s="80" t="str">
        <f t="shared" si="2"/>
        <v/>
      </c>
      <c r="P275" s="76"/>
      <c r="Q275" s="76"/>
      <c r="R275" s="76" t="b">
        <v>0</v>
      </c>
      <c r="S275" s="76" t="b">
        <v>0</v>
      </c>
      <c r="T275" s="76"/>
      <c r="U275" s="79"/>
      <c r="V275" s="90"/>
      <c r="W275" s="74"/>
      <c r="X275" s="74"/>
      <c r="Y275" s="74"/>
      <c r="Z275" s="74"/>
      <c r="AA275" s="74"/>
      <c r="AB275" s="74"/>
      <c r="AC275" s="74"/>
      <c r="AD275" s="74"/>
    </row>
    <row r="276">
      <c r="A276" s="127"/>
      <c r="B276" s="76"/>
      <c r="C276" s="77"/>
      <c r="D276" s="76"/>
      <c r="E276" s="76"/>
      <c r="F276" s="76"/>
      <c r="G276" s="76"/>
      <c r="H276" s="76"/>
      <c r="I276" s="127"/>
      <c r="J276" s="78"/>
      <c r="K276" s="76"/>
      <c r="L276" s="79" t="b">
        <v>0</v>
      </c>
      <c r="M276" s="80" t="str">
        <f t="shared" si="1"/>
        <v/>
      </c>
      <c r="N276" s="79" t="b">
        <v>0</v>
      </c>
      <c r="O276" s="80" t="str">
        <f t="shared" si="2"/>
        <v/>
      </c>
      <c r="P276" s="76"/>
      <c r="Q276" s="76"/>
      <c r="R276" s="76" t="b">
        <v>0</v>
      </c>
      <c r="S276" s="76" t="b">
        <v>0</v>
      </c>
      <c r="T276" s="76"/>
      <c r="U276" s="79"/>
      <c r="V276" s="90"/>
      <c r="W276" s="74"/>
      <c r="X276" s="74"/>
      <c r="Y276" s="74"/>
      <c r="Z276" s="74"/>
      <c r="AA276" s="74"/>
      <c r="AB276" s="74"/>
      <c r="AC276" s="74"/>
      <c r="AD276" s="74"/>
    </row>
    <row r="277">
      <c r="A277" s="127"/>
      <c r="B277" s="76"/>
      <c r="C277" s="77"/>
      <c r="D277" s="76"/>
      <c r="E277" s="76"/>
      <c r="F277" s="76"/>
      <c r="G277" s="76"/>
      <c r="H277" s="76"/>
      <c r="I277" s="127"/>
      <c r="J277" s="78"/>
      <c r="K277" s="76"/>
      <c r="L277" s="79" t="b">
        <v>0</v>
      </c>
      <c r="M277" s="80" t="str">
        <f t="shared" si="1"/>
        <v/>
      </c>
      <c r="N277" s="79" t="b">
        <v>0</v>
      </c>
      <c r="O277" s="80" t="str">
        <f t="shared" si="2"/>
        <v/>
      </c>
      <c r="P277" s="76"/>
      <c r="Q277" s="76"/>
      <c r="R277" s="76" t="b">
        <v>0</v>
      </c>
      <c r="S277" s="76" t="b">
        <v>0</v>
      </c>
      <c r="T277" s="76"/>
      <c r="U277" s="79"/>
      <c r="V277" s="90"/>
      <c r="W277" s="74"/>
      <c r="X277" s="74"/>
      <c r="Y277" s="74"/>
      <c r="Z277" s="74"/>
      <c r="AA277" s="74"/>
      <c r="AB277" s="74"/>
      <c r="AC277" s="74"/>
      <c r="AD277" s="74"/>
    </row>
    <row r="278">
      <c r="A278" s="127"/>
      <c r="B278" s="76"/>
      <c r="C278" s="77"/>
      <c r="D278" s="76"/>
      <c r="E278" s="76"/>
      <c r="F278" s="76"/>
      <c r="G278" s="76"/>
      <c r="H278" s="76"/>
      <c r="I278" s="127"/>
      <c r="J278" s="78"/>
      <c r="K278" s="76"/>
      <c r="L278" s="79" t="b">
        <v>0</v>
      </c>
      <c r="M278" s="80" t="str">
        <f t="shared" si="1"/>
        <v/>
      </c>
      <c r="N278" s="79" t="b">
        <v>0</v>
      </c>
      <c r="O278" s="80" t="str">
        <f t="shared" si="2"/>
        <v/>
      </c>
      <c r="P278" s="76"/>
      <c r="Q278" s="76"/>
      <c r="R278" s="76" t="b">
        <v>0</v>
      </c>
      <c r="S278" s="76" t="b">
        <v>0</v>
      </c>
      <c r="T278" s="76"/>
      <c r="U278" s="79"/>
      <c r="V278" s="90"/>
      <c r="W278" s="74"/>
      <c r="X278" s="74"/>
      <c r="Y278" s="74"/>
      <c r="Z278" s="74"/>
      <c r="AA278" s="74"/>
      <c r="AB278" s="74"/>
      <c r="AC278" s="74"/>
      <c r="AD278" s="74"/>
    </row>
    <row r="279">
      <c r="A279" s="127"/>
      <c r="B279" s="76"/>
      <c r="C279" s="77"/>
      <c r="D279" s="76"/>
      <c r="E279" s="76"/>
      <c r="F279" s="76"/>
      <c r="G279" s="76"/>
      <c r="H279" s="76"/>
      <c r="I279" s="127"/>
      <c r="J279" s="78"/>
      <c r="K279" s="76"/>
      <c r="L279" s="79" t="b">
        <v>0</v>
      </c>
      <c r="M279" s="80" t="str">
        <f t="shared" si="1"/>
        <v/>
      </c>
      <c r="N279" s="79" t="b">
        <v>0</v>
      </c>
      <c r="O279" s="80" t="str">
        <f t="shared" si="2"/>
        <v/>
      </c>
      <c r="P279" s="76"/>
      <c r="Q279" s="76"/>
      <c r="R279" s="76" t="b">
        <v>0</v>
      </c>
      <c r="S279" s="76" t="b">
        <v>0</v>
      </c>
      <c r="T279" s="76"/>
      <c r="U279" s="79"/>
      <c r="V279" s="90"/>
      <c r="W279" s="74"/>
      <c r="X279" s="74"/>
      <c r="Y279" s="74"/>
      <c r="Z279" s="74"/>
      <c r="AA279" s="74"/>
      <c r="AB279" s="74"/>
      <c r="AC279" s="74"/>
      <c r="AD279" s="74"/>
    </row>
    <row r="280">
      <c r="A280" s="127"/>
      <c r="B280" s="76"/>
      <c r="C280" s="77"/>
      <c r="D280" s="76"/>
      <c r="E280" s="76"/>
      <c r="F280" s="76"/>
      <c r="G280" s="76"/>
      <c r="H280" s="76"/>
      <c r="I280" s="127"/>
      <c r="J280" s="78"/>
      <c r="K280" s="76"/>
      <c r="L280" s="79" t="b">
        <v>0</v>
      </c>
      <c r="M280" s="80" t="str">
        <f t="shared" si="1"/>
        <v/>
      </c>
      <c r="N280" s="79" t="b">
        <v>0</v>
      </c>
      <c r="O280" s="80" t="str">
        <f t="shared" si="2"/>
        <v/>
      </c>
      <c r="P280" s="76"/>
      <c r="Q280" s="76"/>
      <c r="R280" s="76" t="b">
        <v>0</v>
      </c>
      <c r="S280" s="76" t="b">
        <v>0</v>
      </c>
      <c r="T280" s="76"/>
      <c r="U280" s="79"/>
      <c r="V280" s="90"/>
      <c r="W280" s="74"/>
      <c r="X280" s="74"/>
      <c r="Y280" s="74"/>
      <c r="Z280" s="74"/>
      <c r="AA280" s="74"/>
      <c r="AB280" s="74"/>
      <c r="AC280" s="74"/>
      <c r="AD280" s="74"/>
    </row>
    <row r="281">
      <c r="A281" s="127"/>
      <c r="B281" s="76"/>
      <c r="C281" s="77"/>
      <c r="D281" s="76"/>
      <c r="E281" s="76"/>
      <c r="F281" s="76"/>
      <c r="G281" s="76"/>
      <c r="H281" s="76"/>
      <c r="I281" s="127"/>
      <c r="J281" s="78"/>
      <c r="K281" s="76"/>
      <c r="L281" s="79" t="b">
        <v>0</v>
      </c>
      <c r="M281" s="80" t="str">
        <f t="shared" si="1"/>
        <v/>
      </c>
      <c r="N281" s="79" t="b">
        <v>0</v>
      </c>
      <c r="O281" s="80" t="str">
        <f t="shared" si="2"/>
        <v/>
      </c>
      <c r="P281" s="76"/>
      <c r="Q281" s="76"/>
      <c r="R281" s="76" t="b">
        <v>0</v>
      </c>
      <c r="S281" s="76" t="b">
        <v>0</v>
      </c>
      <c r="T281" s="76"/>
      <c r="U281" s="79"/>
      <c r="V281" s="90"/>
      <c r="W281" s="74"/>
      <c r="X281" s="74"/>
      <c r="Y281" s="74"/>
      <c r="Z281" s="74"/>
      <c r="AA281" s="74"/>
      <c r="AB281" s="74"/>
      <c r="AC281" s="74"/>
      <c r="AD281" s="74"/>
    </row>
    <row r="282">
      <c r="A282" s="127"/>
      <c r="B282" s="76"/>
      <c r="C282" s="77"/>
      <c r="D282" s="76"/>
      <c r="E282" s="76"/>
      <c r="F282" s="76"/>
      <c r="G282" s="76"/>
      <c r="H282" s="76"/>
      <c r="I282" s="127"/>
      <c r="J282" s="78"/>
      <c r="K282" s="76"/>
      <c r="L282" s="79" t="b">
        <v>0</v>
      </c>
      <c r="M282" s="80" t="str">
        <f t="shared" si="1"/>
        <v/>
      </c>
      <c r="N282" s="79" t="b">
        <v>0</v>
      </c>
      <c r="O282" s="80" t="str">
        <f t="shared" si="2"/>
        <v/>
      </c>
      <c r="P282" s="76"/>
      <c r="Q282" s="76"/>
      <c r="R282" s="76" t="b">
        <v>0</v>
      </c>
      <c r="S282" s="76" t="b">
        <v>0</v>
      </c>
      <c r="T282" s="76"/>
      <c r="U282" s="79"/>
      <c r="V282" s="90"/>
      <c r="W282" s="74"/>
      <c r="X282" s="74"/>
      <c r="Y282" s="74"/>
      <c r="Z282" s="74"/>
      <c r="AA282" s="74"/>
      <c r="AB282" s="74"/>
      <c r="AC282" s="74"/>
      <c r="AD282" s="74"/>
    </row>
    <row r="283">
      <c r="A283" s="127"/>
      <c r="B283" s="76"/>
      <c r="C283" s="77"/>
      <c r="D283" s="76"/>
      <c r="E283" s="76"/>
      <c r="F283" s="76"/>
      <c r="G283" s="76"/>
      <c r="H283" s="76"/>
      <c r="I283" s="127"/>
      <c r="J283" s="78"/>
      <c r="K283" s="76"/>
      <c r="L283" s="79" t="b">
        <v>0</v>
      </c>
      <c r="M283" s="80" t="str">
        <f t="shared" si="1"/>
        <v/>
      </c>
      <c r="N283" s="79" t="b">
        <v>0</v>
      </c>
      <c r="O283" s="80" t="str">
        <f t="shared" si="2"/>
        <v/>
      </c>
      <c r="P283" s="76"/>
      <c r="Q283" s="76"/>
      <c r="R283" s="76" t="b">
        <v>0</v>
      </c>
      <c r="S283" s="76" t="b">
        <v>0</v>
      </c>
      <c r="T283" s="76"/>
      <c r="U283" s="79"/>
      <c r="V283" s="90"/>
      <c r="W283" s="74"/>
      <c r="X283" s="74"/>
      <c r="Y283" s="74"/>
      <c r="Z283" s="74"/>
      <c r="AA283" s="74"/>
      <c r="AB283" s="74"/>
      <c r="AC283" s="74"/>
      <c r="AD283" s="74"/>
    </row>
    <row r="284">
      <c r="A284" s="127"/>
      <c r="B284" s="76"/>
      <c r="C284" s="77"/>
      <c r="D284" s="76"/>
      <c r="E284" s="76"/>
      <c r="F284" s="76"/>
      <c r="G284" s="76"/>
      <c r="H284" s="76"/>
      <c r="I284" s="127"/>
      <c r="J284" s="78"/>
      <c r="K284" s="76"/>
      <c r="L284" s="79" t="b">
        <v>0</v>
      </c>
      <c r="M284" s="80" t="str">
        <f t="shared" si="1"/>
        <v/>
      </c>
      <c r="N284" s="79" t="b">
        <v>0</v>
      </c>
      <c r="O284" s="80" t="str">
        <f t="shared" si="2"/>
        <v/>
      </c>
      <c r="P284" s="76"/>
      <c r="Q284" s="76"/>
      <c r="R284" s="76" t="b">
        <v>0</v>
      </c>
      <c r="S284" s="76" t="b">
        <v>0</v>
      </c>
      <c r="T284" s="76"/>
      <c r="U284" s="79"/>
      <c r="V284" s="90"/>
      <c r="W284" s="74"/>
      <c r="X284" s="74"/>
      <c r="Y284" s="74"/>
      <c r="Z284" s="74"/>
      <c r="AA284" s="74"/>
      <c r="AB284" s="74"/>
      <c r="AC284" s="74"/>
      <c r="AD284" s="74"/>
    </row>
    <row r="285">
      <c r="A285" s="127"/>
      <c r="B285" s="76"/>
      <c r="C285" s="77"/>
      <c r="D285" s="76"/>
      <c r="E285" s="76"/>
      <c r="F285" s="76"/>
      <c r="G285" s="76"/>
      <c r="H285" s="76"/>
      <c r="I285" s="127"/>
      <c r="J285" s="78"/>
      <c r="K285" s="76"/>
      <c r="L285" s="79" t="b">
        <v>0</v>
      </c>
      <c r="M285" s="80" t="str">
        <f t="shared" si="1"/>
        <v/>
      </c>
      <c r="N285" s="79" t="b">
        <v>0</v>
      </c>
      <c r="O285" s="80" t="str">
        <f t="shared" si="2"/>
        <v/>
      </c>
      <c r="P285" s="76"/>
      <c r="Q285" s="76"/>
      <c r="R285" s="76" t="b">
        <v>0</v>
      </c>
      <c r="S285" s="76" t="b">
        <v>0</v>
      </c>
      <c r="T285" s="76"/>
      <c r="U285" s="79"/>
      <c r="V285" s="90"/>
      <c r="W285" s="74"/>
      <c r="X285" s="74"/>
      <c r="Y285" s="74"/>
      <c r="Z285" s="74"/>
      <c r="AA285" s="74"/>
      <c r="AB285" s="74"/>
      <c r="AC285" s="74"/>
      <c r="AD285" s="74"/>
    </row>
    <row r="286">
      <c r="A286" s="127"/>
      <c r="B286" s="76"/>
      <c r="C286" s="77"/>
      <c r="D286" s="76"/>
      <c r="E286" s="76"/>
      <c r="F286" s="76"/>
      <c r="G286" s="76"/>
      <c r="H286" s="76"/>
      <c r="I286" s="127"/>
      <c r="J286" s="78"/>
      <c r="K286" s="76"/>
      <c r="L286" s="79" t="b">
        <v>0</v>
      </c>
      <c r="M286" s="80" t="str">
        <f t="shared" si="1"/>
        <v/>
      </c>
      <c r="N286" s="79" t="b">
        <v>0</v>
      </c>
      <c r="O286" s="80" t="str">
        <f t="shared" si="2"/>
        <v/>
      </c>
      <c r="P286" s="76"/>
      <c r="Q286" s="76"/>
      <c r="R286" s="76" t="b">
        <v>0</v>
      </c>
      <c r="S286" s="76" t="b">
        <v>0</v>
      </c>
      <c r="T286" s="76"/>
      <c r="U286" s="79"/>
      <c r="V286" s="90"/>
      <c r="W286" s="74"/>
      <c r="X286" s="74"/>
      <c r="Y286" s="74"/>
      <c r="Z286" s="74"/>
      <c r="AA286" s="74"/>
      <c r="AB286" s="74"/>
      <c r="AC286" s="74"/>
      <c r="AD286" s="74"/>
    </row>
    <row r="287">
      <c r="A287" s="127"/>
      <c r="B287" s="76"/>
      <c r="C287" s="77"/>
      <c r="D287" s="76"/>
      <c r="E287" s="76"/>
      <c r="F287" s="76"/>
      <c r="G287" s="76"/>
      <c r="H287" s="76"/>
      <c r="I287" s="127"/>
      <c r="J287" s="78"/>
      <c r="K287" s="76"/>
      <c r="L287" s="79" t="b">
        <v>0</v>
      </c>
      <c r="M287" s="80" t="str">
        <f t="shared" si="1"/>
        <v/>
      </c>
      <c r="N287" s="79" t="b">
        <v>0</v>
      </c>
      <c r="O287" s="80" t="str">
        <f t="shared" si="2"/>
        <v/>
      </c>
      <c r="P287" s="76"/>
      <c r="Q287" s="76"/>
      <c r="R287" s="76" t="b">
        <v>0</v>
      </c>
      <c r="S287" s="76" t="b">
        <v>0</v>
      </c>
      <c r="T287" s="76"/>
      <c r="U287" s="79"/>
      <c r="V287" s="90"/>
      <c r="W287" s="74"/>
      <c r="X287" s="74"/>
      <c r="Y287" s="74"/>
      <c r="Z287" s="74"/>
      <c r="AA287" s="74"/>
      <c r="AB287" s="74"/>
      <c r="AC287" s="74"/>
      <c r="AD287" s="74"/>
    </row>
    <row r="288">
      <c r="A288" s="127"/>
      <c r="B288" s="76"/>
      <c r="C288" s="77"/>
      <c r="D288" s="76"/>
      <c r="E288" s="76"/>
      <c r="F288" s="76"/>
      <c r="G288" s="76"/>
      <c r="H288" s="76"/>
      <c r="I288" s="127"/>
      <c r="J288" s="78"/>
      <c r="K288" s="76"/>
      <c r="L288" s="79" t="b">
        <v>0</v>
      </c>
      <c r="M288" s="80" t="str">
        <f t="shared" si="1"/>
        <v/>
      </c>
      <c r="N288" s="79" t="b">
        <v>0</v>
      </c>
      <c r="O288" s="80" t="str">
        <f t="shared" si="2"/>
        <v/>
      </c>
      <c r="P288" s="76"/>
      <c r="Q288" s="76"/>
      <c r="R288" s="76" t="b">
        <v>0</v>
      </c>
      <c r="S288" s="76" t="b">
        <v>0</v>
      </c>
      <c r="T288" s="76"/>
      <c r="U288" s="79"/>
      <c r="V288" s="90"/>
      <c r="W288" s="74"/>
      <c r="X288" s="74"/>
      <c r="Y288" s="74"/>
      <c r="Z288" s="74"/>
      <c r="AA288" s="74"/>
      <c r="AB288" s="74"/>
      <c r="AC288" s="74"/>
      <c r="AD288" s="74"/>
    </row>
    <row r="289">
      <c r="A289" s="127"/>
      <c r="B289" s="76"/>
      <c r="C289" s="77"/>
      <c r="D289" s="76"/>
      <c r="E289" s="76"/>
      <c r="F289" s="76"/>
      <c r="G289" s="76"/>
      <c r="H289" s="76"/>
      <c r="I289" s="127"/>
      <c r="J289" s="78"/>
      <c r="K289" s="76"/>
      <c r="L289" s="79" t="b">
        <v>0</v>
      </c>
      <c r="M289" s="80" t="str">
        <f t="shared" si="1"/>
        <v/>
      </c>
      <c r="N289" s="79" t="b">
        <v>0</v>
      </c>
      <c r="O289" s="80" t="str">
        <f t="shared" si="2"/>
        <v/>
      </c>
      <c r="P289" s="76"/>
      <c r="Q289" s="76"/>
      <c r="R289" s="76" t="b">
        <v>0</v>
      </c>
      <c r="S289" s="76" t="b">
        <v>0</v>
      </c>
      <c r="T289" s="76"/>
      <c r="U289" s="79"/>
      <c r="V289" s="90"/>
      <c r="W289" s="74"/>
      <c r="X289" s="74"/>
      <c r="Y289" s="74"/>
      <c r="Z289" s="74"/>
      <c r="AA289" s="74"/>
      <c r="AB289" s="74"/>
      <c r="AC289" s="74"/>
      <c r="AD289" s="74"/>
    </row>
    <row r="290">
      <c r="A290" s="127"/>
      <c r="B290" s="76"/>
      <c r="C290" s="77"/>
      <c r="D290" s="76"/>
      <c r="E290" s="76"/>
      <c r="F290" s="76"/>
      <c r="G290" s="76"/>
      <c r="H290" s="76"/>
      <c r="I290" s="127"/>
      <c r="J290" s="78"/>
      <c r="K290" s="76"/>
      <c r="L290" s="79" t="b">
        <v>0</v>
      </c>
      <c r="M290" s="80" t="str">
        <f t="shared" si="1"/>
        <v/>
      </c>
      <c r="N290" s="79" t="b">
        <v>0</v>
      </c>
      <c r="O290" s="80" t="str">
        <f t="shared" si="2"/>
        <v/>
      </c>
      <c r="P290" s="76"/>
      <c r="Q290" s="76"/>
      <c r="R290" s="76" t="b">
        <v>0</v>
      </c>
      <c r="S290" s="76" t="b">
        <v>0</v>
      </c>
      <c r="T290" s="76"/>
      <c r="U290" s="79"/>
      <c r="V290" s="90"/>
      <c r="W290" s="74"/>
      <c r="X290" s="74"/>
      <c r="Y290" s="74"/>
      <c r="Z290" s="74"/>
      <c r="AA290" s="74"/>
      <c r="AB290" s="74"/>
      <c r="AC290" s="74"/>
      <c r="AD290" s="74"/>
    </row>
    <row r="291">
      <c r="A291" s="127"/>
      <c r="B291" s="76"/>
      <c r="C291" s="77"/>
      <c r="D291" s="76"/>
      <c r="E291" s="76"/>
      <c r="F291" s="76"/>
      <c r="G291" s="76"/>
      <c r="H291" s="76"/>
      <c r="I291" s="127"/>
      <c r="J291" s="78"/>
      <c r="K291" s="76"/>
      <c r="L291" s="79" t="b">
        <v>0</v>
      </c>
      <c r="M291" s="80" t="str">
        <f t="shared" si="1"/>
        <v/>
      </c>
      <c r="N291" s="79" t="b">
        <v>0</v>
      </c>
      <c r="O291" s="80" t="str">
        <f t="shared" si="2"/>
        <v/>
      </c>
      <c r="P291" s="76"/>
      <c r="Q291" s="76"/>
      <c r="R291" s="76" t="b">
        <v>0</v>
      </c>
      <c r="S291" s="76" t="b">
        <v>0</v>
      </c>
      <c r="T291" s="76"/>
      <c r="U291" s="79"/>
      <c r="V291" s="90"/>
      <c r="W291" s="74"/>
      <c r="X291" s="74"/>
      <c r="Y291" s="74"/>
      <c r="Z291" s="74"/>
      <c r="AA291" s="74"/>
      <c r="AB291" s="74"/>
      <c r="AC291" s="74"/>
      <c r="AD291" s="74"/>
    </row>
    <row r="292">
      <c r="A292" s="127"/>
      <c r="B292" s="76"/>
      <c r="C292" s="77"/>
      <c r="D292" s="76"/>
      <c r="E292" s="76"/>
      <c r="F292" s="76"/>
      <c r="G292" s="76"/>
      <c r="H292" s="76"/>
      <c r="I292" s="127"/>
      <c r="J292" s="78"/>
      <c r="K292" s="76"/>
      <c r="L292" s="79" t="b">
        <v>0</v>
      </c>
      <c r="M292" s="80" t="str">
        <f t="shared" si="1"/>
        <v/>
      </c>
      <c r="N292" s="79" t="b">
        <v>0</v>
      </c>
      <c r="O292" s="80" t="str">
        <f t="shared" si="2"/>
        <v/>
      </c>
      <c r="P292" s="76"/>
      <c r="Q292" s="76"/>
      <c r="R292" s="76" t="b">
        <v>0</v>
      </c>
      <c r="S292" s="76" t="b">
        <v>0</v>
      </c>
      <c r="T292" s="76"/>
      <c r="U292" s="79"/>
      <c r="V292" s="90"/>
      <c r="W292" s="74"/>
      <c r="X292" s="74"/>
      <c r="Y292" s="74"/>
      <c r="Z292" s="74"/>
      <c r="AA292" s="74"/>
      <c r="AB292" s="74"/>
      <c r="AC292" s="74"/>
      <c r="AD292" s="74"/>
    </row>
    <row r="293">
      <c r="A293" s="127"/>
      <c r="B293" s="76"/>
      <c r="C293" s="77"/>
      <c r="D293" s="76"/>
      <c r="E293" s="76"/>
      <c r="F293" s="76"/>
      <c r="G293" s="76"/>
      <c r="H293" s="76"/>
      <c r="I293" s="127"/>
      <c r="J293" s="78"/>
      <c r="K293" s="76"/>
      <c r="L293" s="79" t="b">
        <v>0</v>
      </c>
      <c r="M293" s="80" t="str">
        <f t="shared" si="1"/>
        <v/>
      </c>
      <c r="N293" s="79" t="b">
        <v>0</v>
      </c>
      <c r="O293" s="80" t="str">
        <f t="shared" si="2"/>
        <v/>
      </c>
      <c r="P293" s="76"/>
      <c r="Q293" s="76"/>
      <c r="R293" s="76" t="b">
        <v>0</v>
      </c>
      <c r="S293" s="76" t="b">
        <v>0</v>
      </c>
      <c r="T293" s="76"/>
      <c r="U293" s="79"/>
      <c r="V293" s="90"/>
      <c r="W293" s="74"/>
      <c r="X293" s="74"/>
      <c r="Y293" s="74"/>
      <c r="Z293" s="74"/>
      <c r="AA293" s="74"/>
      <c r="AB293" s="74"/>
      <c r="AC293" s="74"/>
      <c r="AD293" s="74"/>
    </row>
    <row r="294">
      <c r="A294" s="127"/>
      <c r="B294" s="76"/>
      <c r="C294" s="77"/>
      <c r="D294" s="76"/>
      <c r="E294" s="76"/>
      <c r="F294" s="76"/>
      <c r="G294" s="76"/>
      <c r="H294" s="76"/>
      <c r="I294" s="127"/>
      <c r="J294" s="78"/>
      <c r="K294" s="76"/>
      <c r="L294" s="79" t="b">
        <v>0</v>
      </c>
      <c r="M294" s="80" t="str">
        <f t="shared" si="1"/>
        <v/>
      </c>
      <c r="N294" s="79" t="b">
        <v>0</v>
      </c>
      <c r="O294" s="80" t="str">
        <f t="shared" si="2"/>
        <v/>
      </c>
      <c r="P294" s="76"/>
      <c r="Q294" s="76"/>
      <c r="R294" s="76" t="b">
        <v>0</v>
      </c>
      <c r="S294" s="76" t="b">
        <v>0</v>
      </c>
      <c r="T294" s="76"/>
      <c r="U294" s="79"/>
      <c r="V294" s="90"/>
      <c r="W294" s="74"/>
      <c r="X294" s="74"/>
      <c r="Y294" s="74"/>
      <c r="Z294" s="74"/>
      <c r="AA294" s="74"/>
      <c r="AB294" s="74"/>
      <c r="AC294" s="74"/>
      <c r="AD294" s="74"/>
    </row>
    <row r="295">
      <c r="A295" s="127"/>
      <c r="B295" s="76"/>
      <c r="C295" s="77"/>
      <c r="D295" s="76"/>
      <c r="E295" s="76"/>
      <c r="F295" s="76"/>
      <c r="G295" s="76"/>
      <c r="H295" s="76"/>
      <c r="I295" s="127"/>
      <c r="J295" s="78"/>
      <c r="K295" s="76"/>
      <c r="L295" s="79" t="b">
        <v>0</v>
      </c>
      <c r="M295" s="80" t="str">
        <f t="shared" si="1"/>
        <v/>
      </c>
      <c r="N295" s="79" t="b">
        <v>0</v>
      </c>
      <c r="O295" s="80" t="str">
        <f t="shared" si="2"/>
        <v/>
      </c>
      <c r="P295" s="76"/>
      <c r="Q295" s="76"/>
      <c r="R295" s="76" t="b">
        <v>0</v>
      </c>
      <c r="S295" s="76" t="b">
        <v>0</v>
      </c>
      <c r="T295" s="76"/>
      <c r="U295" s="79"/>
      <c r="V295" s="90"/>
      <c r="W295" s="74"/>
      <c r="X295" s="74"/>
      <c r="Y295" s="74"/>
      <c r="Z295" s="74"/>
      <c r="AA295" s="74"/>
      <c r="AB295" s="74"/>
      <c r="AC295" s="74"/>
      <c r="AD295" s="74"/>
    </row>
    <row r="296">
      <c r="A296" s="127"/>
      <c r="B296" s="76"/>
      <c r="C296" s="77"/>
      <c r="D296" s="76"/>
      <c r="E296" s="76"/>
      <c r="F296" s="76"/>
      <c r="G296" s="76"/>
      <c r="H296" s="76"/>
      <c r="I296" s="127"/>
      <c r="J296" s="78"/>
      <c r="K296" s="76"/>
      <c r="L296" s="79" t="b">
        <v>0</v>
      </c>
      <c r="M296" s="80" t="str">
        <f t="shared" si="1"/>
        <v/>
      </c>
      <c r="N296" s="79" t="b">
        <v>0</v>
      </c>
      <c r="O296" s="80" t="str">
        <f t="shared" si="2"/>
        <v/>
      </c>
      <c r="P296" s="76"/>
      <c r="Q296" s="76"/>
      <c r="R296" s="76" t="b">
        <v>0</v>
      </c>
      <c r="S296" s="76" t="b">
        <v>0</v>
      </c>
      <c r="T296" s="76"/>
      <c r="U296" s="79"/>
      <c r="V296" s="90"/>
      <c r="W296" s="74"/>
      <c r="X296" s="74"/>
      <c r="Y296" s="74"/>
      <c r="Z296" s="74"/>
      <c r="AA296" s="74"/>
      <c r="AB296" s="74"/>
      <c r="AC296" s="74"/>
      <c r="AD296" s="74"/>
    </row>
    <row r="297">
      <c r="A297" s="127"/>
      <c r="B297" s="76"/>
      <c r="C297" s="77"/>
      <c r="D297" s="76"/>
      <c r="E297" s="76"/>
      <c r="F297" s="76"/>
      <c r="G297" s="76"/>
      <c r="H297" s="76"/>
      <c r="I297" s="127"/>
      <c r="J297" s="78"/>
      <c r="K297" s="76"/>
      <c r="L297" s="79" t="b">
        <v>0</v>
      </c>
      <c r="M297" s="80" t="str">
        <f t="shared" si="1"/>
        <v/>
      </c>
      <c r="N297" s="79" t="b">
        <v>0</v>
      </c>
      <c r="O297" s="80" t="str">
        <f t="shared" si="2"/>
        <v/>
      </c>
      <c r="P297" s="76"/>
      <c r="Q297" s="76"/>
      <c r="R297" s="76" t="b">
        <v>0</v>
      </c>
      <c r="S297" s="76" t="b">
        <v>0</v>
      </c>
      <c r="T297" s="76"/>
      <c r="U297" s="79"/>
      <c r="V297" s="90"/>
      <c r="W297" s="74"/>
      <c r="X297" s="74"/>
      <c r="Y297" s="74"/>
      <c r="Z297" s="74"/>
      <c r="AA297" s="74"/>
      <c r="AB297" s="74"/>
      <c r="AC297" s="74"/>
      <c r="AD297" s="74"/>
    </row>
    <row r="298">
      <c r="A298" s="127"/>
      <c r="B298" s="76"/>
      <c r="C298" s="77"/>
      <c r="D298" s="76"/>
      <c r="E298" s="76"/>
      <c r="F298" s="76"/>
      <c r="G298" s="76"/>
      <c r="H298" s="76"/>
      <c r="I298" s="127"/>
      <c r="J298" s="78"/>
      <c r="K298" s="76"/>
      <c r="L298" s="79" t="b">
        <v>0</v>
      </c>
      <c r="M298" s="80" t="str">
        <f t="shared" si="1"/>
        <v/>
      </c>
      <c r="N298" s="79" t="b">
        <v>0</v>
      </c>
      <c r="O298" s="80" t="str">
        <f t="shared" si="2"/>
        <v/>
      </c>
      <c r="P298" s="76"/>
      <c r="Q298" s="76"/>
      <c r="R298" s="76" t="b">
        <v>0</v>
      </c>
      <c r="S298" s="76" t="b">
        <v>0</v>
      </c>
      <c r="T298" s="76"/>
      <c r="U298" s="79"/>
      <c r="V298" s="90"/>
      <c r="W298" s="74"/>
      <c r="X298" s="74"/>
      <c r="Y298" s="74"/>
      <c r="Z298" s="74"/>
      <c r="AA298" s="74"/>
      <c r="AB298" s="74"/>
      <c r="AC298" s="74"/>
      <c r="AD298" s="74"/>
    </row>
    <row r="299">
      <c r="A299" s="127"/>
      <c r="B299" s="76"/>
      <c r="C299" s="77"/>
      <c r="D299" s="76"/>
      <c r="E299" s="76"/>
      <c r="F299" s="76"/>
      <c r="G299" s="76"/>
      <c r="H299" s="76"/>
      <c r="I299" s="127"/>
      <c r="J299" s="78"/>
      <c r="K299" s="76"/>
      <c r="L299" s="79" t="b">
        <v>0</v>
      </c>
      <c r="M299" s="80" t="str">
        <f t="shared" si="1"/>
        <v/>
      </c>
      <c r="N299" s="79" t="b">
        <v>0</v>
      </c>
      <c r="O299" s="80" t="str">
        <f t="shared" si="2"/>
        <v/>
      </c>
      <c r="P299" s="76"/>
      <c r="Q299" s="76"/>
      <c r="R299" s="76" t="b">
        <v>0</v>
      </c>
      <c r="S299" s="76" t="b">
        <v>0</v>
      </c>
      <c r="T299" s="76"/>
      <c r="U299" s="79"/>
      <c r="V299" s="90"/>
      <c r="W299" s="74"/>
      <c r="X299" s="74"/>
      <c r="Y299" s="74"/>
      <c r="Z299" s="74"/>
      <c r="AA299" s="74"/>
      <c r="AB299" s="74"/>
      <c r="AC299" s="74"/>
      <c r="AD299" s="74"/>
    </row>
    <row r="300">
      <c r="A300" s="127"/>
      <c r="B300" s="76"/>
      <c r="C300" s="77"/>
      <c r="D300" s="76"/>
      <c r="E300" s="76"/>
      <c r="F300" s="76"/>
      <c r="G300" s="76"/>
      <c r="H300" s="76"/>
      <c r="I300" s="127"/>
      <c r="J300" s="78"/>
      <c r="K300" s="76"/>
      <c r="L300" s="79" t="b">
        <v>0</v>
      </c>
      <c r="M300" s="80" t="str">
        <f t="shared" si="1"/>
        <v/>
      </c>
      <c r="N300" s="79" t="b">
        <v>0</v>
      </c>
      <c r="O300" s="80" t="str">
        <f t="shared" si="2"/>
        <v/>
      </c>
      <c r="P300" s="76"/>
      <c r="Q300" s="76"/>
      <c r="R300" s="76" t="b">
        <v>0</v>
      </c>
      <c r="S300" s="76" t="b">
        <v>0</v>
      </c>
      <c r="T300" s="76"/>
      <c r="U300" s="79"/>
      <c r="V300" s="90"/>
      <c r="W300" s="74"/>
      <c r="X300" s="74"/>
      <c r="Y300" s="74"/>
      <c r="Z300" s="74"/>
      <c r="AA300" s="74"/>
      <c r="AB300" s="74"/>
      <c r="AC300" s="74"/>
      <c r="AD300" s="74"/>
    </row>
    <row r="301">
      <c r="A301" s="127"/>
      <c r="B301" s="76"/>
      <c r="C301" s="77"/>
      <c r="D301" s="76"/>
      <c r="E301" s="76"/>
      <c r="F301" s="76"/>
      <c r="G301" s="76"/>
      <c r="H301" s="76"/>
      <c r="I301" s="127"/>
      <c r="J301" s="78"/>
      <c r="K301" s="76"/>
      <c r="L301" s="79" t="b">
        <v>0</v>
      </c>
      <c r="M301" s="80" t="str">
        <f t="shared" si="1"/>
        <v/>
      </c>
      <c r="N301" s="79" t="b">
        <v>0</v>
      </c>
      <c r="O301" s="80" t="str">
        <f t="shared" si="2"/>
        <v/>
      </c>
      <c r="P301" s="76"/>
      <c r="Q301" s="76"/>
      <c r="R301" s="76" t="b">
        <v>0</v>
      </c>
      <c r="S301" s="76" t="b">
        <v>0</v>
      </c>
      <c r="T301" s="76"/>
      <c r="U301" s="79"/>
      <c r="V301" s="90"/>
      <c r="W301" s="74"/>
      <c r="X301" s="74"/>
      <c r="Y301" s="74"/>
      <c r="Z301" s="74"/>
      <c r="AA301" s="74"/>
      <c r="AB301" s="74"/>
      <c r="AC301" s="74"/>
      <c r="AD301" s="74"/>
    </row>
    <row r="302">
      <c r="A302" s="127"/>
      <c r="B302" s="76"/>
      <c r="C302" s="77"/>
      <c r="D302" s="76"/>
      <c r="E302" s="76"/>
      <c r="F302" s="76"/>
      <c r="G302" s="76"/>
      <c r="H302" s="76"/>
      <c r="I302" s="127"/>
      <c r="J302" s="78"/>
      <c r="K302" s="76"/>
      <c r="L302" s="79" t="b">
        <v>0</v>
      </c>
      <c r="M302" s="80" t="str">
        <f t="shared" si="1"/>
        <v/>
      </c>
      <c r="N302" s="79" t="b">
        <v>0</v>
      </c>
      <c r="O302" s="80" t="str">
        <f t="shared" si="2"/>
        <v/>
      </c>
      <c r="P302" s="76"/>
      <c r="Q302" s="76"/>
      <c r="R302" s="76" t="b">
        <v>0</v>
      </c>
      <c r="S302" s="76" t="b">
        <v>0</v>
      </c>
      <c r="T302" s="76"/>
      <c r="U302" s="79"/>
      <c r="V302" s="90"/>
      <c r="W302" s="74"/>
      <c r="X302" s="74"/>
      <c r="Y302" s="74"/>
      <c r="Z302" s="74"/>
      <c r="AA302" s="74"/>
      <c r="AB302" s="74"/>
      <c r="AC302" s="74"/>
      <c r="AD302" s="74"/>
    </row>
    <row r="303">
      <c r="A303" s="127"/>
      <c r="B303" s="76"/>
      <c r="C303" s="77"/>
      <c r="D303" s="76"/>
      <c r="E303" s="76"/>
      <c r="F303" s="76"/>
      <c r="G303" s="76"/>
      <c r="H303" s="76"/>
      <c r="I303" s="127"/>
      <c r="J303" s="78"/>
      <c r="K303" s="76"/>
      <c r="L303" s="79" t="b">
        <v>0</v>
      </c>
      <c r="M303" s="80" t="str">
        <f t="shared" si="1"/>
        <v/>
      </c>
      <c r="N303" s="79" t="b">
        <v>0</v>
      </c>
      <c r="O303" s="80" t="str">
        <f t="shared" si="2"/>
        <v/>
      </c>
      <c r="P303" s="76"/>
      <c r="Q303" s="76"/>
      <c r="R303" s="76" t="b">
        <v>0</v>
      </c>
      <c r="S303" s="76" t="b">
        <v>0</v>
      </c>
      <c r="T303" s="76"/>
      <c r="U303" s="79"/>
      <c r="V303" s="90"/>
      <c r="W303" s="74"/>
      <c r="X303" s="74"/>
      <c r="Y303" s="74"/>
      <c r="Z303" s="74"/>
      <c r="AA303" s="74"/>
      <c r="AB303" s="74"/>
      <c r="AC303" s="74"/>
      <c r="AD303" s="74"/>
    </row>
    <row r="304">
      <c r="A304" s="127"/>
      <c r="B304" s="76"/>
      <c r="C304" s="77"/>
      <c r="D304" s="76"/>
      <c r="E304" s="76"/>
      <c r="F304" s="76"/>
      <c r="G304" s="76"/>
      <c r="H304" s="76"/>
      <c r="I304" s="127"/>
      <c r="J304" s="78"/>
      <c r="K304" s="76"/>
      <c r="L304" s="79" t="b">
        <v>0</v>
      </c>
      <c r="M304" s="80" t="str">
        <f t="shared" si="1"/>
        <v/>
      </c>
      <c r="N304" s="79" t="b">
        <v>0</v>
      </c>
      <c r="O304" s="80" t="str">
        <f t="shared" si="2"/>
        <v/>
      </c>
      <c r="P304" s="76"/>
      <c r="Q304" s="76"/>
      <c r="R304" s="76" t="b">
        <v>0</v>
      </c>
      <c r="S304" s="76" t="b">
        <v>0</v>
      </c>
      <c r="T304" s="76"/>
      <c r="U304" s="79"/>
      <c r="V304" s="90"/>
      <c r="W304" s="74"/>
      <c r="X304" s="74"/>
      <c r="Y304" s="74"/>
      <c r="Z304" s="74"/>
      <c r="AA304" s="74"/>
      <c r="AB304" s="74"/>
      <c r="AC304" s="74"/>
      <c r="AD304" s="74"/>
    </row>
    <row r="305">
      <c r="A305" s="127"/>
      <c r="B305" s="76"/>
      <c r="C305" s="77"/>
      <c r="D305" s="76"/>
      <c r="E305" s="76"/>
      <c r="F305" s="76"/>
      <c r="G305" s="76"/>
      <c r="H305" s="76"/>
      <c r="I305" s="127"/>
      <c r="J305" s="78"/>
      <c r="K305" s="76"/>
      <c r="L305" s="79" t="b">
        <v>0</v>
      </c>
      <c r="M305" s="80" t="str">
        <f t="shared" si="1"/>
        <v/>
      </c>
      <c r="N305" s="79" t="b">
        <v>0</v>
      </c>
      <c r="O305" s="80" t="str">
        <f t="shared" si="2"/>
        <v/>
      </c>
      <c r="P305" s="76"/>
      <c r="Q305" s="76"/>
      <c r="R305" s="76" t="b">
        <v>0</v>
      </c>
      <c r="S305" s="76" t="b">
        <v>0</v>
      </c>
      <c r="T305" s="76"/>
      <c r="U305" s="79"/>
      <c r="V305" s="90"/>
      <c r="W305" s="74"/>
      <c r="X305" s="74"/>
      <c r="Y305" s="74"/>
      <c r="Z305" s="74"/>
      <c r="AA305" s="74"/>
      <c r="AB305" s="74"/>
      <c r="AC305" s="74"/>
      <c r="AD305" s="74"/>
    </row>
    <row r="306">
      <c r="A306" s="127"/>
      <c r="B306" s="76"/>
      <c r="C306" s="77"/>
      <c r="D306" s="76"/>
      <c r="E306" s="76"/>
      <c r="F306" s="76"/>
      <c r="G306" s="76"/>
      <c r="H306" s="76"/>
      <c r="I306" s="127"/>
      <c r="J306" s="78"/>
      <c r="K306" s="76"/>
      <c r="L306" s="79" t="b">
        <v>0</v>
      </c>
      <c r="M306" s="80" t="str">
        <f t="shared" si="1"/>
        <v/>
      </c>
      <c r="N306" s="79" t="b">
        <v>0</v>
      </c>
      <c r="O306" s="80" t="str">
        <f t="shared" si="2"/>
        <v/>
      </c>
      <c r="P306" s="76"/>
      <c r="Q306" s="76"/>
      <c r="R306" s="76" t="b">
        <v>0</v>
      </c>
      <c r="S306" s="76" t="b">
        <v>0</v>
      </c>
      <c r="T306" s="76"/>
      <c r="U306" s="79"/>
      <c r="V306" s="90"/>
      <c r="W306" s="74"/>
      <c r="X306" s="74"/>
      <c r="Y306" s="74"/>
      <c r="Z306" s="74"/>
      <c r="AA306" s="74"/>
      <c r="AB306" s="74"/>
      <c r="AC306" s="74"/>
      <c r="AD306" s="74"/>
    </row>
    <row r="307">
      <c r="A307" s="127"/>
      <c r="B307" s="76"/>
      <c r="C307" s="77"/>
      <c r="D307" s="76"/>
      <c r="E307" s="76"/>
      <c r="F307" s="76"/>
      <c r="G307" s="76"/>
      <c r="H307" s="76"/>
      <c r="I307" s="127"/>
      <c r="J307" s="78"/>
      <c r="K307" s="76"/>
      <c r="L307" s="79" t="b">
        <v>0</v>
      </c>
      <c r="M307" s="80" t="str">
        <f t="shared" si="1"/>
        <v/>
      </c>
      <c r="N307" s="79" t="b">
        <v>0</v>
      </c>
      <c r="O307" s="80" t="str">
        <f t="shared" si="2"/>
        <v/>
      </c>
      <c r="P307" s="76"/>
      <c r="Q307" s="76"/>
      <c r="R307" s="76" t="b">
        <v>0</v>
      </c>
      <c r="S307" s="76" t="b">
        <v>0</v>
      </c>
      <c r="T307" s="76"/>
      <c r="U307" s="79"/>
      <c r="V307" s="90"/>
      <c r="W307" s="74"/>
      <c r="X307" s="74"/>
      <c r="Y307" s="74"/>
      <c r="Z307" s="74"/>
      <c r="AA307" s="74"/>
      <c r="AB307" s="74"/>
      <c r="AC307" s="74"/>
      <c r="AD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12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125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12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12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12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12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12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12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12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12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12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12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12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12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12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12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12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12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12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12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12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12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12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12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12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12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12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12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12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12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12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12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12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12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12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12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12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12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12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12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12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12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12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12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12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12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12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12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12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12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12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12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12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12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12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12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12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12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12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12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12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12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12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12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12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12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12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12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12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12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12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12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12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12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12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12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12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12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12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12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12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12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12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12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12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12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12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12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12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12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12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12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12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12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12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12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12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12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12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12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12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12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12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12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12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12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12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12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12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12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12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12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12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12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12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12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12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12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12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12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12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12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12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12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12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12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12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12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12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12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12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12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12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12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12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12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12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12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12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12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12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12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12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12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12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12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12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12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12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12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12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12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12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12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12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12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12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12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12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12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12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12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12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12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12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12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12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12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125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12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12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12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12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12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12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12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12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12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12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12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12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12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12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12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12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12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12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12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12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12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12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12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12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12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12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12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12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12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12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12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12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12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12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12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12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125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12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12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12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12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12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12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12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12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12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12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12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12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12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12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12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12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12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12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12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12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12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12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12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12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12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12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12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12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12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12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12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12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12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12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12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12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12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12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12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12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12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12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12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12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12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12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125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12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12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12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12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12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12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12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12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12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12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12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12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12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12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12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12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12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125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12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12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12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12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12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12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12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12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12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12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12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12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12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12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12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12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12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12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12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12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12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12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12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12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12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12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12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12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12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12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12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12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12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12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12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12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12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12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125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12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12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12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12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12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12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12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12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12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12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12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12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12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12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12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12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12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12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12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12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12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12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125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12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12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125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12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12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12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12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12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12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12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12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12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12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12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125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12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12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12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12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12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12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12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12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12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12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12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12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12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12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12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12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12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12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12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125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12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12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12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12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12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12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12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12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12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12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12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12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12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12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12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12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12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12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12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12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12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12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12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12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125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12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12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12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12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12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125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12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12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12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12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12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12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12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12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12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12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12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12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12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12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12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12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12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12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12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12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12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12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12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12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12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12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12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12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12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12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12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12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12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12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12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125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12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12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12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12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12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12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12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12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12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12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12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12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12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12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12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12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12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12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12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12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12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12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12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12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12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12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12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12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12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12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12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12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12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12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12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12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12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12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12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12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12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12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12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12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12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12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12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12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12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12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12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12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12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12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12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12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12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12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12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12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12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12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12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12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12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12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12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12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12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12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12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12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12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12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12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12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12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125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12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12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12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12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12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12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12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12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12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12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12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12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12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12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12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12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12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125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125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12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12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12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12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12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12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12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12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12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12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12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12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12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12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12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12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12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12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12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12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12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12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12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12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12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12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12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12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12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12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12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12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12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12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12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12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12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12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12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12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12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12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12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12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12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12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12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12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12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12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12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12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12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12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12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12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12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12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12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12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12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12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12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12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12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12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12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12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12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12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12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12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12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12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12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12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12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12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12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12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12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12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12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12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12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12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12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12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12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12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12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12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12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12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12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12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12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12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12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12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12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12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12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12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12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12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12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12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12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12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12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12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12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12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12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12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12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12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12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125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12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12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12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12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12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12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12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12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12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12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12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12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12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12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12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12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12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12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12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12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12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12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12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12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12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12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12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12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12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12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12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12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12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12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12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12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12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12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12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12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12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</sheetData>
  <mergeCells count="41">
    <mergeCell ref="M2:O2"/>
    <mergeCell ref="P2:R2"/>
    <mergeCell ref="T3:U3"/>
    <mergeCell ref="T4:U4"/>
    <mergeCell ref="M5:O5"/>
    <mergeCell ref="P5:R5"/>
    <mergeCell ref="T5:U5"/>
    <mergeCell ref="T6:U6"/>
    <mergeCell ref="A1:B1"/>
    <mergeCell ref="J1:M1"/>
    <mergeCell ref="N1:O1"/>
    <mergeCell ref="P1:R1"/>
    <mergeCell ref="S1:U1"/>
    <mergeCell ref="W1:AH1"/>
    <mergeCell ref="A2:B2"/>
    <mergeCell ref="T2:U2"/>
    <mergeCell ref="D1:I1"/>
    <mergeCell ref="G2:I2"/>
    <mergeCell ref="A3:B3"/>
    <mergeCell ref="A4:B4"/>
    <mergeCell ref="A5:C5"/>
    <mergeCell ref="G5:I5"/>
    <mergeCell ref="A6:B6"/>
    <mergeCell ref="D9:E10"/>
    <mergeCell ref="F9:F10"/>
    <mergeCell ref="A7:C7"/>
    <mergeCell ref="A8:B8"/>
    <mergeCell ref="D8:G8"/>
    <mergeCell ref="I8:J8"/>
    <mergeCell ref="A9:A10"/>
    <mergeCell ref="B9:B10"/>
    <mergeCell ref="C9:C10"/>
    <mergeCell ref="U9:U10"/>
    <mergeCell ref="V9:V10"/>
    <mergeCell ref="I9:I10"/>
    <mergeCell ref="J9:J10"/>
    <mergeCell ref="K9:K10"/>
    <mergeCell ref="L9:O9"/>
    <mergeCell ref="P9:P10"/>
    <mergeCell ref="Q9:Q10"/>
    <mergeCell ref="R9:R10"/>
  </mergeCells>
  <conditionalFormatting sqref="A21:V21">
    <cfRule type="expression" dxfId="0" priority="1">
      <formula>$U21="รอส่งไฟล์"</formula>
    </cfRule>
  </conditionalFormatting>
  <conditionalFormatting sqref="V11:V307">
    <cfRule type="expression" dxfId="1" priority="2">
      <formula>$O11=True</formula>
    </cfRule>
  </conditionalFormatting>
  <conditionalFormatting sqref="A11:V307">
    <cfRule type="expression" dxfId="2" priority="3">
      <formula>$N11=True</formula>
    </cfRule>
  </conditionalFormatting>
  <conditionalFormatting sqref="A11:V307">
    <cfRule type="expression" dxfId="3" priority="4">
      <formula>$U11="เปลี่ยนไป Offset"</formula>
    </cfRule>
  </conditionalFormatting>
  <conditionalFormatting sqref="A11:V307">
    <cfRule type="expression" dxfId="3" priority="5">
      <formula>$U11="Cancelled"</formula>
    </cfRule>
  </conditionalFormatting>
  <conditionalFormatting sqref="A11:V307">
    <cfRule type="expression" dxfId="0" priority="6">
      <formula>$U11="รอกระดาษ"</formula>
    </cfRule>
  </conditionalFormatting>
  <conditionalFormatting sqref="A11:V307">
    <cfRule type="expression" dxfId="0" priority="7">
      <formula>$U11="รอแก้ไฟล์"</formula>
    </cfRule>
  </conditionalFormatting>
  <conditionalFormatting sqref="A11:V307">
    <cfRule type="expression" dxfId="0" priority="8">
      <formula>$U11="รอ maintenance"</formula>
    </cfRule>
  </conditionalFormatting>
  <conditionalFormatting sqref="A11:V307">
    <cfRule type="expression" dxfId="0" priority="9">
      <formula>$U11="รอคอนเฟิร์ม"</formula>
    </cfRule>
  </conditionalFormatting>
  <conditionalFormatting sqref="A11:V307">
    <cfRule type="expression" dxfId="0" priority="10">
      <formula>$U11="รอดูสี"</formula>
    </cfRule>
  </conditionalFormatting>
  <conditionalFormatting sqref="A11:V307">
    <cfRule type="expression" dxfId="0" priority="11">
      <formula>$U11="กระดาษชื้น"</formula>
    </cfRule>
  </conditionalFormatting>
  <conditionalFormatting sqref="A11:V307">
    <cfRule type="expression" dxfId="4" priority="12">
      <formula>$L11=True</formula>
    </cfRule>
  </conditionalFormatting>
  <conditionalFormatting sqref="A11:V307">
    <cfRule type="expression" dxfId="6" priority="13">
      <formula>$F11="ตามคิว"</formula>
    </cfRule>
  </conditionalFormatting>
  <conditionalFormatting sqref="A11:V307">
    <cfRule type="expression" dxfId="7" priority="14">
      <formula>$F11="Same Day"</formula>
    </cfRule>
  </conditionalFormatting>
  <conditionalFormatting sqref="A11:V307">
    <cfRule type="expression" dxfId="6" priority="15">
      <formula>$F11="ตัวอย่าง Mockup"</formula>
    </cfRule>
  </conditionalFormatting>
  <conditionalFormatting sqref="D17:F17">
    <cfRule type="notContainsBlanks" dxfId="8" priority="16">
      <formula>LEN(TRIM(D17))&gt;0</formula>
    </cfRule>
  </conditionalFormatting>
  <conditionalFormatting sqref="A11:V307">
    <cfRule type="expression" dxfId="5" priority="17">
      <formula>$F11="VIP"</formula>
    </cfRule>
  </conditionalFormatting>
  <conditionalFormatting sqref="D17:F17">
    <cfRule type="notContainsBlanks" dxfId="8" priority="18">
      <formula>LEN(TRIM(D17))&gt;0</formula>
    </cfRule>
  </conditionalFormatting>
  <conditionalFormatting sqref="U400:W400">
    <cfRule type="expression" dxfId="9" priority="19">
      <formula>"D11"</formula>
    </cfRule>
  </conditionalFormatting>
  <conditionalFormatting sqref="A1:B1">
    <cfRule type="notContainsBlanks" dxfId="8" priority="20">
      <formula>LEN(TRIM(A1))&gt;0</formula>
    </cfRule>
  </conditionalFormatting>
  <conditionalFormatting sqref="A11:V307">
    <cfRule type="expression" dxfId="10" priority="21">
      <formula>$F11="งานซ่อม"</formula>
    </cfRule>
  </conditionalFormatting>
  <conditionalFormatting sqref="A11:V307">
    <cfRule type="expression" dxfId="10" priority="22">
      <formula>$F11="ซ่อมไม่มีใบสั่ง"</formula>
    </cfRule>
  </conditionalFormatting>
  <dataValidations>
    <dataValidation type="list" allowBlank="1" showErrorMessage="1" sqref="Q11:Q307">
      <formula1>"C4070,C12000"</formula1>
    </dataValidation>
    <dataValidation type="list" allowBlank="1" showErrorMessage="1" sqref="D11:E307">
      <formula1>"อาร์ตมัน 105g (โกดัง),อาร์ตมัน 130g (โกดัง),อาร์ตมัน 160g (โกดัง),อาร์ตการ์ด 2/S 190g (โกดัง),อาร์ตการ์ด 2/S 210g (โกดัง),อาร์ตการ์ด 2/S 230g (โกดัง),อาร์ตการ์ด 2/S 260g (โกดัง),อาร์ตการ์ด 2/S 300g (ODM),อาร์ตการ์ด 2/S 350g (ODM),อาร์ตการ์ด 1/S 210g (โกดั"&amp;"ง),อาร์ตการ์ด 1/S 230g (โกดัง),อาร์ตการ์ด 1/S 260g (โกดัง),อาร์ตการ์ด 1/S 300g (โกดัง),อาร์ตการ์ด 1/S 350g (โกดัง),ปอนด์ 70g (โกดัง),ปอนด์ 80g (โกดัง),ปอนด์ 100g (โกดัง),ปอนด์ 120g (โกดัง),การ์ดขาว 150g (โกดัง),การ์ดขาว 210g (โกดัง),การ์ดขาว 240g (โกดัง),"&amp;"การ์ดขาว 300g (โกดัง),อาร์ตด้าน 105g (โกดัง),อาร์ตด้าน 130g (โกดัง),อาร์ตด้าน 160g (โกดัง),กรีนรีด 75g (โกดัง),Stk PP ขาวเงา (ODM),Stk PP ขาวด้าน (ODM),Stk PP ใส (ODM),Stk กระดาษขาวเงา (ODM),Stk กระดาษขาวด้าน (ODM),กระดาษพิเศษ"</formula1>
    </dataValidation>
    <dataValidation type="list" allowBlank="1" showErrorMessage="1" sqref="K11:K307 P11:P307">
      <formula1>"Fluke,Sunney"</formula1>
    </dataValidation>
    <dataValidation type="list" allowBlank="1" showErrorMessage="1" sqref="V11:V307">
      <formula1>"มาร์คหน้า-หลังไม่ตรงกัน,กระดาษติดภายในเครื่องพิมพ์,อุณหภูมิเครื่องสูงขึ้นแล้วสีเพี้ยน,หยุดเครื่องเติมกระดาษระหว่างพิมพ์,หยุดเครื่องเติมหมึก,หยุดเครื่องเปลี่ยนกล่องหมึกเสีย,หยุดเครื่องเติมหมึก+เติมกระดาษ,เครื่องพิมพ์มีปัญหา"</formula1>
    </dataValidation>
    <dataValidation type="list" allowBlank="1" showErrorMessage="1" sqref="N1">
      <formula1>$A$11:$A1000</formula1>
    </dataValidation>
    <dataValidation type="list" allowBlank="1" showErrorMessage="1" sqref="C1">
      <formula1>$P$11:$P1000</formula1>
    </dataValidation>
    <dataValidation type="list" allowBlank="1" showErrorMessage="1" sqref="F11:F307">
      <formula1>"Same Day,VIP,ตามคิว,ตัวอย่าง Mock up,งานซ่อม,ซ่อมไม่มีใบสั่ง"</formula1>
    </dataValidation>
    <dataValidation type="custom" allowBlank="1" showDropDown="1" sqref="A11:A307 I11:I307">
      <formula1>OR(NOT(ISERROR(DATEVALUE(A11))), AND(ISNUMBER(A11), LEFT(CELL("format", A11))="D"))</formula1>
    </dataValidation>
    <dataValidation type="list" allowBlank="1" showErrorMessage="1" sqref="U11:U307">
      <formula1>"นำส่งเรียบร้อย,Dicut Jwei,Dicut Graptech,รอแก้ไฟล์,เปลี่ยนไป Offset,รอ maintenance,รอกระดาษ,รอคอนเฟิร์ม,Cancelled,รอดูสี,กระดาษชื้น,รอปรุกระดาษก่อนพิมพ์"</formula1>
    </dataValidation>
  </dataValidations>
  <drawing r:id="rId1"/>
</worksheet>
</file>